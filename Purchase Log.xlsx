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76EF52B-5317-42F6-BF8C-50DBEE5F7D16}" xr6:coauthVersionLast="47" xr6:coauthVersionMax="47" xr10:uidLastSave="{00000000-0000-0000-0000-000000000000}"/>
  <bookViews>
    <workbookView xWindow="-108" yWindow="-108" windowWidth="30936" windowHeight="16776" activeTab="1" xr2:uid="{C148B396-6A9B-463A-A505-CD716515B5E5}"/>
  </bookViews>
  <sheets>
    <sheet name="Purchase Log" sheetId="1" r:id="rId1"/>
    <sheet name="Collection" sheetId="2" r:id="rId2"/>
    <sheet name="Sold" sheetId="7" r:id="rId3"/>
    <sheet name="Catalog" sheetId="6" r:id="rId4"/>
    <sheet name="Buy List" sheetId="3" state="hidden" r:id="rId5"/>
    <sheet name="TO DO" sheetId="5" r:id="rId6"/>
    <sheet name="Brands" sheetId="4" state="hidden" r:id="rId7"/>
  </sheets>
  <definedNames>
    <definedName name="_75">OFFSET('Buy List'!$V$3,'Buy List'!$Q$4*'Buy List'!$Q$27,,COUNT('Buy List'!$V$3:$V$502),)</definedName>
    <definedName name="_80">OFFSET('Buy List'!$W$3,'Buy List'!$Q$4*'Buy List'!$Q$27,,COUNT('Buy List'!$W$3:$W$502),)</definedName>
    <definedName name="_85">OFFSET('Buy List'!$X$3,'Buy List'!$Q$4*'Buy List'!$Q$27,,COUNT('Buy List'!$X$3:$X$502),)</definedName>
    <definedName name="_90">OFFSET('Buy List'!$Y$3,'Buy List'!$Q$4*'Buy List'!$Q$27,,COUNT('Buy List'!$Y$3:$Y$502),)</definedName>
    <definedName name="_xlnm._FilterDatabase" localSheetId="1" hidden="1">Collection!$A$1:$AA$651</definedName>
    <definedName name="_xlnm._FilterDatabase" localSheetId="0" hidden="1">'Purchase Log'!$B$3:$Y$248</definedName>
    <definedName name="_xlnm._FilterDatabase" localSheetId="2" hidden="1">Sold!$A$1:$X$64</definedName>
    <definedName name="KeepList">Table1[]</definedName>
    <definedName name="_xlnm.Print_Area" localSheetId="0">'Purchase Log'!$C:$J,'Purchase Log'!$T:$T,'Purchase Log'!$W:$X</definedName>
    <definedName name="Prob">OFFSET('Buy List'!$U$3,'Buy List'!$Q$4*'Buy List'!$Q$27,,COUNT('Buy List'!$U$3:$U$502),)</definedName>
    <definedName name="solver_adj" localSheetId="4" hidden="1">'Buy List'!$H$18</definedName>
    <definedName name="solver_cvg" localSheetId="4" hidden="1">0.0001</definedName>
    <definedName name="solver_drv" localSheetId="4" hidden="1">2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hs1" localSheetId="4" hidden="1">'Buy List'!$I$18</definedName>
    <definedName name="solver_lhs2" localSheetId="4" hidden="1">'Buy List'!$I$18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2</definedName>
    <definedName name="solver_nwt" localSheetId="4" hidden="1">1</definedName>
    <definedName name="solver_opt" localSheetId="4" hidden="1">'Buy List'!$I$18</definedName>
    <definedName name="solver_pre" localSheetId="4" hidden="1">0.000001</definedName>
    <definedName name="solver_rbv" localSheetId="4" hidden="1">2</definedName>
    <definedName name="solver_rel1" localSheetId="4" hidden="1">1</definedName>
    <definedName name="solver_rel2" localSheetId="4" hidden="1">3</definedName>
    <definedName name="solver_rhs1" localSheetId="4" hidden="1">0.001</definedName>
    <definedName name="solver_rhs2" localSheetId="4" hidden="1">-0.001</definedName>
    <definedName name="solver_rlx" localSheetId="4" hidden="1">2</definedName>
    <definedName name="solver_rsd" localSheetId="4" hidden="1">0</definedName>
    <definedName name="solver_scl" localSheetId="4" hidden="1">2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2</definedName>
    <definedName name="solver_val" localSheetId="4" hidden="1">0</definedName>
    <definedName name="solver_ver" localSheetId="4" hidden="1">3</definedName>
    <definedName name="Spectrum">OFFSET('Buy List'!$T$3,'Buy List'!$Q$4*'Buy List'!$Q$27,,COUNT('Buy List'!$T$3:$T$502),)</definedName>
  </definedNames>
  <calcPr calcId="191029"/>
  <pivotCaches>
    <pivotCache cacheId="6" r:id="rId8"/>
    <pivotCache cacheId="11" r:id="rId9"/>
    <pivotCache cacheId="1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58" i="2" l="1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T64" i="7"/>
  <c r="W64" i="7" s="1"/>
  <c r="U64" i="7"/>
  <c r="V64" i="7" l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AC1" i="2"/>
  <c r="V317" i="2"/>
  <c r="V484" i="2"/>
  <c r="V93" i="2"/>
  <c r="V128" i="2"/>
  <c r="V368" i="2"/>
  <c r="V365" i="2"/>
  <c r="V267" i="2"/>
  <c r="V544" i="2"/>
  <c r="V241" i="2"/>
  <c r="V111" i="2"/>
  <c r="V147" i="2"/>
  <c r="V521" i="2"/>
  <c r="V292" i="2"/>
  <c r="V76" i="2"/>
  <c r="V34" i="2"/>
  <c r="V294" i="2"/>
  <c r="V450" i="2"/>
  <c r="V208" i="2"/>
  <c r="V295" i="2"/>
  <c r="V326" i="2"/>
  <c r="V263" i="2"/>
  <c r="V389" i="2"/>
  <c r="V335" i="2"/>
  <c r="V553" i="2"/>
  <c r="V351" i="2"/>
  <c r="V257" i="2"/>
  <c r="V220" i="2"/>
  <c r="V293" i="2"/>
  <c r="V383" i="2"/>
  <c r="V253" i="2"/>
  <c r="V170" i="2"/>
  <c r="V137" i="2"/>
  <c r="V524" i="2"/>
  <c r="V522" i="2"/>
  <c r="V360" i="2"/>
  <c r="V234" i="2"/>
  <c r="V17" i="2"/>
  <c r="V388" i="2"/>
  <c r="V92" i="2"/>
  <c r="V8" i="2"/>
  <c r="V219" i="2"/>
  <c r="V372" i="2"/>
  <c r="V113" i="2"/>
  <c r="V97" i="2"/>
  <c r="V139" i="2"/>
  <c r="V361" i="2"/>
  <c r="V68" i="2"/>
  <c r="V9" i="2"/>
  <c r="V88" i="2"/>
  <c r="V132" i="2"/>
  <c r="V268" i="2"/>
  <c r="V416" i="2"/>
  <c r="V512" i="2"/>
  <c r="V555" i="2"/>
  <c r="V206" i="2"/>
  <c r="V243" i="2"/>
  <c r="V471" i="2"/>
  <c r="V124" i="2"/>
  <c r="V486" i="2"/>
  <c r="V69" i="2"/>
  <c r="V194" i="2"/>
  <c r="V95" i="2"/>
  <c r="V531" i="2"/>
  <c r="V174" i="2"/>
  <c r="V428" i="2"/>
  <c r="V342" i="2"/>
  <c r="V481" i="2"/>
  <c r="V346" i="2"/>
  <c r="V19" i="2"/>
  <c r="V258" i="2"/>
  <c r="V129" i="2"/>
  <c r="V371" i="2"/>
  <c r="V140" i="2"/>
  <c r="V259" i="2"/>
  <c r="V238" i="2"/>
  <c r="V314" i="2"/>
  <c r="V406" i="2"/>
  <c r="V333" i="2"/>
  <c r="V163" i="2"/>
  <c r="V109" i="2"/>
  <c r="V254" i="2"/>
  <c r="V461" i="2"/>
  <c r="V184" i="2"/>
  <c r="V313" i="2"/>
  <c r="V135" i="2"/>
  <c r="V411" i="2"/>
  <c r="V273" i="2"/>
  <c r="V455" i="2"/>
  <c r="V299" i="2"/>
  <c r="V297" i="2"/>
  <c r="V36" i="2"/>
  <c r="V5" i="2"/>
  <c r="V41" i="2"/>
  <c r="V280" i="2"/>
  <c r="V413" i="2"/>
  <c r="V272" i="2"/>
  <c r="V345" i="2"/>
  <c r="V426" i="2"/>
  <c r="V271" i="2"/>
  <c r="V37" i="2"/>
  <c r="V22" i="2"/>
  <c r="V478" i="2"/>
  <c r="V489" i="2"/>
  <c r="V315" i="2"/>
  <c r="V260" i="2"/>
  <c r="V386" i="2"/>
  <c r="V404" i="2"/>
  <c r="V281" i="2"/>
  <c r="V282" i="2"/>
  <c r="V425" i="2"/>
  <c r="V212" i="2"/>
  <c r="V50" i="2"/>
  <c r="V336" i="2"/>
  <c r="V27" i="2"/>
  <c r="V154" i="2"/>
  <c r="V463" i="2"/>
  <c r="V538" i="2"/>
  <c r="V278" i="2"/>
  <c r="V537" i="2"/>
  <c r="V378" i="2"/>
  <c r="V423" i="2"/>
  <c r="V54" i="2"/>
  <c r="V533" i="2"/>
  <c r="V301" i="2"/>
  <c r="V187" i="2"/>
  <c r="V105" i="2"/>
  <c r="V7" i="2"/>
  <c r="V131" i="2"/>
  <c r="V270" i="2"/>
  <c r="V387" i="2"/>
  <c r="V513" i="2"/>
  <c r="V276" i="2"/>
  <c r="V153" i="2"/>
  <c r="V402" i="2"/>
  <c r="V285" i="2"/>
  <c r="V20" i="2"/>
  <c r="V482" i="2"/>
  <c r="V116" i="2"/>
  <c r="V439" i="2"/>
  <c r="V83" i="2"/>
  <c r="V437" i="2"/>
  <c r="V218" i="2"/>
  <c r="V31" i="2"/>
  <c r="V535" i="2"/>
  <c r="V44" i="2"/>
  <c r="V225" i="2"/>
  <c r="V515" i="2"/>
  <c r="V306" i="2"/>
  <c r="V498" i="2"/>
  <c r="V245" i="2"/>
  <c r="V108" i="2"/>
  <c r="V252" i="2"/>
  <c r="V321" i="2"/>
  <c r="V517" i="2"/>
  <c r="V100" i="2"/>
  <c r="V410" i="2"/>
  <c r="V497" i="2"/>
  <c r="V166" i="2"/>
  <c r="V29" i="2"/>
  <c r="V493" i="2"/>
  <c r="V39" i="2"/>
  <c r="V558" i="2"/>
  <c r="V25" i="2"/>
  <c r="V6" i="2"/>
  <c r="V305" i="2"/>
  <c r="V543" i="2"/>
  <c r="V56" i="2"/>
  <c r="V247" i="2"/>
  <c r="V511" i="2"/>
  <c r="V80" i="2"/>
  <c r="V530" i="2"/>
  <c r="V441" i="2"/>
  <c r="V523" i="2"/>
  <c r="V298" i="2"/>
  <c r="V286" i="2"/>
  <c r="V178" i="2"/>
  <c r="V352" i="2"/>
  <c r="V121" i="2"/>
  <c r="V185" i="2"/>
  <c r="V418" i="2"/>
  <c r="V436" i="2"/>
  <c r="V547" i="2"/>
  <c r="V500" i="2"/>
  <c r="V330" i="2"/>
  <c r="V186" i="2"/>
  <c r="V179" i="2"/>
  <c r="V507" i="2"/>
  <c r="V192" i="2"/>
  <c r="V503" i="2"/>
  <c r="V548" i="2"/>
  <c r="V373" i="2"/>
  <c r="V26" i="2"/>
  <c r="V91" i="2"/>
  <c r="V182" i="2"/>
  <c r="V311" i="2"/>
  <c r="V164" i="2"/>
  <c r="V190" i="2"/>
  <c r="V458" i="2"/>
  <c r="V506" i="2"/>
  <c r="V2" i="2"/>
  <c r="V117" i="2"/>
  <c r="V226" i="2"/>
  <c r="V319" i="2"/>
  <c r="V141" i="2"/>
  <c r="V242" i="2"/>
  <c r="V462" i="2"/>
  <c r="V61" i="2"/>
  <c r="V349" i="2"/>
  <c r="V237" i="2"/>
  <c r="V191" i="2"/>
  <c r="V398" i="2"/>
  <c r="V58" i="2"/>
  <c r="V79" i="2"/>
  <c r="V125" i="2"/>
  <c r="V440" i="2"/>
  <c r="V472" i="2"/>
  <c r="V72" i="2"/>
  <c r="V395" i="2"/>
  <c r="V77" i="2"/>
  <c r="V86" i="2"/>
  <c r="V149" i="2"/>
  <c r="V364" i="2"/>
  <c r="V269" i="2"/>
  <c r="V89" i="2"/>
  <c r="V446" i="2"/>
  <c r="V176" i="2"/>
  <c r="V130" i="2"/>
  <c r="V296" i="2"/>
  <c r="V222" i="2"/>
  <c r="V304" i="2"/>
  <c r="V248" i="2"/>
  <c r="V501" i="2"/>
  <c r="V255" i="2"/>
  <c r="V14" i="2"/>
  <c r="V145" i="2"/>
  <c r="V508" i="2"/>
  <c r="V4" i="2"/>
  <c r="V457" i="2"/>
  <c r="V499" i="2"/>
  <c r="V443" i="2"/>
  <c r="V331" i="2"/>
  <c r="V18" i="2"/>
  <c r="V123" i="2"/>
  <c r="V175" i="2"/>
  <c r="V385" i="2"/>
  <c r="V405" i="2"/>
  <c r="V87" i="2"/>
  <c r="V324" i="2"/>
  <c r="V332" i="2"/>
  <c r="V275" i="2"/>
  <c r="V379" i="2"/>
  <c r="V126" i="2"/>
  <c r="V355" i="2"/>
  <c r="V448" i="2"/>
  <c r="V290" i="2"/>
  <c r="V155" i="2"/>
  <c r="V158" i="2"/>
  <c r="V509" i="2"/>
  <c r="V10" i="2"/>
  <c r="V343" i="2"/>
  <c r="V274" i="2"/>
  <c r="V138" i="2"/>
  <c r="V474" i="2"/>
  <c r="V427" i="2"/>
  <c r="V539" i="2"/>
  <c r="V52" i="2"/>
  <c r="V541" i="2"/>
  <c r="V445" i="2"/>
  <c r="V98" i="2"/>
  <c r="V205" i="2"/>
  <c r="V215" i="2"/>
  <c r="V169" i="2"/>
  <c r="V454" i="2"/>
  <c r="V284" i="2"/>
  <c r="V73" i="2"/>
  <c r="V162" i="2"/>
  <c r="V490" i="2"/>
  <c r="V491" i="2"/>
  <c r="V101" i="2"/>
  <c r="V94" i="2"/>
  <c r="V429" i="2"/>
  <c r="V231" i="2"/>
  <c r="V53" i="2"/>
  <c r="V239" i="2"/>
  <c r="V338" i="2"/>
  <c r="V554" i="2"/>
  <c r="V309" i="2"/>
  <c r="V102" i="2"/>
  <c r="V134" i="2"/>
  <c r="V51" i="2"/>
  <c r="V550" i="2"/>
  <c r="V492" i="2"/>
  <c r="V115" i="2"/>
  <c r="V112" i="2"/>
  <c r="V456" i="2"/>
  <c r="V42" i="2"/>
  <c r="V341" i="2"/>
  <c r="V526" i="2"/>
  <c r="V221" i="2"/>
  <c r="V460" i="2"/>
  <c r="V180" i="2"/>
  <c r="V15" i="2"/>
  <c r="V529" i="2"/>
  <c r="V477" i="2"/>
  <c r="V432" i="2"/>
  <c r="V244" i="2"/>
  <c r="V136" i="2"/>
  <c r="V249" i="2"/>
  <c r="V99" i="2"/>
  <c r="V195" i="2"/>
  <c r="V177" i="2"/>
  <c r="V392" i="2"/>
  <c r="V532" i="2"/>
  <c r="V367" i="2"/>
  <c r="V473" i="2"/>
  <c r="V151" i="2"/>
  <c r="V337" i="2"/>
  <c r="V374" i="2"/>
  <c r="V82" i="2"/>
  <c r="V502" i="2"/>
  <c r="V431" i="2"/>
  <c r="V549" i="2"/>
  <c r="V325" i="2"/>
  <c r="V30" i="2"/>
  <c r="V104" i="2"/>
  <c r="V48" i="2"/>
  <c r="V229" i="2"/>
  <c r="V552" i="2"/>
  <c r="V62" i="2"/>
  <c r="V33" i="2"/>
  <c r="V469" i="2"/>
  <c r="V375" i="2"/>
  <c r="V183" i="2"/>
  <c r="V334" i="2"/>
  <c r="V119" i="2"/>
  <c r="V412" i="2"/>
  <c r="V494" i="2"/>
  <c r="V46" i="2"/>
  <c r="V122" i="2"/>
  <c r="V287" i="2"/>
  <c r="V546" i="2"/>
  <c r="V207" i="2"/>
  <c r="V188" i="2"/>
  <c r="V21" i="2"/>
  <c r="V465" i="2"/>
  <c r="V67" i="2"/>
  <c r="V204" i="2"/>
  <c r="V344" i="2"/>
  <c r="V376" i="2"/>
  <c r="V403" i="2"/>
  <c r="V514" i="2"/>
  <c r="V196" i="2"/>
  <c r="V160" i="2"/>
  <c r="V146" i="2"/>
  <c r="V43" i="2"/>
  <c r="V90" i="2"/>
  <c r="V64" i="2"/>
  <c r="V433" i="2"/>
  <c r="V479" i="2"/>
  <c r="V211" i="2"/>
  <c r="V144" i="2"/>
  <c r="V370" i="2"/>
  <c r="V419" i="2"/>
  <c r="V408" i="2"/>
  <c r="V534" i="2"/>
  <c r="V393" i="2"/>
  <c r="V400" i="2"/>
  <c r="V16" i="2"/>
  <c r="V227" i="2"/>
  <c r="V510" i="2"/>
  <c r="V327" i="2"/>
  <c r="V199" i="2"/>
  <c r="V11" i="2"/>
  <c r="V540" i="2"/>
  <c r="V453" i="2"/>
  <c r="V197" i="2"/>
  <c r="V156" i="2"/>
  <c r="V422" i="2"/>
  <c r="V452" i="2"/>
  <c r="V150" i="2"/>
  <c r="V152" i="2"/>
  <c r="V172" i="2"/>
  <c r="V47" i="2"/>
  <c r="V401" i="2"/>
  <c r="V63" i="2"/>
  <c r="V266" i="2"/>
  <c r="V357" i="2"/>
  <c r="V148" i="2"/>
  <c r="V213" i="2"/>
  <c r="V557" i="2"/>
  <c r="V165" i="2"/>
  <c r="V382" i="2"/>
  <c r="V430" i="2"/>
  <c r="V230" i="2"/>
  <c r="V256" i="2"/>
  <c r="V380" i="2"/>
  <c r="V70" i="2"/>
  <c r="V516" i="2"/>
  <c r="V328" i="2"/>
  <c r="V390" i="2"/>
  <c r="V103" i="2"/>
  <c r="V476" i="2"/>
  <c r="V369" i="2"/>
  <c r="V438" i="2"/>
  <c r="V35" i="2"/>
  <c r="V444" i="2"/>
  <c r="V470" i="2"/>
  <c r="V235" i="2"/>
  <c r="V519" i="2"/>
  <c r="V308" i="2"/>
  <c r="V495" i="2"/>
  <c r="V24" i="2"/>
  <c r="V168" i="2"/>
  <c r="V171" i="2"/>
  <c r="V407" i="2"/>
  <c r="V468" i="2"/>
  <c r="V480" i="2"/>
  <c r="V318" i="2"/>
  <c r="V45" i="2"/>
  <c r="V307" i="2"/>
  <c r="V363" i="2"/>
  <c r="V262" i="2"/>
  <c r="V347" i="2"/>
  <c r="V283" i="2"/>
  <c r="V339" i="2"/>
  <c r="V216" i="2"/>
  <c r="V198" i="2"/>
  <c r="V59" i="2"/>
  <c r="V451" i="2"/>
  <c r="V38" i="2"/>
  <c r="V66" i="2"/>
  <c r="V417" i="2"/>
  <c r="V551" i="2"/>
  <c r="V353" i="2"/>
  <c r="V420" i="2"/>
  <c r="V288" i="2"/>
  <c r="V264" i="2"/>
  <c r="V3" i="2"/>
  <c r="V496" i="2"/>
  <c r="V356" i="2"/>
  <c r="V359" i="2"/>
  <c r="V96" i="2"/>
  <c r="V81" i="2"/>
  <c r="V74" i="2"/>
  <c r="V350" i="2"/>
  <c r="V488" i="2"/>
  <c r="V302" i="2"/>
  <c r="V265" i="2"/>
  <c r="V110" i="2"/>
  <c r="V60" i="2"/>
  <c r="V303" i="2"/>
  <c r="V224" i="2"/>
  <c r="V291" i="2"/>
  <c r="V399" i="2"/>
  <c r="V120" i="2"/>
  <c r="V414" i="2"/>
  <c r="V434" i="2"/>
  <c r="V157" i="2"/>
  <c r="V250" i="2"/>
  <c r="V161" i="2"/>
  <c r="V107" i="2"/>
  <c r="V143" i="2"/>
  <c r="V133" i="2"/>
  <c r="V545" i="2"/>
  <c r="V114" i="2"/>
  <c r="V55" i="2"/>
  <c r="V261" i="2"/>
  <c r="V415" i="2"/>
  <c r="V397" i="2"/>
  <c r="V320" i="2"/>
  <c r="V106" i="2"/>
  <c r="V421" i="2"/>
  <c r="V279" i="2"/>
  <c r="V323" i="2"/>
  <c r="V366" i="2"/>
  <c r="V246" i="2"/>
  <c r="V329" i="2"/>
  <c r="V409" i="2"/>
  <c r="V312" i="2"/>
  <c r="V65" i="2"/>
  <c r="V28" i="2"/>
  <c r="V518" i="2"/>
  <c r="V348" i="2"/>
  <c r="V223" i="2"/>
  <c r="V536" i="2"/>
  <c r="V13" i="2"/>
  <c r="V381" i="2"/>
  <c r="V251" i="2"/>
  <c r="V527" i="2"/>
  <c r="V127" i="2"/>
  <c r="V203" i="2"/>
  <c r="V459" i="2"/>
  <c r="V556" i="2"/>
  <c r="V217" i="2"/>
  <c r="V75" i="2"/>
  <c r="V23" i="2"/>
  <c r="V528" i="2"/>
  <c r="V78" i="2"/>
  <c r="V396" i="2"/>
  <c r="V449" i="2"/>
  <c r="V289" i="2"/>
  <c r="V240" i="2"/>
  <c r="V447" i="2"/>
  <c r="V233" i="2"/>
  <c r="V377" i="2"/>
  <c r="V354" i="2"/>
  <c r="V394" i="2"/>
  <c r="V189" i="2"/>
  <c r="V384" i="2"/>
  <c r="V236" i="2"/>
  <c r="V228" i="2"/>
  <c r="V485" i="2"/>
  <c r="V316" i="2"/>
  <c r="V483" i="2"/>
  <c r="V322" i="2"/>
  <c r="V435" i="2"/>
  <c r="V310" i="2"/>
  <c r="V340" i="2"/>
  <c r="V464" i="2"/>
  <c r="V232" i="2"/>
  <c r="V358" i="2"/>
  <c r="V32" i="2"/>
  <c r="V85" i="2"/>
  <c r="V520" i="2"/>
  <c r="V442" i="2"/>
  <c r="V57" i="2"/>
  <c r="V202" i="2"/>
  <c r="V201" i="2"/>
  <c r="V118" i="2"/>
  <c r="V71" i="2"/>
  <c r="V214" i="2"/>
  <c r="V466" i="2"/>
  <c r="V300" i="2"/>
  <c r="V542" i="2"/>
  <c r="V40" i="2"/>
  <c r="V142" i="2"/>
  <c r="V210" i="2"/>
  <c r="V504" i="2"/>
  <c r="V505" i="2"/>
  <c r="V181" i="2"/>
  <c r="V200" i="2"/>
  <c r="V12" i="2"/>
  <c r="V193" i="2"/>
  <c r="V173" i="2"/>
  <c r="V475" i="2"/>
  <c r="V391" i="2"/>
  <c r="V487" i="2"/>
  <c r="V277" i="2"/>
  <c r="V159" i="2"/>
  <c r="V467" i="2"/>
  <c r="V84" i="2"/>
  <c r="V424" i="2"/>
  <c r="V209" i="2"/>
  <c r="V167" i="2"/>
  <c r="V49" i="2"/>
  <c r="V362" i="2"/>
  <c r="V525" i="2"/>
  <c r="C16" i="6"/>
  <c r="D16" i="6"/>
  <c r="L250" i="1" a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C15" i="6"/>
  <c r="D15" i="6"/>
  <c r="Y93" i="2"/>
  <c r="X93" i="2"/>
  <c r="T93" i="2"/>
  <c r="R93" i="2"/>
  <c r="Q93" i="2"/>
  <c r="P93" i="2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4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4" i="1"/>
  <c r="T62" i="7"/>
  <c r="W62" i="7" s="1"/>
  <c r="T63" i="7"/>
  <c r="W63" i="7" s="1"/>
  <c r="T11" i="7"/>
  <c r="W11" i="7" s="1"/>
  <c r="T12" i="7"/>
  <c r="T13" i="7"/>
  <c r="W13" i="7" s="1"/>
  <c r="T14" i="7"/>
  <c r="W14" i="7" s="1"/>
  <c r="T15" i="7"/>
  <c r="W15" i="7" s="1"/>
  <c r="T16" i="7"/>
  <c r="W16" i="7" s="1"/>
  <c r="T17" i="7"/>
  <c r="W17" i="7" s="1"/>
  <c r="T18" i="7"/>
  <c r="W18" i="7" s="1"/>
  <c r="T19" i="7"/>
  <c r="W19" i="7" s="1"/>
  <c r="T20" i="7"/>
  <c r="W20" i="7" s="1"/>
  <c r="T21" i="7"/>
  <c r="W21" i="7" s="1"/>
  <c r="T22" i="7"/>
  <c r="W22" i="7" s="1"/>
  <c r="T23" i="7"/>
  <c r="W23" i="7" s="1"/>
  <c r="T24" i="7"/>
  <c r="W24" i="7" s="1"/>
  <c r="T25" i="7"/>
  <c r="W25" i="7" s="1"/>
  <c r="T26" i="7"/>
  <c r="W26" i="7" s="1"/>
  <c r="T27" i="7"/>
  <c r="W27" i="7" s="1"/>
  <c r="T28" i="7"/>
  <c r="W28" i="7" s="1"/>
  <c r="T29" i="7"/>
  <c r="W29" i="7" s="1"/>
  <c r="T30" i="7"/>
  <c r="T31" i="7"/>
  <c r="W31" i="7" s="1"/>
  <c r="T32" i="7"/>
  <c r="W32" i="7" s="1"/>
  <c r="T33" i="7"/>
  <c r="W33" i="7" s="1"/>
  <c r="T34" i="7"/>
  <c r="W34" i="7" s="1"/>
  <c r="T35" i="7"/>
  <c r="W35" i="7" s="1"/>
  <c r="T36" i="7"/>
  <c r="W36" i="7" s="1"/>
  <c r="T37" i="7"/>
  <c r="W37" i="7" s="1"/>
  <c r="T38" i="7"/>
  <c r="W38" i="7" s="1"/>
  <c r="T39" i="7"/>
  <c r="W39" i="7" s="1"/>
  <c r="T40" i="7"/>
  <c r="W40" i="7" s="1"/>
  <c r="T41" i="7"/>
  <c r="W41" i="7" s="1"/>
  <c r="T42" i="7"/>
  <c r="W42" i="7" s="1"/>
  <c r="T43" i="7"/>
  <c r="W43" i="7" s="1"/>
  <c r="T44" i="7"/>
  <c r="W44" i="7" s="1"/>
  <c r="T45" i="7"/>
  <c r="W45" i="7" s="1"/>
  <c r="T46" i="7"/>
  <c r="W46" i="7" s="1"/>
  <c r="T47" i="7"/>
  <c r="W47" i="7" s="1"/>
  <c r="T48" i="7"/>
  <c r="W48" i="7" s="1"/>
  <c r="T49" i="7"/>
  <c r="W49" i="7" s="1"/>
  <c r="T50" i="7"/>
  <c r="W50" i="7" s="1"/>
  <c r="T51" i="7"/>
  <c r="W51" i="7" s="1"/>
  <c r="T52" i="7"/>
  <c r="W52" i="7" s="1"/>
  <c r="T53" i="7"/>
  <c r="W53" i="7" s="1"/>
  <c r="T54" i="7"/>
  <c r="W54" i="7" s="1"/>
  <c r="T55" i="7"/>
  <c r="W55" i="7" s="1"/>
  <c r="T56" i="7"/>
  <c r="W56" i="7" s="1"/>
  <c r="T57" i="7"/>
  <c r="W57" i="7" s="1"/>
  <c r="T58" i="7"/>
  <c r="W58" i="7" s="1"/>
  <c r="T59" i="7"/>
  <c r="W59" i="7" s="1"/>
  <c r="T60" i="7"/>
  <c r="W60" i="7" s="1"/>
  <c r="T61" i="7"/>
  <c r="W61" i="7" s="1"/>
  <c r="T2" i="7"/>
  <c r="W2" i="7" s="1"/>
  <c r="U2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4" i="6"/>
  <c r="C4" i="6"/>
  <c r="D5" i="6"/>
  <c r="W93" i="2" l="1"/>
  <c r="Z93" i="2" s="1"/>
  <c r="W30" i="7"/>
  <c r="W12" i="7"/>
  <c r="J250" i="1"/>
  <c r="N380" i="1"/>
  <c r="N283" i="1"/>
  <c r="N373" i="1"/>
  <c r="N305" i="1"/>
  <c r="N250" i="1"/>
  <c r="N395" i="1"/>
  <c r="N258" i="1"/>
  <c r="N304" i="1"/>
  <c r="N318" i="1"/>
  <c r="N375" i="1"/>
  <c r="N334" i="1"/>
  <c r="N348" i="1"/>
  <c r="N309" i="1"/>
  <c r="N409" i="1"/>
  <c r="N313" i="1"/>
  <c r="N294" i="1"/>
  <c r="N272" i="1"/>
  <c r="N273" i="1"/>
  <c r="N316" i="1"/>
  <c r="N275" i="1"/>
  <c r="N410" i="1"/>
  <c r="N406" i="1"/>
  <c r="N315" i="1"/>
  <c r="N280" i="1"/>
  <c r="N399" i="1"/>
  <c r="N279" i="1"/>
  <c r="N254" i="1"/>
  <c r="N284" i="1"/>
  <c r="N286" i="1"/>
  <c r="N330" i="1"/>
  <c r="N332" i="1"/>
  <c r="N390" i="1"/>
  <c r="N266" i="1"/>
  <c r="N324" i="1"/>
  <c r="N298" i="1"/>
  <c r="N300" i="1"/>
  <c r="N344" i="1"/>
  <c r="N402" i="1"/>
  <c r="N404" i="1"/>
  <c r="N252" i="1"/>
  <c r="N338" i="1"/>
  <c r="N312" i="1"/>
  <c r="N342" i="1"/>
  <c r="N358" i="1"/>
  <c r="N263" i="1"/>
  <c r="N407" i="1"/>
  <c r="N377" i="1"/>
  <c r="N352" i="1"/>
  <c r="N382" i="1"/>
  <c r="N356" i="1"/>
  <c r="N372" i="1"/>
  <c r="N277" i="1"/>
  <c r="N337" i="1"/>
  <c r="N363" i="1"/>
  <c r="N366" i="1"/>
  <c r="N396" i="1"/>
  <c r="N370" i="1"/>
  <c r="N261" i="1"/>
  <c r="N291" i="1"/>
  <c r="N323" i="1"/>
  <c r="N349" i="1"/>
  <c r="N255" i="1"/>
  <c r="N257" i="1"/>
  <c r="N287" i="1"/>
  <c r="N289" i="1"/>
  <c r="N347" i="1"/>
  <c r="N295" i="1"/>
  <c r="N265" i="1"/>
  <c r="N269" i="1"/>
  <c r="N271" i="1"/>
  <c r="N301" i="1"/>
  <c r="N359" i="1"/>
  <c r="N361" i="1"/>
  <c r="N281" i="1"/>
  <c r="N251" i="1"/>
  <c r="N412" i="1"/>
  <c r="M413" i="1"/>
  <c r="N353" i="1"/>
  <c r="N327" i="1"/>
  <c r="N329" i="1"/>
  <c r="N387" i="1"/>
  <c r="N292" i="1"/>
  <c r="N392" i="1"/>
  <c r="N367" i="1"/>
  <c r="N341" i="1"/>
  <c r="N371" i="1"/>
  <c r="N401" i="1"/>
  <c r="N306" i="1"/>
  <c r="N378" i="1"/>
  <c r="N381" i="1"/>
  <c r="N411" i="1"/>
  <c r="N385" i="1"/>
  <c r="N262" i="1"/>
  <c r="N320" i="1"/>
  <c r="N308" i="1"/>
  <c r="N394" i="1"/>
  <c r="N256" i="1"/>
  <c r="N285" i="1"/>
  <c r="N314" i="1"/>
  <c r="N343" i="1"/>
  <c r="N386" i="1"/>
  <c r="N276" i="1"/>
  <c r="N319" i="1"/>
  <c r="N362" i="1"/>
  <c r="N267" i="1"/>
  <c r="N405" i="1"/>
  <c r="N408" i="1"/>
  <c r="N270" i="1"/>
  <c r="N299" i="1"/>
  <c r="N328" i="1"/>
  <c r="N357" i="1"/>
  <c r="N400" i="1"/>
  <c r="N290" i="1"/>
  <c r="N333" i="1"/>
  <c r="N376" i="1"/>
  <c r="N253" i="1"/>
  <c r="N391" i="1"/>
  <c r="N268" i="1"/>
  <c r="N297" i="1"/>
  <c r="N326" i="1"/>
  <c r="N355" i="1"/>
  <c r="N384" i="1"/>
  <c r="N260" i="1"/>
  <c r="N303" i="1"/>
  <c r="N346" i="1"/>
  <c r="N389" i="1"/>
  <c r="N393" i="1"/>
  <c r="N364" i="1"/>
  <c r="N335" i="1"/>
  <c r="N282" i="1"/>
  <c r="N311" i="1"/>
  <c r="N340" i="1"/>
  <c r="N369" i="1"/>
  <c r="N398" i="1"/>
  <c r="N274" i="1"/>
  <c r="N317" i="1"/>
  <c r="N360" i="1"/>
  <c r="N403" i="1"/>
  <c r="N379" i="1"/>
  <c r="N350" i="1"/>
  <c r="N321" i="1"/>
  <c r="N296" i="1"/>
  <c r="N325" i="1"/>
  <c r="N354" i="1"/>
  <c r="N383" i="1"/>
  <c r="N288" i="1"/>
  <c r="N331" i="1"/>
  <c r="N374" i="1"/>
  <c r="N264" i="1"/>
  <c r="N365" i="1"/>
  <c r="N336" i="1"/>
  <c r="N307" i="1"/>
  <c r="N310" i="1"/>
  <c r="N339" i="1"/>
  <c r="N368" i="1"/>
  <c r="N397" i="1"/>
  <c r="N259" i="1"/>
  <c r="N302" i="1"/>
  <c r="N345" i="1"/>
  <c r="N388" i="1"/>
  <c r="N278" i="1"/>
  <c r="N351" i="1"/>
  <c r="N322" i="1"/>
  <c r="N293" i="1"/>
  <c r="V63" i="7"/>
  <c r="V62" i="7"/>
  <c r="C5" i="6"/>
  <c r="M414" i="1" l="1"/>
  <c r="N413" i="1"/>
  <c r="V18" i="7"/>
  <c r="V20" i="7"/>
  <c r="V17" i="7"/>
  <c r="V15" i="7"/>
  <c r="N414" i="1" l="1"/>
  <c r="M415" i="1"/>
  <c r="S10" i="7"/>
  <c r="T10" i="7" s="1"/>
  <c r="W10" i="7" s="1"/>
  <c r="S9" i="7"/>
  <c r="T9" i="7" s="1"/>
  <c r="W9" i="7" s="1"/>
  <c r="S8" i="7"/>
  <c r="T8" i="7" s="1"/>
  <c r="W8" i="7" s="1"/>
  <c r="S7" i="7"/>
  <c r="T7" i="7" s="1"/>
  <c r="W7" i="7" s="1"/>
  <c r="S6" i="7"/>
  <c r="T6" i="7" s="1"/>
  <c r="W6" i="7" s="1"/>
  <c r="S5" i="7"/>
  <c r="T5" i="7" s="1"/>
  <c r="W5" i="7" s="1"/>
  <c r="S4" i="7"/>
  <c r="T4" i="7" s="1"/>
  <c r="W4" i="7" s="1"/>
  <c r="S3" i="7"/>
  <c r="T3" i="7" s="1"/>
  <c r="W3" i="7" s="1"/>
  <c r="P248" i="1"/>
  <c r="Q248" i="1" s="1"/>
  <c r="R248" i="1" s="1"/>
  <c r="O248" i="1"/>
  <c r="P247" i="1"/>
  <c r="Q247" i="1" s="1"/>
  <c r="O247" i="1"/>
  <c r="P246" i="1"/>
  <c r="Q246" i="1" s="1"/>
  <c r="O246" i="1"/>
  <c r="O242" i="1"/>
  <c r="P242" i="1"/>
  <c r="O243" i="1"/>
  <c r="P243" i="1"/>
  <c r="Q243" i="1" s="1"/>
  <c r="R243" i="1"/>
  <c r="O244" i="1"/>
  <c r="P244" i="1"/>
  <c r="R244" i="1"/>
  <c r="O245" i="1"/>
  <c r="P245" i="1"/>
  <c r="P241" i="1"/>
  <c r="O241" i="1"/>
  <c r="R170" i="2"/>
  <c r="R248" i="2"/>
  <c r="R89" i="2"/>
  <c r="R73" i="2"/>
  <c r="R401" i="2"/>
  <c r="R525" i="2"/>
  <c r="R344" i="2"/>
  <c r="R465" i="2"/>
  <c r="R37" i="2"/>
  <c r="R147" i="2"/>
  <c r="R362" i="2"/>
  <c r="R271" i="2"/>
  <c r="R295" i="2"/>
  <c r="R468" i="2"/>
  <c r="R398" i="2"/>
  <c r="R35" i="2"/>
  <c r="R18" i="2"/>
  <c r="R49" i="2"/>
  <c r="R94" i="2"/>
  <c r="R100" i="2"/>
  <c r="R38" i="2"/>
  <c r="R134" i="2"/>
  <c r="R285" i="2"/>
  <c r="R522" i="2"/>
  <c r="R167" i="2"/>
  <c r="R197" i="2"/>
  <c r="R374" i="2"/>
  <c r="R419" i="2"/>
  <c r="R53" i="2"/>
  <c r="R98" i="2"/>
  <c r="R320" i="2"/>
  <c r="R25" i="2"/>
  <c r="R486" i="2"/>
  <c r="R258" i="2"/>
  <c r="R508" i="2"/>
  <c r="R15" i="2"/>
  <c r="R209" i="2"/>
  <c r="R284" i="2"/>
  <c r="R24" i="2"/>
  <c r="R136" i="2"/>
  <c r="R503" i="2"/>
  <c r="R530" i="2"/>
  <c r="R424" i="2"/>
  <c r="R412" i="2"/>
  <c r="R526" i="2"/>
  <c r="R456" i="2"/>
  <c r="R155" i="2"/>
  <c r="R105" i="2"/>
  <c r="R221" i="2"/>
  <c r="R304" i="2"/>
  <c r="R433" i="2"/>
  <c r="R21" i="2"/>
  <c r="R506" i="2"/>
  <c r="R364" i="2"/>
  <c r="R250" i="2"/>
  <c r="R269" i="2"/>
  <c r="R476" i="2"/>
  <c r="R263" i="2"/>
  <c r="R324" i="2"/>
  <c r="R82" i="2"/>
  <c r="R437" i="2"/>
  <c r="R429" i="2"/>
  <c r="R174" i="2"/>
  <c r="R392" i="2"/>
  <c r="R280" i="2"/>
  <c r="R126" i="2"/>
  <c r="R213" i="2"/>
  <c r="R426" i="2"/>
  <c r="R113" i="2"/>
  <c r="R558" i="2"/>
  <c r="R112" i="2"/>
  <c r="R128" i="2"/>
  <c r="R537" i="2"/>
  <c r="R42" i="2"/>
  <c r="R359" i="2"/>
  <c r="R507" i="2"/>
  <c r="R293" i="2"/>
  <c r="R84" i="2"/>
  <c r="R467" i="2"/>
  <c r="R159" i="2"/>
  <c r="R249" i="2"/>
  <c r="R277" i="2"/>
  <c r="R153" i="2"/>
  <c r="R253" i="2"/>
  <c r="R306" i="2"/>
  <c r="R543" i="2"/>
  <c r="R165" i="2"/>
  <c r="R54" i="2"/>
  <c r="R487" i="2"/>
  <c r="R513" i="2"/>
  <c r="R517" i="2"/>
  <c r="R124" i="2"/>
  <c r="R391" i="2"/>
  <c r="R297" i="2"/>
  <c r="R17" i="2"/>
  <c r="R90" i="2"/>
  <c r="R299" i="2"/>
  <c r="R148" i="2"/>
  <c r="R83" i="2"/>
  <c r="R415" i="2"/>
  <c r="R137" i="2"/>
  <c r="R345" i="2"/>
  <c r="R27" i="2"/>
  <c r="R411" i="2"/>
  <c r="R475" i="2"/>
  <c r="R439" i="2"/>
  <c r="R173" i="2"/>
  <c r="R177" i="2"/>
  <c r="R193" i="2"/>
  <c r="R12" i="2"/>
  <c r="R548" i="2"/>
  <c r="R494" i="2"/>
  <c r="R463" i="2"/>
  <c r="R357" i="2"/>
  <c r="R552" i="2"/>
  <c r="R524" i="2"/>
  <c r="R200" i="2"/>
  <c r="R212" i="2"/>
  <c r="R181" i="2"/>
  <c r="R10" i="2"/>
  <c r="R314" i="2"/>
  <c r="R405" i="2"/>
  <c r="R91" i="2"/>
  <c r="R505" i="2"/>
  <c r="R160" i="2"/>
  <c r="R385" i="2"/>
  <c r="R504" i="2"/>
  <c r="R441" i="2"/>
  <c r="R210" i="2"/>
  <c r="R399" i="2"/>
  <c r="R142" i="2"/>
  <c r="R379" i="2"/>
  <c r="R267" i="2"/>
  <c r="R40" i="2"/>
  <c r="R229" i="2"/>
  <c r="R368" i="2"/>
  <c r="R542" i="2"/>
  <c r="R300" i="2"/>
  <c r="R294" i="2"/>
  <c r="R102" i="2"/>
  <c r="R375" i="2"/>
  <c r="R237" i="2"/>
  <c r="R367" i="2"/>
  <c r="R286" i="2"/>
  <c r="R131" i="2"/>
  <c r="R119" i="2"/>
  <c r="R76" i="2"/>
  <c r="R301" i="2"/>
  <c r="R406" i="2"/>
  <c r="R116" i="2"/>
  <c r="R39" i="2"/>
  <c r="R331" i="2"/>
  <c r="R6" i="2"/>
  <c r="R22" i="2"/>
  <c r="R151" i="2"/>
  <c r="R438" i="2"/>
  <c r="R87" i="2"/>
  <c r="R466" i="2"/>
  <c r="R188" i="2"/>
  <c r="R214" i="2"/>
  <c r="R489" i="2"/>
  <c r="R48" i="2"/>
  <c r="R244" i="2"/>
  <c r="R107" i="2"/>
  <c r="R516" i="2"/>
  <c r="R71" i="2"/>
  <c r="R328" i="2"/>
  <c r="R118" i="2"/>
  <c r="R341" i="2"/>
  <c r="R261" i="2"/>
  <c r="R205" i="2"/>
  <c r="R9" i="2"/>
  <c r="R499" i="2"/>
  <c r="R272" i="2"/>
  <c r="R138" i="2"/>
  <c r="R410" i="2"/>
  <c r="R201" i="2"/>
  <c r="R47" i="2"/>
  <c r="R63" i="2"/>
  <c r="R156" i="2"/>
  <c r="R121" i="2"/>
  <c r="R238" i="2"/>
  <c r="R224" i="2"/>
  <c r="R41" i="2"/>
  <c r="R282" i="2"/>
  <c r="R143" i="2"/>
  <c r="R387" i="2"/>
  <c r="R547" i="2"/>
  <c r="R370" i="2"/>
  <c r="R202" i="2"/>
  <c r="R50" i="2"/>
  <c r="R57" i="2"/>
  <c r="R184" i="2"/>
  <c r="R442" i="2"/>
  <c r="R278" i="2"/>
  <c r="R298" i="2"/>
  <c r="R408" i="2"/>
  <c r="R455" i="2"/>
  <c r="R520" i="2"/>
  <c r="R347" i="2"/>
  <c r="R59" i="2"/>
  <c r="R352" i="2"/>
  <c r="R31" i="2"/>
  <c r="R427" i="2"/>
  <c r="R270" i="2"/>
  <c r="R164" i="2"/>
  <c r="R533" i="2"/>
  <c r="R183" i="2"/>
  <c r="R85" i="2"/>
  <c r="R70" i="2"/>
  <c r="R407" i="2"/>
  <c r="R416" i="2"/>
  <c r="R158" i="2"/>
  <c r="R313" i="2"/>
  <c r="R216" i="2"/>
  <c r="R190" i="2"/>
  <c r="R67" i="2"/>
  <c r="R481" i="2"/>
  <c r="R397" i="2"/>
  <c r="R154" i="2"/>
  <c r="R292" i="2"/>
  <c r="R311" i="2"/>
  <c r="R187" i="2"/>
  <c r="R32" i="2"/>
  <c r="R423" i="2"/>
  <c r="R268" i="2"/>
  <c r="R353" i="2"/>
  <c r="R355" i="2"/>
  <c r="R222" i="2"/>
  <c r="R115" i="2"/>
  <c r="R356" i="2"/>
  <c r="R146" i="2"/>
  <c r="R365" i="2"/>
  <c r="R389" i="2"/>
  <c r="R482" i="2"/>
  <c r="R554" i="2"/>
  <c r="R208" i="2"/>
  <c r="R358" i="2"/>
  <c r="R276" i="2"/>
  <c r="R436" i="2"/>
  <c r="R132" i="2"/>
  <c r="R95" i="2"/>
  <c r="R207" i="2"/>
  <c r="R349" i="2"/>
  <c r="R106" i="2"/>
  <c r="R104" i="2"/>
  <c r="R337" i="2"/>
  <c r="R108" i="2"/>
  <c r="R339" i="2"/>
  <c r="R74" i="2"/>
  <c r="R232" i="2"/>
  <c r="R133" i="2"/>
  <c r="R464" i="2"/>
  <c r="R350" i="2"/>
  <c r="R393" i="2"/>
  <c r="R198" i="2"/>
  <c r="R434" i="2"/>
  <c r="R88" i="2"/>
  <c r="R395" i="2"/>
  <c r="R340" i="2"/>
  <c r="R30" i="2"/>
  <c r="R310" i="2"/>
  <c r="R418" i="2"/>
  <c r="R369" i="2"/>
  <c r="R477" i="2"/>
  <c r="R56" i="2"/>
  <c r="R383" i="2"/>
  <c r="R435" i="2"/>
  <c r="R101" i="2"/>
  <c r="R252" i="2"/>
  <c r="R44" i="2"/>
  <c r="R444" i="2"/>
  <c r="R230" i="2"/>
  <c r="R317" i="2"/>
  <c r="R288" i="2"/>
  <c r="R498" i="2"/>
  <c r="R420" i="2"/>
  <c r="R245" i="2"/>
  <c r="R338" i="2"/>
  <c r="R451" i="2"/>
  <c r="R531" i="2"/>
  <c r="R322" i="2"/>
  <c r="R382" i="2"/>
  <c r="R473" i="2"/>
  <c r="R483" i="2"/>
  <c r="R470" i="2"/>
  <c r="R488" i="2"/>
  <c r="R3" i="2"/>
  <c r="R231" i="2"/>
  <c r="R318" i="2"/>
  <c r="R227" i="2"/>
  <c r="R281" i="2"/>
  <c r="R316" i="2"/>
  <c r="R319" i="2"/>
  <c r="R485" i="2"/>
  <c r="R474" i="2"/>
  <c r="R534" i="2"/>
  <c r="R326" i="2"/>
  <c r="R123" i="2"/>
  <c r="R26" i="2"/>
  <c r="R372" i="2"/>
  <c r="R228" i="2"/>
  <c r="R236" i="2"/>
  <c r="R384" i="2"/>
  <c r="R514" i="2"/>
  <c r="R189" i="2"/>
  <c r="R125" i="2"/>
  <c r="R194" i="2"/>
  <c r="R422" i="2"/>
  <c r="R529" i="2"/>
  <c r="R380" i="2"/>
  <c r="R275" i="2"/>
  <c r="R145" i="2"/>
  <c r="R305" i="2"/>
  <c r="R555" i="2"/>
  <c r="R68" i="2"/>
  <c r="R492" i="2"/>
  <c r="R225" i="2"/>
  <c r="R461" i="2"/>
  <c r="R283" i="2"/>
  <c r="R394" i="2"/>
  <c r="R480" i="2"/>
  <c r="R43" i="2"/>
  <c r="R327" i="2"/>
  <c r="R309" i="2"/>
  <c r="R51" i="2"/>
  <c r="R29" i="2"/>
  <c r="R172" i="2"/>
  <c r="R493" i="2"/>
  <c r="R33" i="2"/>
  <c r="R64" i="2"/>
  <c r="R354" i="2"/>
  <c r="R377" i="2"/>
  <c r="R302" i="2"/>
  <c r="R256" i="2"/>
  <c r="R19" i="2"/>
  <c r="R546" i="2"/>
  <c r="R233" i="2"/>
  <c r="R291" i="2"/>
  <c r="R260" i="2"/>
  <c r="R58" i="2"/>
  <c r="R425" i="2"/>
  <c r="R553" i="2"/>
  <c r="R510" i="2"/>
  <c r="R447" i="2"/>
  <c r="R315" i="2"/>
  <c r="R273" i="2"/>
  <c r="R61" i="2"/>
  <c r="R111" i="2"/>
  <c r="R443" i="2"/>
  <c r="R243" i="2"/>
  <c r="R484" i="2"/>
  <c r="R557" i="2"/>
  <c r="R199" i="2"/>
  <c r="R386" i="2"/>
  <c r="R240" i="2"/>
  <c r="R376" i="2"/>
  <c r="R287" i="2"/>
  <c r="R97" i="2"/>
  <c r="R117" i="2"/>
  <c r="R454" i="2"/>
  <c r="R220" i="2"/>
  <c r="R414" i="2"/>
  <c r="R2" i="2"/>
  <c r="R219" i="2"/>
  <c r="R321" i="2"/>
  <c r="R257" i="2"/>
  <c r="R5" i="2"/>
  <c r="R180" i="2"/>
  <c r="R500" i="2"/>
  <c r="R166" i="2"/>
  <c r="R495" i="2"/>
  <c r="R497" i="2"/>
  <c r="R450" i="2"/>
  <c r="R72" i="2"/>
  <c r="R371" i="2"/>
  <c r="R515" i="2"/>
  <c r="R144" i="2"/>
  <c r="R325" i="2"/>
  <c r="R462" i="2"/>
  <c r="R66" i="2"/>
  <c r="R289" i="2"/>
  <c r="R413" i="2"/>
  <c r="R335" i="2"/>
  <c r="R171" i="2"/>
  <c r="R34" i="2"/>
  <c r="R403" i="2"/>
  <c r="R149" i="2"/>
  <c r="R182" i="2"/>
  <c r="R404" i="2"/>
  <c r="R402" i="2"/>
  <c r="R449" i="2"/>
  <c r="R545" i="2"/>
  <c r="R396" i="2"/>
  <c r="R79" i="2"/>
  <c r="R334" i="2"/>
  <c r="R161" i="2"/>
  <c r="R549" i="2"/>
  <c r="R363" i="2"/>
  <c r="R78" i="2"/>
  <c r="R428" i="2"/>
  <c r="R178" i="2"/>
  <c r="R528" i="2"/>
  <c r="R491" i="2"/>
  <c r="R23" i="2"/>
  <c r="R458" i="2"/>
  <c r="R75" i="2"/>
  <c r="R217" i="2"/>
  <c r="R36" i="2"/>
  <c r="R80" i="2"/>
  <c r="R361" i="2"/>
  <c r="R196" i="2"/>
  <c r="R241" i="2"/>
  <c r="R551" i="2"/>
  <c r="R274" i="2"/>
  <c r="R308" i="2"/>
  <c r="R262" i="2"/>
  <c r="R14" i="2"/>
  <c r="R544" i="2"/>
  <c r="R388" i="2"/>
  <c r="R20" i="2"/>
  <c r="R431" i="2"/>
  <c r="R254" i="2"/>
  <c r="R556" i="2"/>
  <c r="R122" i="2"/>
  <c r="R296" i="2"/>
  <c r="R459" i="2"/>
  <c r="R129" i="2"/>
  <c r="R336" i="2"/>
  <c r="R192" i="2"/>
  <c r="R332" i="2"/>
  <c r="R175" i="2"/>
  <c r="R432" i="2"/>
  <c r="R242" i="2"/>
  <c r="R8" i="2"/>
  <c r="R77" i="2"/>
  <c r="R203" i="2"/>
  <c r="R127" i="2"/>
  <c r="R150" i="2"/>
  <c r="R538" i="2"/>
  <c r="R527" i="2"/>
  <c r="R52" i="2"/>
  <c r="R211" i="2"/>
  <c r="R303" i="2"/>
  <c r="R512" i="2"/>
  <c r="R103" i="2"/>
  <c r="R60" i="2"/>
  <c r="R251" i="2"/>
  <c r="R421" i="2"/>
  <c r="R264" i="2"/>
  <c r="R157" i="2"/>
  <c r="R343" i="2"/>
  <c r="R290" i="2"/>
  <c r="R130" i="2"/>
  <c r="R373" i="2"/>
  <c r="R381" i="2"/>
  <c r="R92" i="2"/>
  <c r="R191" i="2"/>
  <c r="R478" i="2"/>
  <c r="R13" i="2"/>
  <c r="R502" i="2"/>
  <c r="R140" i="2"/>
  <c r="R457" i="2"/>
  <c r="R490" i="2"/>
  <c r="R239" i="2"/>
  <c r="R333" i="2"/>
  <c r="R536" i="2"/>
  <c r="R346" i="2"/>
  <c r="R141" i="2"/>
  <c r="R69" i="2"/>
  <c r="R234" i="2"/>
  <c r="R169" i="2"/>
  <c r="R511" i="2"/>
  <c r="R163" i="2"/>
  <c r="R16" i="2"/>
  <c r="R550" i="2"/>
  <c r="R342" i="2"/>
  <c r="R523" i="2"/>
  <c r="R223" i="2"/>
  <c r="R348" i="2"/>
  <c r="R110" i="2"/>
  <c r="R135" i="2"/>
  <c r="R518" i="2"/>
  <c r="R218" i="2"/>
  <c r="R539" i="2"/>
  <c r="R176" i="2"/>
  <c r="R4" i="2"/>
  <c r="R452" i="2"/>
  <c r="R28" i="2"/>
  <c r="R351" i="2"/>
  <c r="R55" i="2"/>
  <c r="R206" i="2"/>
  <c r="R114" i="2"/>
  <c r="R532" i="2"/>
  <c r="R541" i="2"/>
  <c r="R519" i="2"/>
  <c r="R65" i="2"/>
  <c r="R45" i="2"/>
  <c r="R378" i="2"/>
  <c r="R168" i="2"/>
  <c r="R259" i="2"/>
  <c r="R312" i="2"/>
  <c r="R460" i="2"/>
  <c r="R496" i="2"/>
  <c r="R472" i="2"/>
  <c r="R255" i="2"/>
  <c r="R7" i="2"/>
  <c r="R409" i="2"/>
  <c r="R471" i="2"/>
  <c r="R446" i="2"/>
  <c r="R162" i="2"/>
  <c r="R329" i="2"/>
  <c r="R185" i="2"/>
  <c r="R400" i="2"/>
  <c r="R226" i="2"/>
  <c r="R453" i="2"/>
  <c r="R430" i="2"/>
  <c r="R195" i="2"/>
  <c r="R479" i="2"/>
  <c r="R120" i="2"/>
  <c r="R109" i="2"/>
  <c r="R448" i="2"/>
  <c r="R390" i="2"/>
  <c r="R247" i="2"/>
  <c r="R179" i="2"/>
  <c r="R246" i="2"/>
  <c r="R445" i="2"/>
  <c r="R204" i="2"/>
  <c r="R540" i="2"/>
  <c r="R307" i="2"/>
  <c r="R96" i="2"/>
  <c r="R186" i="2"/>
  <c r="R469" i="2"/>
  <c r="R11" i="2"/>
  <c r="R81" i="2"/>
  <c r="R366" i="2"/>
  <c r="R535" i="2"/>
  <c r="R501" i="2"/>
  <c r="R323" i="2"/>
  <c r="R266" i="2"/>
  <c r="R521" i="2"/>
  <c r="R215" i="2"/>
  <c r="R265" i="2"/>
  <c r="R235" i="2"/>
  <c r="R417" i="2"/>
  <c r="R360" i="2"/>
  <c r="R99" i="2"/>
  <c r="R62" i="2"/>
  <c r="R509" i="2"/>
  <c r="R139" i="2"/>
  <c r="R330" i="2"/>
  <c r="R46" i="2"/>
  <c r="R152" i="2"/>
  <c r="R86" i="2"/>
  <c r="R440" i="2"/>
  <c r="R279" i="2"/>
  <c r="T170" i="2"/>
  <c r="T248" i="2"/>
  <c r="T89" i="2"/>
  <c r="T73" i="2"/>
  <c r="T401" i="2"/>
  <c r="T525" i="2"/>
  <c r="T344" i="2"/>
  <c r="T465" i="2"/>
  <c r="T37" i="2"/>
  <c r="T147" i="2"/>
  <c r="T362" i="2"/>
  <c r="T271" i="2"/>
  <c r="T295" i="2"/>
  <c r="T468" i="2"/>
  <c r="T398" i="2"/>
  <c r="T35" i="2"/>
  <c r="T18" i="2"/>
  <c r="T49" i="2"/>
  <c r="T94" i="2"/>
  <c r="T100" i="2"/>
  <c r="T38" i="2"/>
  <c r="T134" i="2"/>
  <c r="T285" i="2"/>
  <c r="T522" i="2"/>
  <c r="T167" i="2"/>
  <c r="T197" i="2"/>
  <c r="T374" i="2"/>
  <c r="T419" i="2"/>
  <c r="T53" i="2"/>
  <c r="T98" i="2"/>
  <c r="T320" i="2"/>
  <c r="T25" i="2"/>
  <c r="T486" i="2"/>
  <c r="T258" i="2"/>
  <c r="T508" i="2"/>
  <c r="T15" i="2"/>
  <c r="T209" i="2"/>
  <c r="T284" i="2"/>
  <c r="T24" i="2"/>
  <c r="T136" i="2"/>
  <c r="T503" i="2"/>
  <c r="T530" i="2"/>
  <c r="T424" i="2"/>
  <c r="T412" i="2"/>
  <c r="T526" i="2"/>
  <c r="T456" i="2"/>
  <c r="T155" i="2"/>
  <c r="T105" i="2"/>
  <c r="T221" i="2"/>
  <c r="T304" i="2"/>
  <c r="T433" i="2"/>
  <c r="T21" i="2"/>
  <c r="T506" i="2"/>
  <c r="T364" i="2"/>
  <c r="T250" i="2"/>
  <c r="T269" i="2"/>
  <c r="T476" i="2"/>
  <c r="T263" i="2"/>
  <c r="T324" i="2"/>
  <c r="T82" i="2"/>
  <c r="T437" i="2"/>
  <c r="T429" i="2"/>
  <c r="T174" i="2"/>
  <c r="T392" i="2"/>
  <c r="T280" i="2"/>
  <c r="T126" i="2"/>
  <c r="T213" i="2"/>
  <c r="T426" i="2"/>
  <c r="T113" i="2"/>
  <c r="T558" i="2"/>
  <c r="T112" i="2"/>
  <c r="T128" i="2"/>
  <c r="T537" i="2"/>
  <c r="T42" i="2"/>
  <c r="T359" i="2"/>
  <c r="T507" i="2"/>
  <c r="T293" i="2"/>
  <c r="T84" i="2"/>
  <c r="T467" i="2"/>
  <c r="T159" i="2"/>
  <c r="T249" i="2"/>
  <c r="T277" i="2"/>
  <c r="T153" i="2"/>
  <c r="T253" i="2"/>
  <c r="T306" i="2"/>
  <c r="T543" i="2"/>
  <c r="T165" i="2"/>
  <c r="T54" i="2"/>
  <c r="T487" i="2"/>
  <c r="T513" i="2"/>
  <c r="T517" i="2"/>
  <c r="T124" i="2"/>
  <c r="T391" i="2"/>
  <c r="T297" i="2"/>
  <c r="T17" i="2"/>
  <c r="T90" i="2"/>
  <c r="T299" i="2"/>
  <c r="T148" i="2"/>
  <c r="T83" i="2"/>
  <c r="T415" i="2"/>
  <c r="T137" i="2"/>
  <c r="T345" i="2"/>
  <c r="T27" i="2"/>
  <c r="T411" i="2"/>
  <c r="T475" i="2"/>
  <c r="T439" i="2"/>
  <c r="T173" i="2"/>
  <c r="T177" i="2"/>
  <c r="T193" i="2"/>
  <c r="T12" i="2"/>
  <c r="T548" i="2"/>
  <c r="T494" i="2"/>
  <c r="T463" i="2"/>
  <c r="T357" i="2"/>
  <c r="T552" i="2"/>
  <c r="T524" i="2"/>
  <c r="T200" i="2"/>
  <c r="T212" i="2"/>
  <c r="T181" i="2"/>
  <c r="T10" i="2"/>
  <c r="T314" i="2"/>
  <c r="T405" i="2"/>
  <c r="T91" i="2"/>
  <c r="T505" i="2"/>
  <c r="T160" i="2"/>
  <c r="T385" i="2"/>
  <c r="T504" i="2"/>
  <c r="T441" i="2"/>
  <c r="T210" i="2"/>
  <c r="T399" i="2"/>
  <c r="T142" i="2"/>
  <c r="T379" i="2"/>
  <c r="T267" i="2"/>
  <c r="T40" i="2"/>
  <c r="T229" i="2"/>
  <c r="T368" i="2"/>
  <c r="T542" i="2"/>
  <c r="T300" i="2"/>
  <c r="T294" i="2"/>
  <c r="T102" i="2"/>
  <c r="T375" i="2"/>
  <c r="T237" i="2"/>
  <c r="T367" i="2"/>
  <c r="T286" i="2"/>
  <c r="T131" i="2"/>
  <c r="T119" i="2"/>
  <c r="T76" i="2"/>
  <c r="T301" i="2"/>
  <c r="T406" i="2"/>
  <c r="T116" i="2"/>
  <c r="T39" i="2"/>
  <c r="T331" i="2"/>
  <c r="T6" i="2"/>
  <c r="T22" i="2"/>
  <c r="T151" i="2"/>
  <c r="T438" i="2"/>
  <c r="T87" i="2"/>
  <c r="T466" i="2"/>
  <c r="T188" i="2"/>
  <c r="T214" i="2"/>
  <c r="T489" i="2"/>
  <c r="T48" i="2"/>
  <c r="T244" i="2"/>
  <c r="T107" i="2"/>
  <c r="T516" i="2"/>
  <c r="T71" i="2"/>
  <c r="T328" i="2"/>
  <c r="T118" i="2"/>
  <c r="T341" i="2"/>
  <c r="T261" i="2"/>
  <c r="T205" i="2"/>
  <c r="T9" i="2"/>
  <c r="T499" i="2"/>
  <c r="T272" i="2"/>
  <c r="T138" i="2"/>
  <c r="T410" i="2"/>
  <c r="T201" i="2"/>
  <c r="T47" i="2"/>
  <c r="T63" i="2"/>
  <c r="T156" i="2"/>
  <c r="T121" i="2"/>
  <c r="T238" i="2"/>
  <c r="T224" i="2"/>
  <c r="T41" i="2"/>
  <c r="T282" i="2"/>
  <c r="T143" i="2"/>
  <c r="T387" i="2"/>
  <c r="T547" i="2"/>
  <c r="T370" i="2"/>
  <c r="T202" i="2"/>
  <c r="T50" i="2"/>
  <c r="T57" i="2"/>
  <c r="T184" i="2"/>
  <c r="T442" i="2"/>
  <c r="T278" i="2"/>
  <c r="T298" i="2"/>
  <c r="T408" i="2"/>
  <c r="T455" i="2"/>
  <c r="T520" i="2"/>
  <c r="T347" i="2"/>
  <c r="T59" i="2"/>
  <c r="T352" i="2"/>
  <c r="T31" i="2"/>
  <c r="T427" i="2"/>
  <c r="T270" i="2"/>
  <c r="T164" i="2"/>
  <c r="T533" i="2"/>
  <c r="T183" i="2"/>
  <c r="T85" i="2"/>
  <c r="T70" i="2"/>
  <c r="T407" i="2"/>
  <c r="T416" i="2"/>
  <c r="T158" i="2"/>
  <c r="T313" i="2"/>
  <c r="T216" i="2"/>
  <c r="T190" i="2"/>
  <c r="T67" i="2"/>
  <c r="T481" i="2"/>
  <c r="T397" i="2"/>
  <c r="T154" i="2"/>
  <c r="T292" i="2"/>
  <c r="T311" i="2"/>
  <c r="T187" i="2"/>
  <c r="T32" i="2"/>
  <c r="T423" i="2"/>
  <c r="T268" i="2"/>
  <c r="T353" i="2"/>
  <c r="T355" i="2"/>
  <c r="T222" i="2"/>
  <c r="T115" i="2"/>
  <c r="T356" i="2"/>
  <c r="T146" i="2"/>
  <c r="T365" i="2"/>
  <c r="T389" i="2"/>
  <c r="T482" i="2"/>
  <c r="T554" i="2"/>
  <c r="T208" i="2"/>
  <c r="T358" i="2"/>
  <c r="T276" i="2"/>
  <c r="T436" i="2"/>
  <c r="T132" i="2"/>
  <c r="T95" i="2"/>
  <c r="T207" i="2"/>
  <c r="T349" i="2"/>
  <c r="T106" i="2"/>
  <c r="T104" i="2"/>
  <c r="T337" i="2"/>
  <c r="T108" i="2"/>
  <c r="T339" i="2"/>
  <c r="T74" i="2"/>
  <c r="T232" i="2"/>
  <c r="T133" i="2"/>
  <c r="T464" i="2"/>
  <c r="T350" i="2"/>
  <c r="T393" i="2"/>
  <c r="T198" i="2"/>
  <c r="T434" i="2"/>
  <c r="T88" i="2"/>
  <c r="T395" i="2"/>
  <c r="T340" i="2"/>
  <c r="T30" i="2"/>
  <c r="T310" i="2"/>
  <c r="T418" i="2"/>
  <c r="T369" i="2"/>
  <c r="T477" i="2"/>
  <c r="T56" i="2"/>
  <c r="T383" i="2"/>
  <c r="T435" i="2"/>
  <c r="T101" i="2"/>
  <c r="T252" i="2"/>
  <c r="T44" i="2"/>
  <c r="T444" i="2"/>
  <c r="T230" i="2"/>
  <c r="T317" i="2"/>
  <c r="T288" i="2"/>
  <c r="T498" i="2"/>
  <c r="T420" i="2"/>
  <c r="T245" i="2"/>
  <c r="T338" i="2"/>
  <c r="T451" i="2"/>
  <c r="T531" i="2"/>
  <c r="T322" i="2"/>
  <c r="T382" i="2"/>
  <c r="T473" i="2"/>
  <c r="T483" i="2"/>
  <c r="T470" i="2"/>
  <c r="T488" i="2"/>
  <c r="T3" i="2"/>
  <c r="T231" i="2"/>
  <c r="T318" i="2"/>
  <c r="T227" i="2"/>
  <c r="T281" i="2"/>
  <c r="T316" i="2"/>
  <c r="T319" i="2"/>
  <c r="T485" i="2"/>
  <c r="T474" i="2"/>
  <c r="T534" i="2"/>
  <c r="T326" i="2"/>
  <c r="T123" i="2"/>
  <c r="T26" i="2"/>
  <c r="T372" i="2"/>
  <c r="T228" i="2"/>
  <c r="T236" i="2"/>
  <c r="T384" i="2"/>
  <c r="T514" i="2"/>
  <c r="T189" i="2"/>
  <c r="T125" i="2"/>
  <c r="T194" i="2"/>
  <c r="T422" i="2"/>
  <c r="T529" i="2"/>
  <c r="T380" i="2"/>
  <c r="T275" i="2"/>
  <c r="T145" i="2"/>
  <c r="T305" i="2"/>
  <c r="T555" i="2"/>
  <c r="T68" i="2"/>
  <c r="T492" i="2"/>
  <c r="T225" i="2"/>
  <c r="T461" i="2"/>
  <c r="T283" i="2"/>
  <c r="T394" i="2"/>
  <c r="T480" i="2"/>
  <c r="T43" i="2"/>
  <c r="T327" i="2"/>
  <c r="T309" i="2"/>
  <c r="T51" i="2"/>
  <c r="T29" i="2"/>
  <c r="T172" i="2"/>
  <c r="T493" i="2"/>
  <c r="T33" i="2"/>
  <c r="T64" i="2"/>
  <c r="T354" i="2"/>
  <c r="T377" i="2"/>
  <c r="T302" i="2"/>
  <c r="T256" i="2"/>
  <c r="T19" i="2"/>
  <c r="T546" i="2"/>
  <c r="T233" i="2"/>
  <c r="T291" i="2"/>
  <c r="T260" i="2"/>
  <c r="T58" i="2"/>
  <c r="T425" i="2"/>
  <c r="T553" i="2"/>
  <c r="T510" i="2"/>
  <c r="T447" i="2"/>
  <c r="T315" i="2"/>
  <c r="T273" i="2"/>
  <c r="T61" i="2"/>
  <c r="T111" i="2"/>
  <c r="T443" i="2"/>
  <c r="T243" i="2"/>
  <c r="T484" i="2"/>
  <c r="T557" i="2"/>
  <c r="T199" i="2"/>
  <c r="T386" i="2"/>
  <c r="T240" i="2"/>
  <c r="T376" i="2"/>
  <c r="T287" i="2"/>
  <c r="T97" i="2"/>
  <c r="T117" i="2"/>
  <c r="T454" i="2"/>
  <c r="T220" i="2"/>
  <c r="T414" i="2"/>
  <c r="T2" i="2"/>
  <c r="T219" i="2"/>
  <c r="T321" i="2"/>
  <c r="T257" i="2"/>
  <c r="T5" i="2"/>
  <c r="T180" i="2"/>
  <c r="T500" i="2"/>
  <c r="T166" i="2"/>
  <c r="T495" i="2"/>
  <c r="T497" i="2"/>
  <c r="T450" i="2"/>
  <c r="T72" i="2"/>
  <c r="T371" i="2"/>
  <c r="T515" i="2"/>
  <c r="T144" i="2"/>
  <c r="T325" i="2"/>
  <c r="T462" i="2"/>
  <c r="T66" i="2"/>
  <c r="T289" i="2"/>
  <c r="T413" i="2"/>
  <c r="T335" i="2"/>
  <c r="T171" i="2"/>
  <c r="T34" i="2"/>
  <c r="T403" i="2"/>
  <c r="T149" i="2"/>
  <c r="T182" i="2"/>
  <c r="T404" i="2"/>
  <c r="T402" i="2"/>
  <c r="T449" i="2"/>
  <c r="T545" i="2"/>
  <c r="T396" i="2"/>
  <c r="T79" i="2"/>
  <c r="T334" i="2"/>
  <c r="T161" i="2"/>
  <c r="T549" i="2"/>
  <c r="T363" i="2"/>
  <c r="T78" i="2"/>
  <c r="T428" i="2"/>
  <c r="T178" i="2"/>
  <c r="T528" i="2"/>
  <c r="T491" i="2"/>
  <c r="T23" i="2"/>
  <c r="T458" i="2"/>
  <c r="T75" i="2"/>
  <c r="T217" i="2"/>
  <c r="T36" i="2"/>
  <c r="T80" i="2"/>
  <c r="T361" i="2"/>
  <c r="T196" i="2"/>
  <c r="T241" i="2"/>
  <c r="T551" i="2"/>
  <c r="T274" i="2"/>
  <c r="T308" i="2"/>
  <c r="T262" i="2"/>
  <c r="T14" i="2"/>
  <c r="T544" i="2"/>
  <c r="T388" i="2"/>
  <c r="T20" i="2"/>
  <c r="T431" i="2"/>
  <c r="T254" i="2"/>
  <c r="T556" i="2"/>
  <c r="T122" i="2"/>
  <c r="T296" i="2"/>
  <c r="T459" i="2"/>
  <c r="T129" i="2"/>
  <c r="T336" i="2"/>
  <c r="T192" i="2"/>
  <c r="T332" i="2"/>
  <c r="T175" i="2"/>
  <c r="T432" i="2"/>
  <c r="T242" i="2"/>
  <c r="T8" i="2"/>
  <c r="T77" i="2"/>
  <c r="T203" i="2"/>
  <c r="T127" i="2"/>
  <c r="T150" i="2"/>
  <c r="T538" i="2"/>
  <c r="T527" i="2"/>
  <c r="T52" i="2"/>
  <c r="T211" i="2"/>
  <c r="T303" i="2"/>
  <c r="T512" i="2"/>
  <c r="T103" i="2"/>
  <c r="T60" i="2"/>
  <c r="T251" i="2"/>
  <c r="T421" i="2"/>
  <c r="T264" i="2"/>
  <c r="T157" i="2"/>
  <c r="T343" i="2"/>
  <c r="T290" i="2"/>
  <c r="T130" i="2"/>
  <c r="T373" i="2"/>
  <c r="T381" i="2"/>
  <c r="T92" i="2"/>
  <c r="T191" i="2"/>
  <c r="T478" i="2"/>
  <c r="T13" i="2"/>
  <c r="T502" i="2"/>
  <c r="T140" i="2"/>
  <c r="T457" i="2"/>
  <c r="T490" i="2"/>
  <c r="T239" i="2"/>
  <c r="T333" i="2"/>
  <c r="T536" i="2"/>
  <c r="T346" i="2"/>
  <c r="T141" i="2"/>
  <c r="T69" i="2"/>
  <c r="T234" i="2"/>
  <c r="T169" i="2"/>
  <c r="T511" i="2"/>
  <c r="T163" i="2"/>
  <c r="T16" i="2"/>
  <c r="T550" i="2"/>
  <c r="T342" i="2"/>
  <c r="T523" i="2"/>
  <c r="T223" i="2"/>
  <c r="T348" i="2"/>
  <c r="T110" i="2"/>
  <c r="T135" i="2"/>
  <c r="T518" i="2"/>
  <c r="T218" i="2"/>
  <c r="T539" i="2"/>
  <c r="T176" i="2"/>
  <c r="T4" i="2"/>
  <c r="T452" i="2"/>
  <c r="T28" i="2"/>
  <c r="T351" i="2"/>
  <c r="T55" i="2"/>
  <c r="T206" i="2"/>
  <c r="T114" i="2"/>
  <c r="T532" i="2"/>
  <c r="T541" i="2"/>
  <c r="T519" i="2"/>
  <c r="T65" i="2"/>
  <c r="T45" i="2"/>
  <c r="T378" i="2"/>
  <c r="T168" i="2"/>
  <c r="T259" i="2"/>
  <c r="T312" i="2"/>
  <c r="T460" i="2"/>
  <c r="T496" i="2"/>
  <c r="T472" i="2"/>
  <c r="T255" i="2"/>
  <c r="T7" i="2"/>
  <c r="T409" i="2"/>
  <c r="T471" i="2"/>
  <c r="T446" i="2"/>
  <c r="T162" i="2"/>
  <c r="T329" i="2"/>
  <c r="T185" i="2"/>
  <c r="T400" i="2"/>
  <c r="T226" i="2"/>
  <c r="T453" i="2"/>
  <c r="T430" i="2"/>
  <c r="T195" i="2"/>
  <c r="T479" i="2"/>
  <c r="T120" i="2"/>
  <c r="T109" i="2"/>
  <c r="T448" i="2"/>
  <c r="T390" i="2"/>
  <c r="T247" i="2"/>
  <c r="T179" i="2"/>
  <c r="T246" i="2"/>
  <c r="T445" i="2"/>
  <c r="T204" i="2"/>
  <c r="T540" i="2"/>
  <c r="T307" i="2"/>
  <c r="T96" i="2"/>
  <c r="T186" i="2"/>
  <c r="T469" i="2"/>
  <c r="T11" i="2"/>
  <c r="T81" i="2"/>
  <c r="T366" i="2"/>
  <c r="T535" i="2"/>
  <c r="T501" i="2"/>
  <c r="T323" i="2"/>
  <c r="T266" i="2"/>
  <c r="T521" i="2"/>
  <c r="T215" i="2"/>
  <c r="T265" i="2"/>
  <c r="T235" i="2"/>
  <c r="T417" i="2"/>
  <c r="T360" i="2"/>
  <c r="T99" i="2"/>
  <c r="T62" i="2"/>
  <c r="T509" i="2"/>
  <c r="T139" i="2"/>
  <c r="T330" i="2"/>
  <c r="T46" i="2"/>
  <c r="T152" i="2"/>
  <c r="T86" i="2"/>
  <c r="T440" i="2"/>
  <c r="T279" i="2"/>
  <c r="Q170" i="2"/>
  <c r="Q248" i="2"/>
  <c r="Q89" i="2"/>
  <c r="Q73" i="2"/>
  <c r="Q401" i="2"/>
  <c r="Q525" i="2"/>
  <c r="Q344" i="2"/>
  <c r="Q465" i="2"/>
  <c r="Q37" i="2"/>
  <c r="Q147" i="2"/>
  <c r="Q362" i="2"/>
  <c r="Q271" i="2"/>
  <c r="Q295" i="2"/>
  <c r="Q468" i="2"/>
  <c r="Q398" i="2"/>
  <c r="Q35" i="2"/>
  <c r="Q18" i="2"/>
  <c r="Q49" i="2"/>
  <c r="Q94" i="2"/>
  <c r="Q100" i="2"/>
  <c r="Q38" i="2"/>
  <c r="Q134" i="2"/>
  <c r="Q285" i="2"/>
  <c r="Q522" i="2"/>
  <c r="Q167" i="2"/>
  <c r="Q197" i="2"/>
  <c r="Q374" i="2"/>
  <c r="Q419" i="2"/>
  <c r="Q53" i="2"/>
  <c r="Q98" i="2"/>
  <c r="Q320" i="2"/>
  <c r="Q25" i="2"/>
  <c r="Q486" i="2"/>
  <c r="Q258" i="2"/>
  <c r="Q508" i="2"/>
  <c r="Q15" i="2"/>
  <c r="Q209" i="2"/>
  <c r="Q284" i="2"/>
  <c r="Q24" i="2"/>
  <c r="Q136" i="2"/>
  <c r="Q503" i="2"/>
  <c r="Q530" i="2"/>
  <c r="Q424" i="2"/>
  <c r="Q412" i="2"/>
  <c r="Q526" i="2"/>
  <c r="Q456" i="2"/>
  <c r="Q155" i="2"/>
  <c r="Q105" i="2"/>
  <c r="Q221" i="2"/>
  <c r="Q304" i="2"/>
  <c r="Q433" i="2"/>
  <c r="Q21" i="2"/>
  <c r="Q506" i="2"/>
  <c r="Q364" i="2"/>
  <c r="Q250" i="2"/>
  <c r="Q269" i="2"/>
  <c r="Q476" i="2"/>
  <c r="Q263" i="2"/>
  <c r="Q324" i="2"/>
  <c r="Q82" i="2"/>
  <c r="Q437" i="2"/>
  <c r="Q429" i="2"/>
  <c r="Q174" i="2"/>
  <c r="Q392" i="2"/>
  <c r="Q280" i="2"/>
  <c r="Q126" i="2"/>
  <c r="Q213" i="2"/>
  <c r="Q426" i="2"/>
  <c r="Q113" i="2"/>
  <c r="Q558" i="2"/>
  <c r="Q112" i="2"/>
  <c r="Q128" i="2"/>
  <c r="Q537" i="2"/>
  <c r="Q42" i="2"/>
  <c r="Q359" i="2"/>
  <c r="Q507" i="2"/>
  <c r="Q293" i="2"/>
  <c r="Q84" i="2"/>
  <c r="Q467" i="2"/>
  <c r="Q159" i="2"/>
  <c r="Q249" i="2"/>
  <c r="Q277" i="2"/>
  <c r="Q153" i="2"/>
  <c r="Q253" i="2"/>
  <c r="Q306" i="2"/>
  <c r="Q543" i="2"/>
  <c r="Q165" i="2"/>
  <c r="Q54" i="2"/>
  <c r="Q487" i="2"/>
  <c r="Q513" i="2"/>
  <c r="Q517" i="2"/>
  <c r="Q124" i="2"/>
  <c r="Q391" i="2"/>
  <c r="Q297" i="2"/>
  <c r="Q17" i="2"/>
  <c r="Q90" i="2"/>
  <c r="Q299" i="2"/>
  <c r="Q148" i="2"/>
  <c r="Q83" i="2"/>
  <c r="Q415" i="2"/>
  <c r="Q137" i="2"/>
  <c r="Q345" i="2"/>
  <c r="Q27" i="2"/>
  <c r="Q411" i="2"/>
  <c r="Q475" i="2"/>
  <c r="Q439" i="2"/>
  <c r="Q173" i="2"/>
  <c r="Q177" i="2"/>
  <c r="Q193" i="2"/>
  <c r="Q12" i="2"/>
  <c r="Q548" i="2"/>
  <c r="Q494" i="2"/>
  <c r="Q463" i="2"/>
  <c r="Q357" i="2"/>
  <c r="Q552" i="2"/>
  <c r="Q524" i="2"/>
  <c r="Q200" i="2"/>
  <c r="Q212" i="2"/>
  <c r="Q181" i="2"/>
  <c r="Q10" i="2"/>
  <c r="Q314" i="2"/>
  <c r="Q405" i="2"/>
  <c r="Q91" i="2"/>
  <c r="Q505" i="2"/>
  <c r="Q160" i="2"/>
  <c r="Q385" i="2"/>
  <c r="Q504" i="2"/>
  <c r="Q441" i="2"/>
  <c r="Q210" i="2"/>
  <c r="Q399" i="2"/>
  <c r="Q142" i="2"/>
  <c r="Q379" i="2"/>
  <c r="Q267" i="2"/>
  <c r="Q40" i="2"/>
  <c r="Q229" i="2"/>
  <c r="Q368" i="2"/>
  <c r="Q542" i="2"/>
  <c r="Q300" i="2"/>
  <c r="Q294" i="2"/>
  <c r="Q102" i="2"/>
  <c r="Q375" i="2"/>
  <c r="Q237" i="2"/>
  <c r="Q367" i="2"/>
  <c r="Q286" i="2"/>
  <c r="Q131" i="2"/>
  <c r="Q119" i="2"/>
  <c r="Q76" i="2"/>
  <c r="Q301" i="2"/>
  <c r="Q406" i="2"/>
  <c r="Q116" i="2"/>
  <c r="Q39" i="2"/>
  <c r="Q331" i="2"/>
  <c r="Q6" i="2"/>
  <c r="Q22" i="2"/>
  <c r="Q151" i="2"/>
  <c r="Q438" i="2"/>
  <c r="Q87" i="2"/>
  <c r="Q466" i="2"/>
  <c r="Q188" i="2"/>
  <c r="Q214" i="2"/>
  <c r="Q489" i="2"/>
  <c r="Q48" i="2"/>
  <c r="Q244" i="2"/>
  <c r="Q107" i="2"/>
  <c r="Q516" i="2"/>
  <c r="Q71" i="2"/>
  <c r="Q328" i="2"/>
  <c r="Q118" i="2"/>
  <c r="Q341" i="2"/>
  <c r="Q261" i="2"/>
  <c r="Q205" i="2"/>
  <c r="Q9" i="2"/>
  <c r="Q499" i="2"/>
  <c r="Q272" i="2"/>
  <c r="Q138" i="2"/>
  <c r="Q410" i="2"/>
  <c r="Q201" i="2"/>
  <c r="Q47" i="2"/>
  <c r="Q63" i="2"/>
  <c r="Q156" i="2"/>
  <c r="Q121" i="2"/>
  <c r="Q238" i="2"/>
  <c r="Q224" i="2"/>
  <c r="Q41" i="2"/>
  <c r="Q282" i="2"/>
  <c r="Q143" i="2"/>
  <c r="Q387" i="2"/>
  <c r="Q547" i="2"/>
  <c r="Q370" i="2"/>
  <c r="Q202" i="2"/>
  <c r="Q50" i="2"/>
  <c r="Q57" i="2"/>
  <c r="Q184" i="2"/>
  <c r="Q442" i="2"/>
  <c r="Q278" i="2"/>
  <c r="Q298" i="2"/>
  <c r="Q408" i="2"/>
  <c r="Q455" i="2"/>
  <c r="Q520" i="2"/>
  <c r="Q347" i="2"/>
  <c r="Q59" i="2"/>
  <c r="Q352" i="2"/>
  <c r="Q31" i="2"/>
  <c r="Q427" i="2"/>
  <c r="Q270" i="2"/>
  <c r="Q164" i="2"/>
  <c r="Q533" i="2"/>
  <c r="Q183" i="2"/>
  <c r="Q85" i="2"/>
  <c r="Q70" i="2"/>
  <c r="Q407" i="2"/>
  <c r="Q416" i="2"/>
  <c r="Q158" i="2"/>
  <c r="Q313" i="2"/>
  <c r="Q216" i="2"/>
  <c r="Q190" i="2"/>
  <c r="Q67" i="2"/>
  <c r="Q481" i="2"/>
  <c r="Q397" i="2"/>
  <c r="Q154" i="2"/>
  <c r="Q292" i="2"/>
  <c r="Q311" i="2"/>
  <c r="Q187" i="2"/>
  <c r="Q32" i="2"/>
  <c r="Q423" i="2"/>
  <c r="Q268" i="2"/>
  <c r="Q353" i="2"/>
  <c r="Q355" i="2"/>
  <c r="Q222" i="2"/>
  <c r="Q115" i="2"/>
  <c r="Q356" i="2"/>
  <c r="Q146" i="2"/>
  <c r="Q365" i="2"/>
  <c r="Q389" i="2"/>
  <c r="Q482" i="2"/>
  <c r="Q554" i="2"/>
  <c r="Q208" i="2"/>
  <c r="Q358" i="2"/>
  <c r="Q276" i="2"/>
  <c r="Q436" i="2"/>
  <c r="Q132" i="2"/>
  <c r="Q95" i="2"/>
  <c r="Q207" i="2"/>
  <c r="Q349" i="2"/>
  <c r="Q106" i="2"/>
  <c r="Q104" i="2"/>
  <c r="Q337" i="2"/>
  <c r="Q108" i="2"/>
  <c r="Q339" i="2"/>
  <c r="Q74" i="2"/>
  <c r="Q232" i="2"/>
  <c r="Q133" i="2"/>
  <c r="Q464" i="2"/>
  <c r="Q350" i="2"/>
  <c r="Q393" i="2"/>
  <c r="Q198" i="2"/>
  <c r="Q434" i="2"/>
  <c r="Q88" i="2"/>
  <c r="Q395" i="2"/>
  <c r="Q340" i="2"/>
  <c r="Q30" i="2"/>
  <c r="Q310" i="2"/>
  <c r="Q418" i="2"/>
  <c r="Q369" i="2"/>
  <c r="Q477" i="2"/>
  <c r="Q56" i="2"/>
  <c r="Q383" i="2"/>
  <c r="Q435" i="2"/>
  <c r="Q101" i="2"/>
  <c r="Q252" i="2"/>
  <c r="Q44" i="2"/>
  <c r="Q444" i="2"/>
  <c r="Q230" i="2"/>
  <c r="Q317" i="2"/>
  <c r="Q288" i="2"/>
  <c r="Q498" i="2"/>
  <c r="Q420" i="2"/>
  <c r="Q245" i="2"/>
  <c r="Q338" i="2"/>
  <c r="Q451" i="2"/>
  <c r="Q531" i="2"/>
  <c r="Q322" i="2"/>
  <c r="Q382" i="2"/>
  <c r="Q473" i="2"/>
  <c r="Q483" i="2"/>
  <c r="Q470" i="2"/>
  <c r="Q488" i="2"/>
  <c r="Q3" i="2"/>
  <c r="Q231" i="2"/>
  <c r="Q318" i="2"/>
  <c r="Q227" i="2"/>
  <c r="Q281" i="2"/>
  <c r="Q316" i="2"/>
  <c r="Q319" i="2"/>
  <c r="Q485" i="2"/>
  <c r="Q474" i="2"/>
  <c r="Q534" i="2"/>
  <c r="Q326" i="2"/>
  <c r="Q123" i="2"/>
  <c r="Q26" i="2"/>
  <c r="Q372" i="2"/>
  <c r="Q228" i="2"/>
  <c r="Q236" i="2"/>
  <c r="Q384" i="2"/>
  <c r="Q514" i="2"/>
  <c r="Q189" i="2"/>
  <c r="Q125" i="2"/>
  <c r="Q194" i="2"/>
  <c r="Q422" i="2"/>
  <c r="Q529" i="2"/>
  <c r="Q380" i="2"/>
  <c r="Q275" i="2"/>
  <c r="Q145" i="2"/>
  <c r="Q305" i="2"/>
  <c r="Q555" i="2"/>
  <c r="Q68" i="2"/>
  <c r="Q492" i="2"/>
  <c r="Q225" i="2"/>
  <c r="Q461" i="2"/>
  <c r="Q283" i="2"/>
  <c r="Q394" i="2"/>
  <c r="Q480" i="2"/>
  <c r="Q43" i="2"/>
  <c r="Q327" i="2"/>
  <c r="Q309" i="2"/>
  <c r="Q51" i="2"/>
  <c r="Q29" i="2"/>
  <c r="Q172" i="2"/>
  <c r="Q493" i="2"/>
  <c r="Q33" i="2"/>
  <c r="Q64" i="2"/>
  <c r="Q354" i="2"/>
  <c r="Q377" i="2"/>
  <c r="Q302" i="2"/>
  <c r="Q256" i="2"/>
  <c r="Q19" i="2"/>
  <c r="Q546" i="2"/>
  <c r="Q233" i="2"/>
  <c r="Q291" i="2"/>
  <c r="Q260" i="2"/>
  <c r="Q58" i="2"/>
  <c r="Q425" i="2"/>
  <c r="Q553" i="2"/>
  <c r="Q510" i="2"/>
  <c r="Q447" i="2"/>
  <c r="Q315" i="2"/>
  <c r="Q273" i="2"/>
  <c r="Q61" i="2"/>
  <c r="Q111" i="2"/>
  <c r="Q443" i="2"/>
  <c r="Q243" i="2"/>
  <c r="Q484" i="2"/>
  <c r="Q557" i="2"/>
  <c r="Q199" i="2"/>
  <c r="Q386" i="2"/>
  <c r="Q240" i="2"/>
  <c r="Q376" i="2"/>
  <c r="Q97" i="2"/>
  <c r="Q117" i="2"/>
  <c r="Q454" i="2"/>
  <c r="Q220" i="2"/>
  <c r="Q414" i="2"/>
  <c r="Q2" i="2"/>
  <c r="Q219" i="2"/>
  <c r="Q321" i="2"/>
  <c r="Q257" i="2"/>
  <c r="Q5" i="2"/>
  <c r="Q180" i="2"/>
  <c r="Q500" i="2"/>
  <c r="Q166" i="2"/>
  <c r="Q495" i="2"/>
  <c r="Q497" i="2"/>
  <c r="Q450" i="2"/>
  <c r="Q72" i="2"/>
  <c r="Q371" i="2"/>
  <c r="Q515" i="2"/>
  <c r="Q144" i="2"/>
  <c r="Q325" i="2"/>
  <c r="Q462" i="2"/>
  <c r="Q66" i="2"/>
  <c r="Q289" i="2"/>
  <c r="Q413" i="2"/>
  <c r="Q335" i="2"/>
  <c r="Q171" i="2"/>
  <c r="Q34" i="2"/>
  <c r="Q403" i="2"/>
  <c r="Q149" i="2"/>
  <c r="Q182" i="2"/>
  <c r="Q404" i="2"/>
  <c r="Q402" i="2"/>
  <c r="Q449" i="2"/>
  <c r="Q545" i="2"/>
  <c r="Q396" i="2"/>
  <c r="Q79" i="2"/>
  <c r="Q334" i="2"/>
  <c r="Q161" i="2"/>
  <c r="Q549" i="2"/>
  <c r="Q363" i="2"/>
  <c r="Q78" i="2"/>
  <c r="Q428" i="2"/>
  <c r="Q178" i="2"/>
  <c r="Q528" i="2"/>
  <c r="Q491" i="2"/>
  <c r="Q23" i="2"/>
  <c r="Q458" i="2"/>
  <c r="Q75" i="2"/>
  <c r="Q217" i="2"/>
  <c r="Q36" i="2"/>
  <c r="Q80" i="2"/>
  <c r="Q361" i="2"/>
  <c r="Q196" i="2"/>
  <c r="Q241" i="2"/>
  <c r="Q551" i="2"/>
  <c r="Q274" i="2"/>
  <c r="Q308" i="2"/>
  <c r="Q262" i="2"/>
  <c r="Q14" i="2"/>
  <c r="Q544" i="2"/>
  <c r="Q388" i="2"/>
  <c r="Q20" i="2"/>
  <c r="Q431" i="2"/>
  <c r="Q254" i="2"/>
  <c r="Q556" i="2"/>
  <c r="Q122" i="2"/>
  <c r="Q296" i="2"/>
  <c r="Q459" i="2"/>
  <c r="Q129" i="2"/>
  <c r="Q336" i="2"/>
  <c r="Q192" i="2"/>
  <c r="Q332" i="2"/>
  <c r="Q175" i="2"/>
  <c r="Q432" i="2"/>
  <c r="Q242" i="2"/>
  <c r="Q8" i="2"/>
  <c r="Q77" i="2"/>
  <c r="Q203" i="2"/>
  <c r="Q127" i="2"/>
  <c r="Q150" i="2"/>
  <c r="Q538" i="2"/>
  <c r="Q527" i="2"/>
  <c r="Q52" i="2"/>
  <c r="Q211" i="2"/>
  <c r="Q303" i="2"/>
  <c r="Q512" i="2"/>
  <c r="Q103" i="2"/>
  <c r="Q60" i="2"/>
  <c r="Q251" i="2"/>
  <c r="Q421" i="2"/>
  <c r="Q264" i="2"/>
  <c r="Q157" i="2"/>
  <c r="Q343" i="2"/>
  <c r="Q290" i="2"/>
  <c r="Q130" i="2"/>
  <c r="Q373" i="2"/>
  <c r="Q381" i="2"/>
  <c r="Q92" i="2"/>
  <c r="Q191" i="2"/>
  <c r="Q478" i="2"/>
  <c r="Q13" i="2"/>
  <c r="Q502" i="2"/>
  <c r="Q140" i="2"/>
  <c r="Q457" i="2"/>
  <c r="Q490" i="2"/>
  <c r="Q239" i="2"/>
  <c r="Q333" i="2"/>
  <c r="Q536" i="2"/>
  <c r="Q346" i="2"/>
  <c r="Q141" i="2"/>
  <c r="Q69" i="2"/>
  <c r="Q234" i="2"/>
  <c r="Q169" i="2"/>
  <c r="Q511" i="2"/>
  <c r="Q163" i="2"/>
  <c r="Q16" i="2"/>
  <c r="Q550" i="2"/>
  <c r="Q342" i="2"/>
  <c r="Q523" i="2"/>
  <c r="Q223" i="2"/>
  <c r="Q348" i="2"/>
  <c r="Q110" i="2"/>
  <c r="Q135" i="2"/>
  <c r="Q518" i="2"/>
  <c r="Q218" i="2"/>
  <c r="Q539" i="2"/>
  <c r="Q176" i="2"/>
  <c r="Q4" i="2"/>
  <c r="Q452" i="2"/>
  <c r="Q28" i="2"/>
  <c r="Q351" i="2"/>
  <c r="Q55" i="2"/>
  <c r="Q206" i="2"/>
  <c r="Q114" i="2"/>
  <c r="Q532" i="2"/>
  <c r="Q541" i="2"/>
  <c r="Q519" i="2"/>
  <c r="Q65" i="2"/>
  <c r="Q45" i="2"/>
  <c r="Q378" i="2"/>
  <c r="Q168" i="2"/>
  <c r="Q259" i="2"/>
  <c r="Q312" i="2"/>
  <c r="Q460" i="2"/>
  <c r="Q496" i="2"/>
  <c r="Q472" i="2"/>
  <c r="Q255" i="2"/>
  <c r="Q7" i="2"/>
  <c r="Q409" i="2"/>
  <c r="Q471" i="2"/>
  <c r="Q446" i="2"/>
  <c r="Q162" i="2"/>
  <c r="Q329" i="2"/>
  <c r="Q185" i="2"/>
  <c r="Q400" i="2"/>
  <c r="Q226" i="2"/>
  <c r="Q453" i="2"/>
  <c r="Q430" i="2"/>
  <c r="Q195" i="2"/>
  <c r="Q479" i="2"/>
  <c r="Q120" i="2"/>
  <c r="Q109" i="2"/>
  <c r="Q448" i="2"/>
  <c r="Q390" i="2"/>
  <c r="Q247" i="2"/>
  <c r="Q179" i="2"/>
  <c r="Q246" i="2"/>
  <c r="Q445" i="2"/>
  <c r="Q204" i="2"/>
  <c r="Q540" i="2"/>
  <c r="Q307" i="2"/>
  <c r="Q96" i="2"/>
  <c r="Q186" i="2"/>
  <c r="Q469" i="2"/>
  <c r="Q11" i="2"/>
  <c r="Q81" i="2"/>
  <c r="Q366" i="2"/>
  <c r="Q535" i="2"/>
  <c r="Q501" i="2"/>
  <c r="Q323" i="2"/>
  <c r="Q266" i="2"/>
  <c r="Q521" i="2"/>
  <c r="Q215" i="2"/>
  <c r="Q265" i="2"/>
  <c r="Q235" i="2"/>
  <c r="Q417" i="2"/>
  <c r="Q360" i="2"/>
  <c r="Q99" i="2"/>
  <c r="Q62" i="2"/>
  <c r="Q509" i="2"/>
  <c r="Q139" i="2"/>
  <c r="Q330" i="2"/>
  <c r="Q46" i="2"/>
  <c r="Q152" i="2"/>
  <c r="Q86" i="2"/>
  <c r="Q440" i="2"/>
  <c r="Q279" i="2"/>
  <c r="Q287" i="2"/>
  <c r="N415" i="1" l="1"/>
  <c r="M416" i="1"/>
  <c r="V6" i="7"/>
  <c r="V7" i="7"/>
  <c r="S248" i="1"/>
  <c r="U248" i="1" s="1"/>
  <c r="R247" i="1"/>
  <c r="R246" i="1"/>
  <c r="S246" i="1" s="1"/>
  <c r="U246" i="1" s="1"/>
  <c r="S243" i="1"/>
  <c r="N243" i="1" s="1"/>
  <c r="Q244" i="1"/>
  <c r="S244" i="1" s="1"/>
  <c r="U244" i="1" s="1"/>
  <c r="Q245" i="1"/>
  <c r="Q242" i="1"/>
  <c r="V2" i="7"/>
  <c r="V10" i="7"/>
  <c r="Q241" i="1"/>
  <c r="R213" i="1"/>
  <c r="R186" i="1"/>
  <c r="R183" i="1"/>
  <c r="R179" i="1"/>
  <c r="R178" i="1"/>
  <c r="R173" i="1"/>
  <c r="R172" i="1"/>
  <c r="R171" i="1"/>
  <c r="R145" i="1"/>
  <c r="R136" i="1"/>
  <c r="R124" i="1"/>
  <c r="R122" i="1"/>
  <c r="R119" i="1"/>
  <c r="R101" i="1"/>
  <c r="R100" i="1"/>
  <c r="R83" i="1"/>
  <c r="R76" i="1"/>
  <c r="R72" i="1"/>
  <c r="R60" i="1"/>
  <c r="R58" i="1"/>
  <c r="R52" i="1"/>
  <c r="R51" i="1"/>
  <c r="R35" i="1"/>
  <c r="R34" i="1"/>
  <c r="R33" i="1"/>
  <c r="R32" i="1"/>
  <c r="R7" i="1"/>
  <c r="R240" i="1"/>
  <c r="W244" i="2"/>
  <c r="Z244" i="2" s="1"/>
  <c r="W13" i="2"/>
  <c r="Z13" i="2" s="1"/>
  <c r="W202" i="2"/>
  <c r="Z202" i="2" s="1"/>
  <c r="W430" i="2"/>
  <c r="Z430" i="2" s="1"/>
  <c r="W178" i="2"/>
  <c r="Z178" i="2" s="1"/>
  <c r="W360" i="2"/>
  <c r="W476" i="2"/>
  <c r="Z476" i="2" s="1"/>
  <c r="W343" i="2"/>
  <c r="Z343" i="2" s="1"/>
  <c r="W286" i="2"/>
  <c r="Z286" i="2" s="1"/>
  <c r="W100" i="2"/>
  <c r="Z100" i="2" s="1"/>
  <c r="W168" i="2"/>
  <c r="Z168" i="2" s="1"/>
  <c r="W548" i="2"/>
  <c r="Z548" i="2" s="1"/>
  <c r="W258" i="2"/>
  <c r="Z258" i="2" s="1"/>
  <c r="W519" i="2"/>
  <c r="Z519" i="2" s="1"/>
  <c r="W283" i="2"/>
  <c r="Z283" i="2" s="1"/>
  <c r="W375" i="2"/>
  <c r="Z375" i="2" s="1"/>
  <c r="W207" i="2"/>
  <c r="Z207" i="2" s="1"/>
  <c r="W349" i="2"/>
  <c r="Z349" i="2" s="1"/>
  <c r="W130" i="2"/>
  <c r="Z130" i="2" s="1"/>
  <c r="W25" i="2"/>
  <c r="Z25" i="2" s="1"/>
  <c r="W38" i="2"/>
  <c r="Z38" i="2" s="1"/>
  <c r="W436" i="2"/>
  <c r="Z436" i="2" s="1"/>
  <c r="W76" i="2"/>
  <c r="Z76" i="2" s="1"/>
  <c r="W509" i="2"/>
  <c r="Z509" i="2" s="1"/>
  <c r="W217" i="2"/>
  <c r="Z217" i="2" s="1"/>
  <c r="W311" i="2"/>
  <c r="Z311" i="2" s="1"/>
  <c r="W405" i="2"/>
  <c r="Z405" i="2" s="1"/>
  <c r="W522" i="2"/>
  <c r="Z522" i="2" s="1"/>
  <c r="W416" i="2"/>
  <c r="Z416" i="2" s="1"/>
  <c r="W204" i="2"/>
  <c r="Z204" i="2" s="1"/>
  <c r="W345" i="2"/>
  <c r="Z345" i="2" s="1"/>
  <c r="W409" i="2"/>
  <c r="Z409" i="2" s="1"/>
  <c r="W138" i="2"/>
  <c r="Z138" i="2" s="1"/>
  <c r="W256" i="2"/>
  <c r="Z256" i="2" s="1"/>
  <c r="W82" i="2"/>
  <c r="Z82" i="2" s="1"/>
  <c r="W502" i="2"/>
  <c r="Z502" i="2" s="1"/>
  <c r="W479" i="2"/>
  <c r="Z479" i="2" s="1"/>
  <c r="W170" i="2"/>
  <c r="Z170" i="2" s="1"/>
  <c r="W132" i="2"/>
  <c r="Z132" i="2" s="1"/>
  <c r="W193" i="2"/>
  <c r="Z193" i="2" s="1"/>
  <c r="W551" i="2"/>
  <c r="Z551" i="2" s="1"/>
  <c r="W137" i="2"/>
  <c r="Z137" i="2" s="1"/>
  <c r="W61" i="2"/>
  <c r="Z61" i="2" s="1"/>
  <c r="W282" i="2"/>
  <c r="Z282" i="2" s="1"/>
  <c r="W508" i="2"/>
  <c r="Z508" i="2" s="1"/>
  <c r="W253" i="2"/>
  <c r="Z253" i="2" s="1"/>
  <c r="W394" i="2"/>
  <c r="Z394" i="2" s="1"/>
  <c r="W302" i="2"/>
  <c r="Z302" i="2" s="1"/>
  <c r="W407" i="2"/>
  <c r="Z407" i="2" s="1"/>
  <c r="W418" i="2"/>
  <c r="W536" i="2"/>
  <c r="Z536" i="2" s="1"/>
  <c r="W544" i="2"/>
  <c r="Z544" i="2" s="1"/>
  <c r="W102" i="2"/>
  <c r="W88" i="2"/>
  <c r="Z88" i="2" s="1"/>
  <c r="W274" i="2"/>
  <c r="Z274" i="2" s="1"/>
  <c r="W103" i="2"/>
  <c r="W112" i="2"/>
  <c r="Z112" i="2" s="1"/>
  <c r="W267" i="2"/>
  <c r="Z267" i="2" s="1"/>
  <c r="W157" i="2"/>
  <c r="W413" i="2"/>
  <c r="Z413" i="2" s="1"/>
  <c r="W97" i="2"/>
  <c r="Z97" i="2" s="1"/>
  <c r="W377" i="2"/>
  <c r="W317" i="2"/>
  <c r="Z317" i="2" s="1"/>
  <c r="W478" i="2"/>
  <c r="Z478" i="2" s="1"/>
  <c r="W252" i="2"/>
  <c r="Z252" i="2" s="1"/>
  <c r="W108" i="2"/>
  <c r="Z108" i="2" s="1"/>
  <c r="W338" i="2"/>
  <c r="Z338" i="2" s="1"/>
  <c r="W122" i="2"/>
  <c r="Z122" i="2" s="1"/>
  <c r="W334" i="2"/>
  <c r="Z334" i="2" s="1"/>
  <c r="W68" i="2"/>
  <c r="Z68" i="2" s="1"/>
  <c r="W159" i="2"/>
  <c r="Z159" i="2" s="1"/>
  <c r="W384" i="2"/>
  <c r="Z384" i="2" s="1"/>
  <c r="W341" i="2"/>
  <c r="Z341" i="2" s="1"/>
  <c r="W354" i="2"/>
  <c r="Z354" i="2" s="1"/>
  <c r="W37" i="2"/>
  <c r="Z37" i="2" s="1"/>
  <c r="W53" i="2"/>
  <c r="Z53" i="2" s="1"/>
  <c r="W16" i="2"/>
  <c r="Z16" i="2" s="1"/>
  <c r="W391" i="2"/>
  <c r="Z391" i="2" s="1"/>
  <c r="W444" i="2"/>
  <c r="Z444" i="2" s="1"/>
  <c r="W403" i="2"/>
  <c r="Z403" i="2" s="1"/>
  <c r="W56" i="2"/>
  <c r="Z56" i="2" s="1"/>
  <c r="W48" i="2"/>
  <c r="Z48" i="2" s="1"/>
  <c r="W242" i="2"/>
  <c r="Z242" i="2" s="1"/>
  <c r="W133" i="2"/>
  <c r="Z133" i="2" s="1"/>
  <c r="W89" i="2"/>
  <c r="Z89" i="2" s="1"/>
  <c r="W176" i="2"/>
  <c r="Z176" i="2" s="1"/>
  <c r="W26" i="2"/>
  <c r="Z26" i="2" s="1"/>
  <c r="W429" i="2"/>
  <c r="Z429" i="2" s="1"/>
  <c r="W67" i="2"/>
  <c r="Z67" i="2" s="1"/>
  <c r="W245" i="2"/>
  <c r="W490" i="2"/>
  <c r="Z490" i="2" s="1"/>
  <c r="W514" i="2"/>
  <c r="Z514" i="2" s="1"/>
  <c r="W163" i="2"/>
  <c r="Z163" i="2" s="1"/>
  <c r="W535" i="2"/>
  <c r="W549" i="2"/>
  <c r="Z549" i="2" s="1"/>
  <c r="W392" i="2"/>
  <c r="Z392" i="2" s="1"/>
  <c r="W70" i="2"/>
  <c r="Z70" i="2" s="1"/>
  <c r="W477" i="2"/>
  <c r="Z477" i="2" s="1"/>
  <c r="W428" i="2"/>
  <c r="Z428" i="2" s="1"/>
  <c r="W485" i="2"/>
  <c r="Z485" i="2" s="1"/>
  <c r="W145" i="2"/>
  <c r="Z145" i="2" s="1"/>
  <c r="W433" i="2"/>
  <c r="Z433" i="2" s="1"/>
  <c r="W243" i="2"/>
  <c r="W136" i="2"/>
  <c r="Z136" i="2" s="1"/>
  <c r="W530" i="2"/>
  <c r="Z530" i="2" s="1"/>
  <c r="W545" i="2"/>
  <c r="W541" i="2"/>
  <c r="Z541" i="2" s="1"/>
  <c r="W208" i="2"/>
  <c r="Z208" i="2" s="1"/>
  <c r="W107" i="2"/>
  <c r="Z107" i="2" s="1"/>
  <c r="W469" i="2"/>
  <c r="Z469" i="2" s="1"/>
  <c r="W281" i="2"/>
  <c r="Z281" i="2" s="1"/>
  <c r="W330" i="2"/>
  <c r="Z330" i="2" s="1"/>
  <c r="W497" i="2"/>
  <c r="Z497" i="2" s="1"/>
  <c r="W19" i="2"/>
  <c r="Z19" i="2" s="1"/>
  <c r="W438" i="2"/>
  <c r="Z438" i="2" s="1"/>
  <c r="W210" i="2"/>
  <c r="Z210" i="2" s="1"/>
  <c r="W169" i="2"/>
  <c r="Z169" i="2" s="1"/>
  <c r="W455" i="2"/>
  <c r="Z455" i="2" s="1"/>
  <c r="W511" i="2"/>
  <c r="Z511" i="2" s="1"/>
  <c r="W419" i="2"/>
  <c r="Z419" i="2" s="1"/>
  <c r="W10" i="2"/>
  <c r="Z10" i="2" s="1"/>
  <c r="W415" i="2"/>
  <c r="Z415" i="2" s="1"/>
  <c r="W483" i="2"/>
  <c r="Z483" i="2" s="1"/>
  <c r="W448" i="2"/>
  <c r="Z448" i="2" s="1"/>
  <c r="W153" i="2"/>
  <c r="Z153" i="2" s="1"/>
  <c r="W329" i="2"/>
  <c r="Z329" i="2" s="1"/>
  <c r="W219" i="2"/>
  <c r="Z219" i="2" s="1"/>
  <c r="W285" i="2"/>
  <c r="Z285" i="2" s="1"/>
  <c r="W12" i="2"/>
  <c r="Z12" i="2" s="1"/>
  <c r="W488" i="2"/>
  <c r="Z488" i="2" s="1"/>
  <c r="W423" i="2"/>
  <c r="Z423" i="2" s="1"/>
  <c r="W166" i="2"/>
  <c r="Z166" i="2" s="1"/>
  <c r="W146" i="2"/>
  <c r="Z146" i="2" s="1"/>
  <c r="W434" i="2"/>
  <c r="Z434" i="2" s="1"/>
  <c r="W380" i="2"/>
  <c r="Z380" i="2" s="1"/>
  <c r="W44" i="2"/>
  <c r="Z44" i="2" s="1"/>
  <c r="W556" i="2"/>
  <c r="Z556" i="2" s="1"/>
  <c r="W517" i="2"/>
  <c r="Z517" i="2" s="1"/>
  <c r="W49" i="2"/>
  <c r="Z49" i="2" s="1"/>
  <c r="W383" i="2"/>
  <c r="Z383" i="2" s="1"/>
  <c r="W190" i="2"/>
  <c r="Z190" i="2" s="1"/>
  <c r="W494" i="2"/>
  <c r="Z494" i="2" s="1"/>
  <c r="W41" i="2"/>
  <c r="Z41" i="2" s="1"/>
  <c r="W297" i="2"/>
  <c r="Z297" i="2" s="1"/>
  <c r="W300" i="2"/>
  <c r="Z300" i="2" s="1"/>
  <c r="W431" i="2"/>
  <c r="Z431" i="2" s="1"/>
  <c r="W239" i="2"/>
  <c r="W378" i="2"/>
  <c r="Z378" i="2" s="1"/>
  <c r="W83" i="2"/>
  <c r="Z83" i="2" s="1"/>
  <c r="W246" i="2"/>
  <c r="Z246" i="2" s="1"/>
  <c r="W512" i="2"/>
  <c r="W454" i="2"/>
  <c r="Z454" i="2" s="1"/>
  <c r="W86" i="2"/>
  <c r="Z86" i="2" s="1"/>
  <c r="W45" i="2"/>
  <c r="Z45" i="2" s="1"/>
  <c r="W397" i="2"/>
  <c r="Z397" i="2" s="1"/>
  <c r="W257" i="2"/>
  <c r="Z257" i="2" s="1"/>
  <c r="W105" i="2"/>
  <c r="Z105" i="2" s="1"/>
  <c r="W128" i="2"/>
  <c r="Z128" i="2" s="1"/>
  <c r="W346" i="2"/>
  <c r="Z346" i="2" s="1"/>
  <c r="W520" i="2"/>
  <c r="Z520" i="2" s="1"/>
  <c r="W321" i="2"/>
  <c r="Z321" i="2" s="1"/>
  <c r="W139" i="2"/>
  <c r="Z139" i="2" s="1"/>
  <c r="W421" i="2"/>
  <c r="W275" i="2"/>
  <c r="Z275" i="2" s="1"/>
  <c r="W328" i="2"/>
  <c r="Z328" i="2" s="1"/>
  <c r="W539" i="2"/>
  <c r="Z539" i="2" s="1"/>
  <c r="W273" i="2"/>
  <c r="Z273" i="2" s="1"/>
  <c r="W363" i="2"/>
  <c r="Z363" i="2" s="1"/>
  <c r="W472" i="2"/>
  <c r="Z472" i="2" s="1"/>
  <c r="W491" i="2"/>
  <c r="Z491" i="2" s="1"/>
  <c r="W148" i="2"/>
  <c r="Z148" i="2" s="1"/>
  <c r="W284" i="2"/>
  <c r="Z284" i="2" s="1"/>
  <c r="W487" i="2"/>
  <c r="Z487" i="2" s="1"/>
  <c r="W315" i="2"/>
  <c r="Z315" i="2" s="1"/>
  <c r="W432" i="2"/>
  <c r="Z432" i="2" s="1"/>
  <c r="W333" i="2"/>
  <c r="Z333" i="2" s="1"/>
  <c r="W457" i="2"/>
  <c r="Z457" i="2" s="1"/>
  <c r="W552" i="2"/>
  <c r="Z552" i="2" s="1"/>
  <c r="W186" i="2"/>
  <c r="Z186" i="2" s="1"/>
  <c r="W198" i="2"/>
  <c r="Z198" i="2" s="1"/>
  <c r="W4" i="2"/>
  <c r="Z4" i="2" s="1"/>
  <c r="W8" i="2"/>
  <c r="Z8" i="2" s="1"/>
  <c r="W228" i="2"/>
  <c r="Z228" i="2" s="1"/>
  <c r="W161" i="2"/>
  <c r="Z161" i="2" s="1"/>
  <c r="W227" i="2"/>
  <c r="Z227" i="2" s="1"/>
  <c r="W23" i="2"/>
  <c r="Z23" i="2" s="1"/>
  <c r="W393" i="2"/>
  <c r="Z393" i="2" s="1"/>
  <c r="W209" i="2"/>
  <c r="Z209" i="2" s="1"/>
  <c r="W557" i="2"/>
  <c r="Z557" i="2" s="1"/>
  <c r="W123" i="2"/>
  <c r="Z123" i="2" s="1"/>
  <c r="W113" i="2"/>
  <c r="Z113" i="2" s="1"/>
  <c r="W240" i="2"/>
  <c r="Z240" i="2" s="1"/>
  <c r="W336" i="2"/>
  <c r="Z336" i="2" s="1"/>
  <c r="W326" i="2"/>
  <c r="Z326" i="2" s="1"/>
  <c r="W114" i="2"/>
  <c r="Z114" i="2" s="1"/>
  <c r="W51" i="2"/>
  <c r="Z51" i="2" s="1"/>
  <c r="W358" i="2"/>
  <c r="Z358" i="2" s="1"/>
  <c r="W369" i="2"/>
  <c r="Z369" i="2" s="1"/>
  <c r="W230" i="2"/>
  <c r="Z230" i="2" s="1"/>
  <c r="W496" i="2"/>
  <c r="Z496" i="2" s="1"/>
  <c r="W187" i="2"/>
  <c r="Z187" i="2" s="1"/>
  <c r="W106" i="2"/>
  <c r="Z106" i="2" s="1"/>
  <c r="W459" i="2"/>
  <c r="Z459" i="2" s="1"/>
  <c r="W75" i="2"/>
  <c r="Z75" i="2" s="1"/>
  <c r="W366" i="2"/>
  <c r="W310" i="2"/>
  <c r="Z310" i="2" s="1"/>
  <c r="W65" i="2"/>
  <c r="Z65" i="2" s="1"/>
  <c r="W212" i="2"/>
  <c r="Z212" i="2" s="1"/>
  <c r="W460" i="2"/>
  <c r="Z460" i="2" s="1"/>
  <c r="W323" i="2"/>
  <c r="Z323" i="2" s="1"/>
  <c r="W195" i="2"/>
  <c r="Z195" i="2" s="1"/>
  <c r="W69" i="2"/>
  <c r="Z69" i="2" s="1"/>
  <c r="W36" i="2"/>
  <c r="Z36" i="2" s="1"/>
  <c r="W270" i="2"/>
  <c r="Z270" i="2" s="1"/>
  <c r="W399" i="2"/>
  <c r="Z399" i="2" s="1"/>
  <c r="W11" i="2"/>
  <c r="W420" i="2"/>
  <c r="Z420" i="2" s="1"/>
  <c r="W264" i="2"/>
  <c r="Z264" i="2" s="1"/>
  <c r="W379" i="2"/>
  <c r="Z379" i="2" s="1"/>
  <c r="W353" i="2"/>
  <c r="Z353" i="2" s="1"/>
  <c r="W260" i="2"/>
  <c r="Z260" i="2" s="1"/>
  <c r="W318" i="2"/>
  <c r="Z318" i="2" s="1"/>
  <c r="W15" i="2"/>
  <c r="Z15" i="2" s="1"/>
  <c r="W117" i="2"/>
  <c r="Z117" i="2" s="1"/>
  <c r="W447" i="2"/>
  <c r="Z447" i="2" s="1"/>
  <c r="W319" i="2"/>
  <c r="Z319" i="2" s="1"/>
  <c r="W357" i="2"/>
  <c r="Z357" i="2" s="1"/>
  <c r="W461" i="2"/>
  <c r="W131" i="2"/>
  <c r="Z131" i="2" s="1"/>
  <c r="W152" i="2"/>
  <c r="Z152" i="2" s="1"/>
  <c r="W350" i="2"/>
  <c r="Z350" i="2" s="1"/>
  <c r="W173" i="2"/>
  <c r="Z173" i="2" s="1"/>
  <c r="W2" i="2"/>
  <c r="Z2" i="2" s="1"/>
  <c r="W18" i="2"/>
  <c r="Z18" i="2" s="1"/>
  <c r="W308" i="2"/>
  <c r="Z308" i="2" s="1"/>
  <c r="W167" i="2"/>
  <c r="Z167" i="2" s="1"/>
  <c r="W404" i="2"/>
  <c r="Z404" i="2" s="1"/>
  <c r="W127" i="2"/>
  <c r="Z127" i="2" s="1"/>
  <c r="W402" i="2"/>
  <c r="Z402" i="2" s="1"/>
  <c r="W278" i="2"/>
  <c r="Z278" i="2" s="1"/>
  <c r="W277" i="2"/>
  <c r="Z277" i="2" s="1"/>
  <c r="W426" i="2"/>
  <c r="Z426" i="2" s="1"/>
  <c r="W289" i="2"/>
  <c r="Z289" i="2" s="1"/>
  <c r="W504" i="2"/>
  <c r="Z504" i="2" s="1"/>
  <c r="W101" i="2"/>
  <c r="Z101" i="2" s="1"/>
  <c r="W261" i="2"/>
  <c r="Z261" i="2" s="1"/>
  <c r="W142" i="2"/>
  <c r="W441" i="2"/>
  <c r="Z441" i="2" s="1"/>
  <c r="W513" i="2"/>
  <c r="Z513" i="2" s="1"/>
  <c r="W351" i="2"/>
  <c r="Z351" i="2" s="1"/>
  <c r="W154" i="2"/>
  <c r="Z154" i="2" s="1"/>
  <c r="W352" i="2"/>
  <c r="Z352" i="2" s="1"/>
  <c r="W181" i="2"/>
  <c r="Z181" i="2" s="1"/>
  <c r="W271" i="2"/>
  <c r="Z271" i="2" s="1"/>
  <c r="W331" i="2"/>
  <c r="Z331" i="2" s="1"/>
  <c r="W129" i="2"/>
  <c r="Z129" i="2" s="1"/>
  <c r="W400" i="2"/>
  <c r="Z400" i="2" s="1"/>
  <c r="W505" i="2"/>
  <c r="Z505" i="2" s="1"/>
  <c r="W371" i="2"/>
  <c r="Z371" i="2" s="1"/>
  <c r="W115" i="2"/>
  <c r="Z115" i="2" s="1"/>
  <c r="W309" i="2"/>
  <c r="Z309" i="2" s="1"/>
  <c r="W268" i="2"/>
  <c r="Z268" i="2" s="1"/>
  <c r="W87" i="2"/>
  <c r="Z87" i="2" s="1"/>
  <c r="W367" i="2"/>
  <c r="Z367" i="2" s="1"/>
  <c r="W174" i="2"/>
  <c r="Z174" i="2" s="1"/>
  <c r="W177" i="2"/>
  <c r="Z177" i="2" s="1"/>
  <c r="W235" i="2"/>
  <c r="Z235" i="2" s="1"/>
  <c r="W191" i="2"/>
  <c r="Z191" i="2" s="1"/>
  <c r="W96" i="2"/>
  <c r="W507" i="2"/>
  <c r="Z507" i="2" s="1"/>
  <c r="W340" i="2"/>
  <c r="Z340" i="2" s="1"/>
  <c r="W542" i="2"/>
  <c r="Z542" i="2" s="1"/>
  <c r="W74" i="2"/>
  <c r="Z74" i="2" s="1"/>
  <c r="W337" i="2"/>
  <c r="Z337" i="2" s="1"/>
  <c r="W119" i="2"/>
  <c r="Z119" i="2" s="1"/>
  <c r="W140" i="2"/>
  <c r="Z140" i="2" s="1"/>
  <c r="W500" i="2"/>
  <c r="Z500" i="2" s="1"/>
  <c r="W134" i="2"/>
  <c r="Z134" i="2" s="1"/>
  <c r="W238" i="2"/>
  <c r="Z238" i="2" s="1"/>
  <c r="W77" i="2"/>
  <c r="Z77" i="2" s="1"/>
  <c r="W465" i="2"/>
  <c r="Z465" i="2" s="1"/>
  <c r="W14" i="2"/>
  <c r="Z14" i="2" s="1"/>
  <c r="W231" i="2"/>
  <c r="Z231" i="2" s="1"/>
  <c r="W46" i="2"/>
  <c r="W203" i="2"/>
  <c r="Z203" i="2" s="1"/>
  <c r="W3" i="2"/>
  <c r="Z3" i="2" s="1"/>
  <c r="W249" i="2"/>
  <c r="Z249" i="2" s="1"/>
  <c r="W84" i="2"/>
  <c r="Z84" i="2" s="1"/>
  <c r="W206" i="2"/>
  <c r="Z206" i="2" s="1"/>
  <c r="W503" i="2"/>
  <c r="Z503" i="2" s="1"/>
  <c r="W39" i="2"/>
  <c r="Z39" i="2" s="1"/>
  <c r="W182" i="2"/>
  <c r="Z182" i="2" s="1"/>
  <c r="W66" i="2"/>
  <c r="Z66" i="2" s="1"/>
  <c r="W501" i="2"/>
  <c r="Z501" i="2" s="1"/>
  <c r="W458" i="2"/>
  <c r="Z458" i="2" s="1"/>
  <c r="X12" i="2"/>
  <c r="X285" i="2"/>
  <c r="X96" i="2"/>
  <c r="X219" i="2"/>
  <c r="X329" i="2"/>
  <c r="X153" i="2"/>
  <c r="X192" i="2"/>
  <c r="X234" i="2"/>
  <c r="X293" i="2"/>
  <c r="X288" i="2"/>
  <c r="X543" i="2"/>
  <c r="X291" i="2"/>
  <c r="X184" i="2"/>
  <c r="X6" i="2"/>
  <c r="X80" i="2"/>
  <c r="X442" i="2"/>
  <c r="X553" i="2"/>
  <c r="X276" i="2"/>
  <c r="X361" i="2"/>
  <c r="X474" i="2"/>
  <c r="X160" i="2"/>
  <c r="X85" i="2"/>
  <c r="X482" i="2"/>
  <c r="X295" i="2"/>
  <c r="X554" i="2"/>
  <c r="X388" i="2"/>
  <c r="X410" i="2"/>
  <c r="X355" i="2"/>
  <c r="X207" i="2"/>
  <c r="X375" i="2"/>
  <c r="X448" i="2"/>
  <c r="X483" i="2"/>
  <c r="X191" i="2"/>
  <c r="X235" i="2"/>
  <c r="X177" i="2"/>
  <c r="X174" i="2"/>
  <c r="X367" i="2"/>
  <c r="X458" i="2"/>
  <c r="X283" i="2"/>
  <c r="X501" i="2"/>
  <c r="X87" i="2"/>
  <c r="X415" i="2"/>
  <c r="X268" i="2"/>
  <c r="X309" i="2"/>
  <c r="X10" i="2"/>
  <c r="X419" i="2"/>
  <c r="X511" i="2"/>
  <c r="X455" i="2"/>
  <c r="X169" i="2"/>
  <c r="X210" i="2"/>
  <c r="X438" i="2"/>
  <c r="X19" i="2"/>
  <c r="X497" i="2"/>
  <c r="X330" i="2"/>
  <c r="X281" i="2"/>
  <c r="X469" i="2"/>
  <c r="X107" i="2"/>
  <c r="X208" i="2"/>
  <c r="X541" i="2"/>
  <c r="X545" i="2"/>
  <c r="X530" i="2"/>
  <c r="X136" i="2"/>
  <c r="X243" i="2"/>
  <c r="X433" i="2"/>
  <c r="X145" i="2"/>
  <c r="X485" i="2"/>
  <c r="X428" i="2"/>
  <c r="X115" i="2"/>
  <c r="X371" i="2"/>
  <c r="X505" i="2"/>
  <c r="X400" i="2"/>
  <c r="X129" i="2"/>
  <c r="X331" i="2"/>
  <c r="X66" i="2"/>
  <c r="X104" i="2"/>
  <c r="X271" i="2"/>
  <c r="X477" i="2"/>
  <c r="X70" i="2"/>
  <c r="X181" i="2"/>
  <c r="X352" i="2"/>
  <c r="X154" i="2"/>
  <c r="X351" i="2"/>
  <c r="X513" i="2"/>
  <c r="X441" i="2"/>
  <c r="X332" i="2"/>
  <c r="X280" i="2"/>
  <c r="X27" i="2"/>
  <c r="X387" i="2"/>
  <c r="X532" i="2"/>
  <c r="X316" i="2"/>
  <c r="X373" i="2"/>
  <c r="X241" i="2"/>
  <c r="X147" i="2"/>
  <c r="X254" i="2"/>
  <c r="X359" i="2"/>
  <c r="X449" i="2"/>
  <c r="X408" i="2"/>
  <c r="X451" i="2"/>
  <c r="X30" i="2"/>
  <c r="X185" i="2"/>
  <c r="X92" i="2"/>
  <c r="X156" i="2"/>
  <c r="X124" i="2"/>
  <c r="X411" i="2"/>
  <c r="X401" i="2"/>
  <c r="X342" i="2"/>
  <c r="X540" i="2"/>
  <c r="X225" i="2"/>
  <c r="X216" i="2"/>
  <c r="X301" i="2"/>
  <c r="X523" i="2"/>
  <c r="X298" i="2"/>
  <c r="X110" i="2"/>
  <c r="X223" i="2"/>
  <c r="X534" i="2"/>
  <c r="X531" i="2"/>
  <c r="X233" i="2"/>
  <c r="X519" i="2"/>
  <c r="X258" i="2"/>
  <c r="X548" i="2"/>
  <c r="X286" i="2"/>
  <c r="X343" i="2"/>
  <c r="X476" i="2"/>
  <c r="X360" i="2"/>
  <c r="X178" i="2"/>
  <c r="X430" i="2"/>
  <c r="X202" i="2"/>
  <c r="X13" i="2"/>
  <c r="X244" i="2"/>
  <c r="X386" i="2"/>
  <c r="X262" i="2"/>
  <c r="X60" i="2"/>
  <c r="X168" i="2"/>
  <c r="X100" i="2"/>
  <c r="X437" i="2"/>
  <c r="X392" i="2"/>
  <c r="X549" i="2"/>
  <c r="X535" i="2"/>
  <c r="X163" i="2"/>
  <c r="X514" i="2"/>
  <c r="X490" i="2"/>
  <c r="X245" i="2"/>
  <c r="X67" i="2"/>
  <c r="X429" i="2"/>
  <c r="X26" i="2"/>
  <c r="X176" i="2"/>
  <c r="X89" i="2"/>
  <c r="X133" i="2"/>
  <c r="X242" i="2"/>
  <c r="X48" i="2"/>
  <c r="X56" i="2"/>
  <c r="X403" i="2"/>
  <c r="X444" i="2"/>
  <c r="X182" i="2"/>
  <c r="X142" i="2"/>
  <c r="X391" i="2"/>
  <c r="X537" i="2"/>
  <c r="X261" i="2"/>
  <c r="X101" i="2"/>
  <c r="X504" i="2"/>
  <c r="X289" i="2"/>
  <c r="X426" i="2"/>
  <c r="X277" i="2"/>
  <c r="X278" i="2"/>
  <c r="X402" i="2"/>
  <c r="X127" i="2"/>
  <c r="X404" i="2"/>
  <c r="X167" i="2"/>
  <c r="X16" i="2"/>
  <c r="X53" i="2"/>
  <c r="X37" i="2"/>
  <c r="X308" i="2"/>
  <c r="X354" i="2"/>
  <c r="X39" i="2"/>
  <c r="X503" i="2"/>
  <c r="X180" i="2"/>
  <c r="X347" i="2"/>
  <c r="X58" i="2"/>
  <c r="X453" i="2"/>
  <c r="X266" i="2"/>
  <c r="X526" i="2"/>
  <c r="X259" i="2"/>
  <c r="X179" i="2"/>
  <c r="X341" i="2"/>
  <c r="X18" i="2"/>
  <c r="X2" i="2"/>
  <c r="X384" i="2"/>
  <c r="X52" i="2"/>
  <c r="X516" i="2"/>
  <c r="X468" i="2"/>
  <c r="X73" i="2"/>
  <c r="X144" i="2"/>
  <c r="X211" i="2"/>
  <c r="X199" i="2"/>
  <c r="X395" i="2"/>
  <c r="X475" i="2"/>
  <c r="X125" i="2"/>
  <c r="X382" i="2"/>
  <c r="X218" i="2"/>
  <c r="X165" i="2"/>
  <c r="X335" i="2"/>
  <c r="X20" i="2"/>
  <c r="X55" i="2"/>
  <c r="X222" i="2"/>
  <c r="X427" i="2"/>
  <c r="X414" i="2"/>
  <c r="X5" i="2"/>
  <c r="X314" i="2"/>
  <c r="X547" i="2"/>
  <c r="X510" i="2"/>
  <c r="X272" i="2"/>
  <c r="X99" i="2"/>
  <c r="X396" i="2"/>
  <c r="X7" i="2"/>
  <c r="X456" i="2"/>
  <c r="X79" i="2"/>
  <c r="X120" i="2"/>
  <c r="X214" i="2"/>
  <c r="X126" i="2"/>
  <c r="X64" i="2"/>
  <c r="X197" i="2"/>
  <c r="X135" i="2"/>
  <c r="X71" i="2"/>
  <c r="X480" i="2"/>
  <c r="X205" i="2"/>
  <c r="X171" i="2"/>
  <c r="X59" i="2"/>
  <c r="X265" i="2"/>
  <c r="X290" i="2"/>
  <c r="X484" i="2"/>
  <c r="X224" i="2"/>
  <c r="X470" i="2"/>
  <c r="X109" i="2"/>
  <c r="X439" i="2"/>
  <c r="X307" i="2"/>
  <c r="X555" i="2"/>
  <c r="X450" i="2"/>
  <c r="X173" i="2"/>
  <c r="X350" i="2"/>
  <c r="X152" i="2"/>
  <c r="X131" i="2"/>
  <c r="X206" i="2"/>
  <c r="X461" i="2"/>
  <c r="X357" i="2"/>
  <c r="X42" i="2"/>
  <c r="X319" i="2"/>
  <c r="X447" i="2"/>
  <c r="X117" i="2"/>
  <c r="X15" i="2"/>
  <c r="X318" i="2"/>
  <c r="X84" i="2"/>
  <c r="X249" i="2"/>
  <c r="X260" i="2"/>
  <c r="X353" i="2"/>
  <c r="X406" i="2"/>
  <c r="X237" i="2"/>
  <c r="X529" i="2"/>
  <c r="X312" i="2"/>
  <c r="X370" i="2"/>
  <c r="X62" i="2"/>
  <c r="X327" i="2"/>
  <c r="X287" i="2"/>
  <c r="X22" i="2"/>
  <c r="X322" i="2"/>
  <c r="X422" i="2"/>
  <c r="X81" i="2"/>
  <c r="X263" i="2"/>
  <c r="X229" i="2"/>
  <c r="X492" i="2"/>
  <c r="X481" i="2"/>
  <c r="X141" i="2"/>
  <c r="X236" i="2"/>
  <c r="X247" i="2"/>
  <c r="X464" i="2"/>
  <c r="X31" i="2"/>
  <c r="X489" i="2"/>
  <c r="X34" i="2"/>
  <c r="X527" i="2"/>
  <c r="X72" i="2"/>
  <c r="X155" i="2"/>
  <c r="X196" i="2"/>
  <c r="X493" i="2"/>
  <c r="X463" i="2"/>
  <c r="X188" i="2"/>
  <c r="X398" i="2"/>
  <c r="X215" i="2"/>
  <c r="X344" i="2"/>
  <c r="X498" i="2"/>
  <c r="X111" i="2"/>
  <c r="X362" i="2"/>
  <c r="X305" i="2"/>
  <c r="X226" i="2"/>
  <c r="X385" i="2"/>
  <c r="X201" i="2"/>
  <c r="X325" i="2"/>
  <c r="X435" i="2"/>
  <c r="X452" i="2"/>
  <c r="X29" i="2"/>
  <c r="X149" i="2"/>
  <c r="X116" i="2"/>
  <c r="X348" i="2"/>
  <c r="X221" i="2"/>
  <c r="X324" i="2"/>
  <c r="X57" i="2"/>
  <c r="X417" i="2"/>
  <c r="X486" i="2"/>
  <c r="X524" i="2"/>
  <c r="X213" i="2"/>
  <c r="X194" i="2"/>
  <c r="X9" i="2"/>
  <c r="X374" i="2"/>
  <c r="X292" i="2"/>
  <c r="X164" i="2"/>
  <c r="X521" i="2"/>
  <c r="X538" i="2"/>
  <c r="X466" i="2"/>
  <c r="X467" i="2"/>
  <c r="X21" i="2"/>
  <c r="X525" i="2"/>
  <c r="X381" i="2"/>
  <c r="X533" i="2"/>
  <c r="X159" i="2"/>
  <c r="X68" i="2"/>
  <c r="X334" i="2"/>
  <c r="X122" i="2"/>
  <c r="X338" i="2"/>
  <c r="X379" i="2"/>
  <c r="X264" i="2"/>
  <c r="X420" i="2"/>
  <c r="X11" i="2"/>
  <c r="X3" i="2"/>
  <c r="X399" i="2"/>
  <c r="X270" i="2"/>
  <c r="X36" i="2"/>
  <c r="X69" i="2"/>
  <c r="X195" i="2"/>
  <c r="X323" i="2"/>
  <c r="X17" i="2"/>
  <c r="X443" i="2"/>
  <c r="X506" i="2"/>
  <c r="X440" i="2"/>
  <c r="X518" i="2"/>
  <c r="X462" i="2"/>
  <c r="X279" i="2"/>
  <c r="X24" i="2"/>
  <c r="X296" i="2"/>
  <c r="X151" i="2"/>
  <c r="X460" i="2"/>
  <c r="X108" i="2"/>
  <c r="X252" i="2"/>
  <c r="X478" i="2"/>
  <c r="X317" i="2"/>
  <c r="X377" i="2"/>
  <c r="X97" i="2"/>
  <c r="X413" i="2"/>
  <c r="X212" i="2"/>
  <c r="X157" i="2"/>
  <c r="X267" i="2"/>
  <c r="X65" i="2"/>
  <c r="X310" i="2"/>
  <c r="X203" i="2"/>
  <c r="X46" i="2"/>
  <c r="X366" i="2"/>
  <c r="X75" i="2"/>
  <c r="X231" i="2"/>
  <c r="X112" i="2"/>
  <c r="X14" i="2"/>
  <c r="X103" i="2"/>
  <c r="X274" i="2"/>
  <c r="X88" i="2"/>
  <c r="X102" i="2"/>
  <c r="X35" i="2"/>
  <c r="X459" i="2"/>
  <c r="X446" i="2"/>
  <c r="X63" i="2"/>
  <c r="X43" i="2"/>
  <c r="X106" i="2"/>
  <c r="X187" i="2"/>
  <c r="X304" i="2"/>
  <c r="X91" i="2"/>
  <c r="X98" i="2"/>
  <c r="X175" i="2"/>
  <c r="X339" i="2"/>
  <c r="X220" i="2"/>
  <c r="X515" i="2"/>
  <c r="X303" i="2"/>
  <c r="X32" i="2"/>
  <c r="X33" i="2"/>
  <c r="X546" i="2"/>
  <c r="X40" i="2"/>
  <c r="X232" i="2"/>
  <c r="X189" i="2"/>
  <c r="X248" i="2"/>
  <c r="X390" i="2"/>
  <c r="X50" i="2"/>
  <c r="X558" i="2"/>
  <c r="X269" i="2"/>
  <c r="X95" i="2"/>
  <c r="X376" i="2"/>
  <c r="X294" i="2"/>
  <c r="X368" i="2"/>
  <c r="X389" i="2"/>
  <c r="X424" i="2"/>
  <c r="X365" i="2"/>
  <c r="X90" i="2"/>
  <c r="X162" i="2"/>
  <c r="X496" i="2"/>
  <c r="X230" i="2"/>
  <c r="X369" i="2"/>
  <c r="X544" i="2"/>
  <c r="X358" i="2"/>
  <c r="X465" i="2"/>
  <c r="X51" i="2"/>
  <c r="X114" i="2"/>
  <c r="X326" i="2"/>
  <c r="X336" i="2"/>
  <c r="X536" i="2"/>
  <c r="X240" i="2"/>
  <c r="X418" i="2"/>
  <c r="X407" i="2"/>
  <c r="X302" i="2"/>
  <c r="X394" i="2"/>
  <c r="X253" i="2"/>
  <c r="X113" i="2"/>
  <c r="X94" i="2"/>
  <c r="X445" i="2"/>
  <c r="X320" i="2"/>
  <c r="X123" i="2"/>
  <c r="X557" i="2"/>
  <c r="X209" i="2"/>
  <c r="X77" i="2"/>
  <c r="X393" i="2"/>
  <c r="X508" i="2"/>
  <c r="X282" i="2"/>
  <c r="X61" i="2"/>
  <c r="X137" i="2"/>
  <c r="X551" i="2"/>
  <c r="X238" i="2"/>
  <c r="X134" i="2"/>
  <c r="X193" i="2"/>
  <c r="X23" i="2"/>
  <c r="X227" i="2"/>
  <c r="X500" i="2"/>
  <c r="X132" i="2"/>
  <c r="X170" i="2"/>
  <c r="X356" i="2"/>
  <c r="X306" i="2"/>
  <c r="X550" i="2"/>
  <c r="X479" i="2"/>
  <c r="X140" i="2"/>
  <c r="X425" i="2"/>
  <c r="X161" i="2"/>
  <c r="X228" i="2"/>
  <c r="X8" i="2"/>
  <c r="X4" i="2"/>
  <c r="X198" i="2"/>
  <c r="X186" i="2"/>
  <c r="X552" i="2"/>
  <c r="X502" i="2"/>
  <c r="X457" i="2"/>
  <c r="X333" i="2"/>
  <c r="X432" i="2"/>
  <c r="X315" i="2"/>
  <c r="X487" i="2"/>
  <c r="X284" i="2"/>
  <c r="X148" i="2"/>
  <c r="X491" i="2"/>
  <c r="X472" i="2"/>
  <c r="X363" i="2"/>
  <c r="X119" i="2"/>
  <c r="X337" i="2"/>
  <c r="X273" i="2"/>
  <c r="X528" i="2"/>
  <c r="X200" i="2"/>
  <c r="X299" i="2"/>
  <c r="X118" i="2"/>
  <c r="X183" i="2"/>
  <c r="X54" i="2"/>
  <c r="X412" i="2"/>
  <c r="X499" i="2"/>
  <c r="X47" i="2"/>
  <c r="X28" i="2"/>
  <c r="X539" i="2"/>
  <c r="X328" i="2"/>
  <c r="X275" i="2"/>
  <c r="X421" i="2"/>
  <c r="X139" i="2"/>
  <c r="X321" i="2"/>
  <c r="X520" i="2"/>
  <c r="X346" i="2"/>
  <c r="X128" i="2"/>
  <c r="X105" i="2"/>
  <c r="X257" i="2"/>
  <c r="X397" i="2"/>
  <c r="X45" i="2"/>
  <c r="X86" i="2"/>
  <c r="X454" i="2"/>
  <c r="X512" i="2"/>
  <c r="X246" i="2"/>
  <c r="X83" i="2"/>
  <c r="X378" i="2"/>
  <c r="X239" i="2"/>
  <c r="X431" i="2"/>
  <c r="X300" i="2"/>
  <c r="X297" i="2"/>
  <c r="X41" i="2"/>
  <c r="X74" i="2"/>
  <c r="X82" i="2"/>
  <c r="X256" i="2"/>
  <c r="X138" i="2"/>
  <c r="X494" i="2"/>
  <c r="X409" i="2"/>
  <c r="X345" i="2"/>
  <c r="X190" i="2"/>
  <c r="X383" i="2"/>
  <c r="X204" i="2"/>
  <c r="X416" i="2"/>
  <c r="X522" i="2"/>
  <c r="X405" i="2"/>
  <c r="X311" i="2"/>
  <c r="X49" i="2"/>
  <c r="X517" i="2"/>
  <c r="X556" i="2"/>
  <c r="X313" i="2"/>
  <c r="X121" i="2"/>
  <c r="X78" i="2"/>
  <c r="X250" i="2"/>
  <c r="X471" i="2"/>
  <c r="X542" i="2"/>
  <c r="X340" i="2"/>
  <c r="X507" i="2"/>
  <c r="X44" i="2"/>
  <c r="X380" i="2"/>
  <c r="X434" i="2"/>
  <c r="X146" i="2"/>
  <c r="X166" i="2"/>
  <c r="X217" i="2"/>
  <c r="X509" i="2"/>
  <c r="X423" i="2"/>
  <c r="X488" i="2"/>
  <c r="X76" i="2"/>
  <c r="X436" i="2"/>
  <c r="X38" i="2"/>
  <c r="X25" i="2"/>
  <c r="X130" i="2"/>
  <c r="X349" i="2"/>
  <c r="X473" i="2"/>
  <c r="X372" i="2"/>
  <c r="X143" i="2"/>
  <c r="X150" i="2"/>
  <c r="X495" i="2"/>
  <c r="X172" i="2"/>
  <c r="X255" i="2"/>
  <c r="X364" i="2"/>
  <c r="X251" i="2"/>
  <c r="X158" i="2"/>
  <c r="Y289" i="2"/>
  <c r="Y426" i="2"/>
  <c r="Y516" i="2"/>
  <c r="Y518" i="2"/>
  <c r="Y449" i="2"/>
  <c r="Y110" i="2"/>
  <c r="Y36" i="2"/>
  <c r="Y552" i="2"/>
  <c r="Y432" i="2"/>
  <c r="Y515" i="2"/>
  <c r="Y7" i="2"/>
  <c r="Y54" i="2"/>
  <c r="Y339" i="2"/>
  <c r="Y218" i="2"/>
  <c r="Y142" i="2"/>
  <c r="Y135" i="2"/>
  <c r="Y26" i="2"/>
  <c r="Y18" i="2"/>
  <c r="Y451" i="2"/>
  <c r="Y312" i="2"/>
  <c r="Y419" i="2"/>
  <c r="Y204" i="2"/>
  <c r="Y405" i="2"/>
  <c r="Y331" i="2"/>
  <c r="Y285" i="2"/>
  <c r="Y207" i="2"/>
  <c r="Y198" i="2"/>
  <c r="Y381" i="2"/>
  <c r="Y237" i="2"/>
  <c r="Y246" i="2"/>
  <c r="Y240" i="2"/>
  <c r="Y415" i="2"/>
  <c r="Y469" i="2"/>
  <c r="Y458" i="2"/>
  <c r="Y394" i="2"/>
  <c r="Y473" i="2"/>
  <c r="Y61" i="2"/>
  <c r="Y92" i="2"/>
  <c r="Y340" i="2"/>
  <c r="Y417" i="2"/>
  <c r="Y456" i="2"/>
  <c r="Y438" i="2"/>
  <c r="Y277" i="2"/>
  <c r="Y190" i="2"/>
  <c r="Y334" i="2"/>
  <c r="Y102" i="2"/>
  <c r="Y493" i="2"/>
  <c r="Y539" i="2"/>
  <c r="Y380" i="2"/>
  <c r="Y166" i="2"/>
  <c r="Y476" i="2"/>
  <c r="Y44" i="2"/>
  <c r="Y540" i="2"/>
  <c r="Y393" i="2"/>
  <c r="Y315" i="2"/>
  <c r="Y37" i="2"/>
  <c r="Y534" i="2"/>
  <c r="Y231" i="2"/>
  <c r="Y223" i="2"/>
  <c r="Y350" i="2"/>
  <c r="Y382" i="2"/>
  <c r="Y127" i="2"/>
  <c r="Y532" i="2"/>
  <c r="Y378" i="2"/>
  <c r="Y25" i="2"/>
  <c r="Y47" i="2"/>
  <c r="Y297" i="2"/>
  <c r="Y33" i="2"/>
  <c r="Y160" i="2"/>
  <c r="Y332" i="2"/>
  <c r="Y420" i="2"/>
  <c r="Y303" i="2"/>
  <c r="Y543" i="2"/>
  <c r="Y253" i="2"/>
  <c r="Y217" i="2"/>
  <c r="Y484" i="2"/>
  <c r="Y262" i="2"/>
  <c r="Y443" i="2"/>
  <c r="Y146" i="2"/>
  <c r="Y174" i="2"/>
  <c r="Y252" i="2"/>
  <c r="Y73" i="2"/>
  <c r="Y263" i="2"/>
  <c r="Y213" i="2"/>
  <c r="Y462" i="2"/>
  <c r="Y435" i="2"/>
  <c r="Y345" i="2"/>
  <c r="Y498" i="2"/>
  <c r="Y440" i="2"/>
  <c r="Y468" i="2"/>
  <c r="Y272" i="2"/>
  <c r="Y138" i="2"/>
  <c r="Y418" i="2"/>
  <c r="Y260" i="2"/>
  <c r="Y202" i="2"/>
  <c r="Y519" i="2"/>
  <c r="Y479" i="2"/>
  <c r="Y143" i="2"/>
  <c r="Y188" i="2"/>
  <c r="Y248" i="2"/>
  <c r="Y79" i="2"/>
  <c r="Y355" i="2"/>
  <c r="Y23" i="2"/>
  <c r="Y390" i="2"/>
  <c r="Y295" i="2"/>
  <c r="Y11" i="2"/>
  <c r="Y38" i="2"/>
  <c r="Y66" i="2"/>
  <c r="Y144" i="2"/>
  <c r="Y32" i="2"/>
  <c r="Y58" i="2"/>
  <c r="Y269" i="2"/>
  <c r="Y120" i="2"/>
  <c r="Y287" i="2"/>
  <c r="Y130" i="2"/>
  <c r="Y533" i="2"/>
  <c r="Y41" i="2"/>
  <c r="Y398" i="2"/>
  <c r="Y22" i="2"/>
  <c r="Y64" i="2"/>
  <c r="Y442" i="2"/>
  <c r="Y273" i="2"/>
  <c r="Y399" i="2"/>
  <c r="Y128" i="2"/>
  <c r="Y29" i="2"/>
  <c r="Y266" i="2"/>
  <c r="Y553" i="2"/>
  <c r="Y94" i="2"/>
  <c r="Y290" i="2"/>
  <c r="Y118" i="2"/>
  <c r="Y373" i="2"/>
  <c r="Y159" i="2"/>
  <c r="Y422" i="2"/>
  <c r="Y161" i="2"/>
  <c r="Y46" i="2"/>
  <c r="Y241" i="2"/>
  <c r="Y84" i="2"/>
  <c r="Y88" i="2"/>
  <c r="Y111" i="2"/>
  <c r="Y238" i="2"/>
  <c r="Y28" i="2"/>
  <c r="Y280" i="2"/>
  <c r="Y171" i="2"/>
  <c r="Y466" i="2"/>
  <c r="Y105" i="2"/>
  <c r="Y362" i="2"/>
  <c r="Y327" i="2"/>
  <c r="Y5" i="2"/>
  <c r="Y219" i="2"/>
  <c r="Y139" i="2"/>
  <c r="Y89" i="2"/>
  <c r="Y431" i="2"/>
  <c r="Y112" i="2"/>
  <c r="Y286" i="2"/>
  <c r="Y328" i="2"/>
  <c r="Y510" i="2"/>
  <c r="Y430" i="2"/>
  <c r="Y162" i="2"/>
  <c r="Y551" i="2"/>
  <c r="Y408" i="2"/>
  <c r="Y302" i="2"/>
  <c r="Y91" i="2"/>
  <c r="Y83" i="2"/>
  <c r="Y2" i="2"/>
  <c r="Y9" i="2"/>
  <c r="Y487" i="2"/>
  <c r="Y292" i="2"/>
  <c r="Y175" i="2"/>
  <c r="Y257" i="2"/>
  <c r="Y383" i="2"/>
  <c r="Y323" i="2"/>
  <c r="Y461" i="2"/>
  <c r="Y492" i="2"/>
  <c r="Y229" i="2"/>
  <c r="Y434" i="2"/>
  <c r="Y182" i="2"/>
  <c r="Y281" i="2"/>
  <c r="Y192" i="2"/>
  <c r="Y185" i="2"/>
  <c r="Y183" i="2"/>
  <c r="Y232" i="2"/>
  <c r="Y17" i="2"/>
  <c r="Y243" i="2"/>
  <c r="Y344" i="2"/>
  <c r="Y233" i="2"/>
  <c r="Y69" i="2"/>
  <c r="Y270" i="2"/>
  <c r="Y85" i="2"/>
  <c r="Y75" i="2"/>
  <c r="Y445" i="2"/>
  <c r="Y500" i="2"/>
  <c r="Y546" i="2"/>
  <c r="Y259" i="2"/>
  <c r="Y3" i="2"/>
  <c r="Y258" i="2"/>
  <c r="Y108" i="2"/>
  <c r="Y113" i="2"/>
  <c r="Y453" i="2"/>
  <c r="Y481" i="2"/>
  <c r="Y368" i="2"/>
  <c r="Y226" i="2"/>
  <c r="Y60" i="2"/>
  <c r="Y103" i="2"/>
  <c r="Y336" i="2"/>
  <c r="Y50" i="2"/>
  <c r="Y196" i="2"/>
  <c r="Y441" i="2"/>
  <c r="Y181" i="2"/>
  <c r="Y76" i="2"/>
  <c r="Y530" i="2"/>
  <c r="Y548" i="2"/>
  <c r="Y298" i="2"/>
  <c r="Y178" i="2"/>
  <c r="Y421" i="2"/>
  <c r="Y141" i="2"/>
  <c r="Y357" i="2"/>
  <c r="Y261" i="2"/>
  <c r="Y255" i="2"/>
  <c r="Y428" i="2"/>
  <c r="Y376" i="2"/>
  <c r="Y154" i="2"/>
  <c r="Y333" i="2"/>
  <c r="Y356" i="2"/>
  <c r="Y501" i="2"/>
  <c r="Y347" i="2"/>
  <c r="Y314" i="2"/>
  <c r="Y416" i="2"/>
  <c r="Y360" i="2"/>
  <c r="Y529" i="2"/>
  <c r="Y13" i="2"/>
  <c r="Y364" i="2"/>
  <c r="Y371" i="2"/>
  <c r="Y316" i="2"/>
  <c r="Y225" i="2"/>
  <c r="Y224" i="2"/>
  <c r="Y509" i="2"/>
  <c r="Y367" i="2"/>
  <c r="Y425" i="2"/>
  <c r="Y205" i="2"/>
  <c r="Y414" i="2"/>
  <c r="Y349" i="2"/>
  <c r="Y153" i="2"/>
  <c r="Y165" i="2"/>
  <c r="Y322" i="2"/>
  <c r="Y283" i="2"/>
  <c r="Y97" i="2"/>
  <c r="Y251" i="2"/>
  <c r="Y121" i="2"/>
  <c r="Y284" i="2"/>
  <c r="Y264" i="2"/>
  <c r="Y276" i="2"/>
  <c r="Y475" i="2"/>
  <c r="Y512" i="2"/>
  <c r="Y351" i="2"/>
  <c r="Y191" i="2"/>
  <c r="Y379" i="2"/>
  <c r="Y62" i="2"/>
  <c r="Y96" i="2"/>
  <c r="Y114" i="2"/>
  <c r="Y352" i="2"/>
  <c r="Y465" i="2"/>
  <c r="Y158" i="2"/>
  <c r="Y535" i="2"/>
  <c r="Y149" i="2"/>
  <c r="Y397" i="2"/>
  <c r="Y21" i="2"/>
  <c r="Y413" i="2"/>
  <c r="Y173" i="2"/>
  <c r="Y517" i="2"/>
  <c r="Y536" i="2"/>
  <c r="Y211" i="2"/>
  <c r="Y299" i="2"/>
  <c r="Y511" i="2"/>
  <c r="Y502" i="2"/>
  <c r="Y308" i="2"/>
  <c r="Y319" i="2"/>
  <c r="Y307" i="2"/>
  <c r="Y309" i="2"/>
  <c r="Y115" i="2"/>
  <c r="Y448" i="2"/>
  <c r="Y341" i="2"/>
  <c r="Y271" i="2"/>
  <c r="Y313" i="2"/>
  <c r="Y116" i="2"/>
  <c r="Y318" i="2"/>
  <c r="Y239" i="2"/>
  <c r="Y385" i="2"/>
  <c r="Y167" i="2"/>
  <c r="Y10" i="2"/>
  <c r="Y470" i="2"/>
  <c r="Y369" i="2"/>
  <c r="Y179" i="2"/>
  <c r="Y524" i="2"/>
  <c r="Y403" i="2"/>
  <c r="Y370" i="2"/>
  <c r="Y136" i="2"/>
  <c r="Y326" i="2"/>
  <c r="Y388" i="2"/>
  <c r="Y335" i="2"/>
  <c r="Y59" i="2"/>
  <c r="Y359" i="2"/>
  <c r="Y68" i="2"/>
  <c r="Y291" i="2"/>
  <c r="Y201" i="2"/>
  <c r="Y279" i="2"/>
  <c r="Y212" i="2"/>
  <c r="Y325" i="2"/>
  <c r="Y538" i="2"/>
  <c r="Y8" i="2"/>
  <c r="Y221" i="2"/>
  <c r="Y245" i="2"/>
  <c r="Y250" i="2"/>
  <c r="Y366" i="2"/>
  <c r="Y556" i="2"/>
  <c r="Y447" i="2"/>
  <c r="Y396" i="2"/>
  <c r="Y522" i="2"/>
  <c r="Y27" i="2"/>
  <c r="Y156" i="2"/>
  <c r="Y407" i="2"/>
  <c r="Y495" i="2"/>
  <c r="Y234" i="2"/>
  <c r="Y423" i="2"/>
  <c r="Y311" i="2"/>
  <c r="Y294" i="2"/>
  <c r="Y513" i="2"/>
  <c r="Y164" i="2"/>
  <c r="Y444" i="2"/>
  <c r="Y227" i="2"/>
  <c r="Y496" i="2"/>
  <c r="Y82" i="2"/>
  <c r="Y410" i="2"/>
  <c r="Y329" i="2"/>
  <c r="Y12" i="2"/>
  <c r="Y193" i="2"/>
  <c r="Y195" i="2"/>
  <c r="Y520" i="2"/>
  <c r="Y324" i="2"/>
  <c r="Y404" i="2"/>
  <c r="Y467" i="2"/>
  <c r="Y117" i="2"/>
  <c r="Y137" i="2"/>
  <c r="Y148" i="2"/>
  <c r="Y134" i="2"/>
  <c r="Y184" i="2"/>
  <c r="Y267" i="2"/>
  <c r="Y429" i="2"/>
  <c r="Y526" i="2"/>
  <c r="Y230" i="2"/>
  <c r="Y348" i="2"/>
  <c r="Y304" i="2"/>
  <c r="Y95" i="2"/>
  <c r="Y133" i="2"/>
  <c r="Y126" i="2"/>
  <c r="Y30" i="2"/>
  <c r="Y150" i="2"/>
  <c r="Y109" i="2"/>
  <c r="Y353" i="2"/>
  <c r="Y187" i="2"/>
  <c r="Y265" i="2"/>
  <c r="Y157" i="2"/>
  <c r="Y99" i="2"/>
  <c r="Y155" i="2"/>
  <c r="Y186" i="2"/>
  <c r="Y244" i="2"/>
  <c r="Y491" i="2"/>
  <c r="Y288" i="2"/>
  <c r="Y16" i="2"/>
  <c r="Y19" i="2"/>
  <c r="Y199" i="2"/>
  <c r="Y53" i="2"/>
  <c r="Y6" i="2"/>
  <c r="Y395" i="2"/>
  <c r="Y40" i="2"/>
  <c r="Y542" i="2"/>
  <c r="Y377" i="2"/>
  <c r="Y132" i="2"/>
  <c r="Y170" i="2"/>
  <c r="Y20" i="2"/>
  <c r="Y163" i="2"/>
  <c r="Y282" i="2"/>
  <c r="Y256" i="2"/>
  <c r="Y214" i="2"/>
  <c r="Y123" i="2"/>
  <c r="Y45" i="2"/>
  <c r="Y242" i="2"/>
  <c r="Y129" i="2"/>
  <c r="Y215" i="2"/>
  <c r="Y220" i="2"/>
  <c r="Y555" i="2"/>
  <c r="Y222" i="2"/>
  <c r="Y101" i="2"/>
  <c r="Y427" i="2"/>
  <c r="Y4" i="2"/>
  <c r="Y531" i="2"/>
  <c r="Y384" i="2"/>
  <c r="Y42" i="2"/>
  <c r="Y375" i="2"/>
  <c r="Y57" i="2"/>
  <c r="Y206" i="2"/>
  <c r="Y406" i="2"/>
  <c r="Y67" i="2"/>
  <c r="Y275" i="2"/>
  <c r="Y100" i="2"/>
  <c r="Y236" i="2"/>
  <c r="Y525" i="2"/>
  <c r="Y550" i="2"/>
  <c r="Y455" i="2"/>
  <c r="Y247" i="2"/>
  <c r="Y354" i="2"/>
  <c r="Y464" i="2"/>
  <c r="Y189" i="2"/>
  <c r="Y446" i="2"/>
  <c r="Y293" i="2"/>
  <c r="Y228" i="2"/>
  <c r="Y71" i="2"/>
  <c r="Y505" i="2"/>
  <c r="Y433" i="2"/>
  <c r="Y168" i="2"/>
  <c r="Y124" i="2"/>
  <c r="Y480" i="2"/>
  <c r="Y554" i="2"/>
  <c r="Y86" i="2"/>
  <c r="Y389" i="2"/>
  <c r="Y43" i="2"/>
  <c r="Y489" i="2"/>
  <c r="Y472" i="2"/>
  <c r="Y216" i="2"/>
  <c r="Y55" i="2"/>
  <c r="Y34" i="2"/>
  <c r="Y508" i="2"/>
  <c r="Y338" i="2"/>
  <c r="Y387" i="2"/>
  <c r="Y147" i="2"/>
  <c r="Y49" i="2"/>
  <c r="Y48" i="2"/>
  <c r="Y80" i="2"/>
  <c r="Y549" i="2"/>
  <c r="Y528" i="2"/>
  <c r="Y537" i="2"/>
  <c r="Y305" i="2"/>
  <c r="Y65" i="2"/>
  <c r="Y180" i="2"/>
  <c r="Y194" i="2"/>
  <c r="Y541" i="2"/>
  <c r="Y557" i="2"/>
  <c r="Y140" i="2"/>
  <c r="Y152" i="2"/>
  <c r="Y119" i="2"/>
  <c r="Y527" i="2"/>
  <c r="Y268" i="2"/>
  <c r="Y14" i="2"/>
  <c r="Y145" i="2"/>
  <c r="Y78" i="2"/>
  <c r="Y477" i="2"/>
  <c r="Y301" i="2"/>
  <c r="Y151" i="2"/>
  <c r="Y439" i="2"/>
  <c r="Y482" i="2"/>
  <c r="Y176" i="2"/>
  <c r="Y98" i="2"/>
  <c r="Y374" i="2"/>
  <c r="Y454" i="2"/>
  <c r="Y320" i="2"/>
  <c r="Y169" i="2"/>
  <c r="Y483" i="2"/>
  <c r="Y90" i="2"/>
  <c r="Y452" i="2"/>
  <c r="Y56" i="2"/>
  <c r="Y200" i="2"/>
  <c r="Y471" i="2"/>
  <c r="Y104" i="2"/>
  <c r="Y497" i="2"/>
  <c r="Y63" i="2"/>
  <c r="Y365" i="2"/>
  <c r="Y506" i="2"/>
  <c r="Y358" i="2"/>
  <c r="Y488" i="2"/>
  <c r="Y306" i="2"/>
  <c r="Y274" i="2"/>
  <c r="Y81" i="2"/>
  <c r="Y337" i="2"/>
  <c r="Y558" i="2"/>
  <c r="Y521" i="2"/>
  <c r="Y436" i="2"/>
  <c r="Y122" i="2"/>
  <c r="Y545" i="2"/>
  <c r="Y342" i="2"/>
  <c r="Y254" i="2"/>
  <c r="Y310" i="2"/>
  <c r="Y249" i="2"/>
  <c r="Y125" i="2"/>
  <c r="Y39" i="2"/>
  <c r="Y172" i="2"/>
  <c r="Y503" i="2"/>
  <c r="Y300" i="2"/>
  <c r="Y208" i="2"/>
  <c r="Y278" i="2"/>
  <c r="Y24" i="2"/>
  <c r="Y437" i="2"/>
  <c r="Y386" i="2"/>
  <c r="Y361" i="2"/>
  <c r="Y504" i="2"/>
  <c r="Y486" i="2"/>
  <c r="Y507" i="2"/>
  <c r="Y87" i="2"/>
  <c r="Y514" i="2"/>
  <c r="Y411" i="2"/>
  <c r="Y372" i="2"/>
  <c r="Y523" i="2"/>
  <c r="Y210" i="2"/>
  <c r="Y31" i="2"/>
  <c r="Y203" i="2"/>
  <c r="Y51" i="2"/>
  <c r="Y391" i="2"/>
  <c r="Y35" i="2"/>
  <c r="Y15" i="2"/>
  <c r="Y494" i="2"/>
  <c r="Y209" i="2"/>
  <c r="Y77" i="2"/>
  <c r="Y424" i="2"/>
  <c r="Y70" i="2"/>
  <c r="Y131" i="2"/>
  <c r="Y544" i="2"/>
  <c r="Y478" i="2"/>
  <c r="Y296" i="2"/>
  <c r="Y197" i="2"/>
  <c r="Y107" i="2"/>
  <c r="Y457" i="2"/>
  <c r="Y459" i="2"/>
  <c r="Y343" i="2"/>
  <c r="Y177" i="2"/>
  <c r="Y450" i="2"/>
  <c r="Y317" i="2"/>
  <c r="Y321" i="2"/>
  <c r="Y474" i="2"/>
  <c r="Y106" i="2"/>
  <c r="Y412" i="2"/>
  <c r="Y235" i="2"/>
  <c r="Y72" i="2"/>
  <c r="Y401" i="2"/>
  <c r="Y499" i="2"/>
  <c r="Y547" i="2"/>
  <c r="Y330" i="2"/>
  <c r="Y74" i="2"/>
  <c r="Y402" i="2"/>
  <c r="Y400" i="2"/>
  <c r="Y52" i="2"/>
  <c r="Y409" i="2"/>
  <c r="Y346" i="2"/>
  <c r="Y485" i="2"/>
  <c r="Y363" i="2"/>
  <c r="Y460" i="2"/>
  <c r="Y392" i="2"/>
  <c r="Y490" i="2"/>
  <c r="Y463" i="2"/>
  <c r="W516" i="2"/>
  <c r="Z516" i="2" s="1"/>
  <c r="W518" i="2"/>
  <c r="Z518" i="2" s="1"/>
  <c r="W449" i="2"/>
  <c r="Z449" i="2" s="1"/>
  <c r="W110" i="2"/>
  <c r="Z110" i="2" s="1"/>
  <c r="W515" i="2"/>
  <c r="Z515" i="2" s="1"/>
  <c r="W7" i="2"/>
  <c r="Z7" i="2" s="1"/>
  <c r="W54" i="2"/>
  <c r="Z54" i="2" s="1"/>
  <c r="W339" i="2"/>
  <c r="Z339" i="2" s="1"/>
  <c r="W218" i="2"/>
  <c r="Z218" i="2" s="1"/>
  <c r="W135" i="2"/>
  <c r="Z135" i="2" s="1"/>
  <c r="W451" i="2"/>
  <c r="Z451" i="2" s="1"/>
  <c r="W312" i="2"/>
  <c r="Z312" i="2" s="1"/>
  <c r="W381" i="2"/>
  <c r="Z381" i="2" s="1"/>
  <c r="W237" i="2"/>
  <c r="Z237" i="2" s="1"/>
  <c r="W473" i="2"/>
  <c r="Z473" i="2" s="1"/>
  <c r="W92" i="2"/>
  <c r="Z92" i="2" s="1"/>
  <c r="W417" i="2"/>
  <c r="Z417" i="2" s="1"/>
  <c r="W456" i="2"/>
  <c r="Z456" i="2" s="1"/>
  <c r="W493" i="2"/>
  <c r="Z493" i="2" s="1"/>
  <c r="W540" i="2"/>
  <c r="Z540" i="2" s="1"/>
  <c r="W534" i="2"/>
  <c r="Z534" i="2" s="1"/>
  <c r="W223" i="2"/>
  <c r="Z223" i="2" s="1"/>
  <c r="W382" i="2"/>
  <c r="Z382" i="2" s="1"/>
  <c r="W532" i="2"/>
  <c r="Z532" i="2" s="1"/>
  <c r="W47" i="2"/>
  <c r="Z47" i="2" s="1"/>
  <c r="W33" i="2"/>
  <c r="Z33" i="2" s="1"/>
  <c r="W160" i="2"/>
  <c r="Z160" i="2" s="1"/>
  <c r="W332" i="2"/>
  <c r="Z332" i="2" s="1"/>
  <c r="W303" i="2"/>
  <c r="W543" i="2"/>
  <c r="Z543" i="2" s="1"/>
  <c r="W484" i="2"/>
  <c r="Z484" i="2" s="1"/>
  <c r="W262" i="2"/>
  <c r="Z262" i="2" s="1"/>
  <c r="W443" i="2"/>
  <c r="Z443" i="2" s="1"/>
  <c r="W73" i="2"/>
  <c r="Z73" i="2" s="1"/>
  <c r="W263" i="2"/>
  <c r="Z263" i="2" s="1"/>
  <c r="W213" i="2"/>
  <c r="Z213" i="2" s="1"/>
  <c r="W462" i="2"/>
  <c r="Z462" i="2" s="1"/>
  <c r="W435" i="2"/>
  <c r="Z435" i="2" s="1"/>
  <c r="W498" i="2"/>
  <c r="Z498" i="2" s="1"/>
  <c r="W440" i="2"/>
  <c r="Z440" i="2" s="1"/>
  <c r="W468" i="2"/>
  <c r="Z468" i="2" s="1"/>
  <c r="W272" i="2"/>
  <c r="Z272" i="2" s="1"/>
  <c r="W143" i="2"/>
  <c r="Z143" i="2" s="1"/>
  <c r="W188" i="2"/>
  <c r="Z188" i="2" s="1"/>
  <c r="W248" i="2"/>
  <c r="Z248" i="2" s="1"/>
  <c r="W79" i="2"/>
  <c r="Z79" i="2" s="1"/>
  <c r="W355" i="2"/>
  <c r="Z355" i="2" s="1"/>
  <c r="W390" i="2"/>
  <c r="Z390" i="2" s="1"/>
  <c r="W295" i="2"/>
  <c r="Z295" i="2" s="1"/>
  <c r="W144" i="2"/>
  <c r="Z144" i="2" s="1"/>
  <c r="W32" i="2"/>
  <c r="Z32" i="2" s="1"/>
  <c r="W58" i="2"/>
  <c r="Z58" i="2" s="1"/>
  <c r="W269" i="2"/>
  <c r="Z269" i="2" s="1"/>
  <c r="W120" i="2"/>
  <c r="Z120" i="2" s="1"/>
  <c r="W287" i="2"/>
  <c r="Z287" i="2" s="1"/>
  <c r="W533" i="2"/>
  <c r="Z533" i="2" s="1"/>
  <c r="W398" i="2"/>
  <c r="Z398" i="2" s="1"/>
  <c r="W22" i="2"/>
  <c r="Z22" i="2" s="1"/>
  <c r="W64" i="2"/>
  <c r="Z64" i="2" s="1"/>
  <c r="W442" i="2"/>
  <c r="Z442" i="2" s="1"/>
  <c r="W29" i="2"/>
  <c r="Z29" i="2" s="1"/>
  <c r="W266" i="2"/>
  <c r="W553" i="2"/>
  <c r="Z553" i="2" s="1"/>
  <c r="W94" i="2"/>
  <c r="Z94" i="2" s="1"/>
  <c r="W290" i="2"/>
  <c r="W118" i="2"/>
  <c r="Z118" i="2" s="1"/>
  <c r="W373" i="2"/>
  <c r="Z373" i="2" s="1"/>
  <c r="W422" i="2"/>
  <c r="Z422" i="2" s="1"/>
  <c r="W241" i="2"/>
  <c r="Z241" i="2" s="1"/>
  <c r="W111" i="2"/>
  <c r="Z111" i="2" s="1"/>
  <c r="W28" i="2"/>
  <c r="Z28" i="2" s="1"/>
  <c r="W280" i="2"/>
  <c r="Z280" i="2" s="1"/>
  <c r="W171" i="2"/>
  <c r="Z171" i="2" s="1"/>
  <c r="W466" i="2"/>
  <c r="Z466" i="2" s="1"/>
  <c r="W362" i="2"/>
  <c r="Z362" i="2" s="1"/>
  <c r="W327" i="2"/>
  <c r="Z327" i="2" s="1"/>
  <c r="W5" i="2"/>
  <c r="Z5" i="2" s="1"/>
  <c r="W510" i="2"/>
  <c r="Z510" i="2" s="1"/>
  <c r="W162" i="2"/>
  <c r="Z162" i="2" s="1"/>
  <c r="W408" i="2"/>
  <c r="Z408" i="2" s="1"/>
  <c r="W91" i="2"/>
  <c r="Z91" i="2" s="1"/>
  <c r="W9" i="2"/>
  <c r="Z9" i="2" s="1"/>
  <c r="W292" i="2"/>
  <c r="Z292" i="2" s="1"/>
  <c r="W175" i="2"/>
  <c r="Z175" i="2" s="1"/>
  <c r="W492" i="2"/>
  <c r="Z492" i="2" s="1"/>
  <c r="W229" i="2"/>
  <c r="Z229" i="2" s="1"/>
  <c r="W192" i="2"/>
  <c r="Z192" i="2" s="1"/>
  <c r="W185" i="2"/>
  <c r="Z185" i="2" s="1"/>
  <c r="W183" i="2"/>
  <c r="Z183" i="2" s="1"/>
  <c r="W232" i="2"/>
  <c r="Z232" i="2" s="1"/>
  <c r="W17" i="2"/>
  <c r="Z17" i="2" s="1"/>
  <c r="W344" i="2"/>
  <c r="Z344" i="2" s="1"/>
  <c r="W233" i="2"/>
  <c r="Z233" i="2" s="1"/>
  <c r="W85" i="2"/>
  <c r="Z85" i="2" s="1"/>
  <c r="W445" i="2"/>
  <c r="Z445" i="2" s="1"/>
  <c r="W546" i="2"/>
  <c r="Z546" i="2" s="1"/>
  <c r="W259" i="2"/>
  <c r="Z259" i="2" s="1"/>
  <c r="W453" i="2"/>
  <c r="Z453" i="2" s="1"/>
  <c r="W481" i="2"/>
  <c r="Z481" i="2" s="1"/>
  <c r="W368" i="2"/>
  <c r="Z368" i="2" s="1"/>
  <c r="W226" i="2"/>
  <c r="Z226" i="2" s="1"/>
  <c r="W60" i="2"/>
  <c r="Z60" i="2" s="1"/>
  <c r="W50" i="2"/>
  <c r="Z50" i="2" s="1"/>
  <c r="W196" i="2"/>
  <c r="Z196" i="2" s="1"/>
  <c r="W298" i="2"/>
  <c r="Z298" i="2" s="1"/>
  <c r="W141" i="2"/>
  <c r="Z141" i="2" s="1"/>
  <c r="W255" i="2"/>
  <c r="Z255" i="2" s="1"/>
  <c r="W376" i="2"/>
  <c r="W356" i="2"/>
  <c r="Z356" i="2" s="1"/>
  <c r="W347" i="2"/>
  <c r="Z347" i="2" s="1"/>
  <c r="W314" i="2"/>
  <c r="Z314" i="2" s="1"/>
  <c r="W529" i="2"/>
  <c r="Z529" i="2" s="1"/>
  <c r="W364" i="2"/>
  <c r="Z364" i="2" s="1"/>
  <c r="W316" i="2"/>
  <c r="Z316" i="2" s="1"/>
  <c r="W225" i="2"/>
  <c r="Z225" i="2" s="1"/>
  <c r="W224" i="2"/>
  <c r="Z224" i="2" s="1"/>
  <c r="W425" i="2"/>
  <c r="Z425" i="2" s="1"/>
  <c r="W205" i="2"/>
  <c r="Z205" i="2" s="1"/>
  <c r="W414" i="2"/>
  <c r="Z414" i="2" s="1"/>
  <c r="W165" i="2"/>
  <c r="Z165" i="2" s="1"/>
  <c r="W322" i="2"/>
  <c r="Z322" i="2" s="1"/>
  <c r="W251" i="2"/>
  <c r="W121" i="2"/>
  <c r="Z121" i="2" s="1"/>
  <c r="W276" i="2"/>
  <c r="Z276" i="2" s="1"/>
  <c r="W475" i="2"/>
  <c r="Z475" i="2" s="1"/>
  <c r="W62" i="2"/>
  <c r="Z62" i="2" s="1"/>
  <c r="W158" i="2"/>
  <c r="Z158" i="2" s="1"/>
  <c r="W149" i="2"/>
  <c r="Z149" i="2" s="1"/>
  <c r="W21" i="2"/>
  <c r="Z21" i="2" s="1"/>
  <c r="W211" i="2"/>
  <c r="W299" i="2"/>
  <c r="Z299" i="2" s="1"/>
  <c r="W307" i="2"/>
  <c r="W313" i="2"/>
  <c r="Z313" i="2" s="1"/>
  <c r="W116" i="2"/>
  <c r="Z116" i="2" s="1"/>
  <c r="W385" i="2"/>
  <c r="Z385" i="2" s="1"/>
  <c r="W470" i="2"/>
  <c r="Z470" i="2" s="1"/>
  <c r="W179" i="2"/>
  <c r="Z179" i="2" s="1"/>
  <c r="W524" i="2"/>
  <c r="Z524" i="2" s="1"/>
  <c r="W370" i="2"/>
  <c r="Z370" i="2" s="1"/>
  <c r="W388" i="2"/>
  <c r="Z388" i="2" s="1"/>
  <c r="W335" i="2"/>
  <c r="Z335" i="2" s="1"/>
  <c r="W59" i="2"/>
  <c r="Z59" i="2" s="1"/>
  <c r="W359" i="2"/>
  <c r="Z359" i="2" s="1"/>
  <c r="W291" i="2"/>
  <c r="Z291" i="2" s="1"/>
  <c r="W201" i="2"/>
  <c r="Z201" i="2" s="1"/>
  <c r="W279" i="2"/>
  <c r="W325" i="2"/>
  <c r="Z325" i="2" s="1"/>
  <c r="W538" i="2"/>
  <c r="Z538" i="2" s="1"/>
  <c r="W221" i="2"/>
  <c r="Z221" i="2" s="1"/>
  <c r="W250" i="2"/>
  <c r="Z250" i="2" s="1"/>
  <c r="W396" i="2"/>
  <c r="Z396" i="2" s="1"/>
  <c r="W27" i="2"/>
  <c r="Z27" i="2" s="1"/>
  <c r="W156" i="2"/>
  <c r="Z156" i="2" s="1"/>
  <c r="W495" i="2"/>
  <c r="Z495" i="2" s="1"/>
  <c r="W234" i="2"/>
  <c r="Z234" i="2" s="1"/>
  <c r="W294" i="2"/>
  <c r="W164" i="2"/>
  <c r="Z164" i="2" s="1"/>
  <c r="W410" i="2"/>
  <c r="Z410" i="2" s="1"/>
  <c r="W324" i="2"/>
  <c r="Z324" i="2" s="1"/>
  <c r="W467" i="2"/>
  <c r="Z467" i="2" s="1"/>
  <c r="W184" i="2"/>
  <c r="Z184" i="2" s="1"/>
  <c r="W526" i="2"/>
  <c r="Z526" i="2" s="1"/>
  <c r="W348" i="2"/>
  <c r="Z348" i="2" s="1"/>
  <c r="W304" i="2"/>
  <c r="Z304" i="2" s="1"/>
  <c r="W95" i="2"/>
  <c r="Z95" i="2" s="1"/>
  <c r="W126" i="2"/>
  <c r="Z126" i="2" s="1"/>
  <c r="W30" i="2"/>
  <c r="Z30" i="2" s="1"/>
  <c r="W150" i="2"/>
  <c r="Z150" i="2" s="1"/>
  <c r="W109" i="2"/>
  <c r="Z109" i="2" s="1"/>
  <c r="W265" i="2"/>
  <c r="W99" i="2"/>
  <c r="Z99" i="2" s="1"/>
  <c r="W155" i="2"/>
  <c r="Z155" i="2" s="1"/>
  <c r="W288" i="2"/>
  <c r="Z288" i="2" s="1"/>
  <c r="W199" i="2"/>
  <c r="Z199" i="2" s="1"/>
  <c r="W6" i="2"/>
  <c r="Z6" i="2" s="1"/>
  <c r="W395" i="2"/>
  <c r="Z395" i="2" s="1"/>
  <c r="W40" i="2"/>
  <c r="Z40" i="2" s="1"/>
  <c r="W20" i="2"/>
  <c r="Z20" i="2" s="1"/>
  <c r="W214" i="2"/>
  <c r="Z214" i="2" s="1"/>
  <c r="W215" i="2"/>
  <c r="W220" i="2"/>
  <c r="Z220" i="2" s="1"/>
  <c r="W555" i="2"/>
  <c r="W222" i="2"/>
  <c r="Z222" i="2" s="1"/>
  <c r="W427" i="2"/>
  <c r="Z427" i="2" s="1"/>
  <c r="W531" i="2"/>
  <c r="Z531" i="2" s="1"/>
  <c r="W42" i="2"/>
  <c r="Z42" i="2" s="1"/>
  <c r="W57" i="2"/>
  <c r="Z57" i="2" s="1"/>
  <c r="W406" i="2"/>
  <c r="Z406" i="2" s="1"/>
  <c r="W236" i="2"/>
  <c r="Z236" i="2" s="1"/>
  <c r="W525" i="2"/>
  <c r="Z525" i="2" s="1"/>
  <c r="W550" i="2"/>
  <c r="Z550" i="2" s="1"/>
  <c r="W247" i="2"/>
  <c r="Z247" i="2" s="1"/>
  <c r="W464" i="2"/>
  <c r="Z464" i="2" s="1"/>
  <c r="W189" i="2"/>
  <c r="Z189" i="2" s="1"/>
  <c r="W446" i="2"/>
  <c r="W293" i="2"/>
  <c r="Z293" i="2" s="1"/>
  <c r="W71" i="2"/>
  <c r="Z71" i="2" s="1"/>
  <c r="W124" i="2"/>
  <c r="Z124" i="2" s="1"/>
  <c r="W480" i="2"/>
  <c r="W554" i="2"/>
  <c r="Z554" i="2" s="1"/>
  <c r="W389" i="2"/>
  <c r="Z389" i="2" s="1"/>
  <c r="W43" i="2"/>
  <c r="Z43" i="2" s="1"/>
  <c r="W489" i="2"/>
  <c r="Z489" i="2" s="1"/>
  <c r="W216" i="2"/>
  <c r="Z216" i="2" s="1"/>
  <c r="W55" i="2"/>
  <c r="Z55" i="2" s="1"/>
  <c r="W34" i="2"/>
  <c r="Z34" i="2" s="1"/>
  <c r="W387" i="2"/>
  <c r="Z387" i="2" s="1"/>
  <c r="W147" i="2"/>
  <c r="Z147" i="2" s="1"/>
  <c r="W80" i="2"/>
  <c r="Z80" i="2" s="1"/>
  <c r="W528" i="2"/>
  <c r="Z528" i="2" s="1"/>
  <c r="W537" i="2"/>
  <c r="Z537" i="2" s="1"/>
  <c r="W305" i="2"/>
  <c r="Z305" i="2" s="1"/>
  <c r="W180" i="2"/>
  <c r="Z180" i="2" s="1"/>
  <c r="W194" i="2"/>
  <c r="Z194" i="2" s="1"/>
  <c r="W527" i="2"/>
  <c r="Z527" i="2" s="1"/>
  <c r="W78" i="2"/>
  <c r="Z78" i="2" s="1"/>
  <c r="W301" i="2"/>
  <c r="Z301" i="2" s="1"/>
  <c r="W151" i="2"/>
  <c r="Z151" i="2" s="1"/>
  <c r="W439" i="2"/>
  <c r="Z439" i="2" s="1"/>
  <c r="W482" i="2"/>
  <c r="Z482" i="2" s="1"/>
  <c r="W98" i="2"/>
  <c r="Z98" i="2" s="1"/>
  <c r="W374" i="2"/>
  <c r="Z374" i="2" s="1"/>
  <c r="W320" i="2"/>
  <c r="Z320" i="2" s="1"/>
  <c r="W90" i="2"/>
  <c r="Z90" i="2" s="1"/>
  <c r="W452" i="2"/>
  <c r="Z452" i="2" s="1"/>
  <c r="W200" i="2"/>
  <c r="Z200" i="2" s="1"/>
  <c r="W471" i="2"/>
  <c r="Z471" i="2" s="1"/>
  <c r="W104" i="2"/>
  <c r="Z104" i="2" s="1"/>
  <c r="W63" i="2"/>
  <c r="Z63" i="2" s="1"/>
  <c r="W365" i="2"/>
  <c r="Z365" i="2" s="1"/>
  <c r="W506" i="2"/>
  <c r="Z506" i="2" s="1"/>
  <c r="W306" i="2"/>
  <c r="Z306" i="2" s="1"/>
  <c r="W81" i="2"/>
  <c r="W558" i="2"/>
  <c r="Z558" i="2" s="1"/>
  <c r="W521" i="2"/>
  <c r="W342" i="2"/>
  <c r="Z342" i="2" s="1"/>
  <c r="W254" i="2"/>
  <c r="Z254" i="2" s="1"/>
  <c r="W125" i="2"/>
  <c r="Z125" i="2" s="1"/>
  <c r="W172" i="2"/>
  <c r="Z172" i="2" s="1"/>
  <c r="W24" i="2"/>
  <c r="Z24" i="2" s="1"/>
  <c r="W437" i="2"/>
  <c r="Z437" i="2" s="1"/>
  <c r="W386" i="2"/>
  <c r="Z386" i="2" s="1"/>
  <c r="W361" i="2"/>
  <c r="Z361" i="2" s="1"/>
  <c r="W486" i="2"/>
  <c r="Z486" i="2" s="1"/>
  <c r="W411" i="2"/>
  <c r="Z411" i="2" s="1"/>
  <c r="W372" i="2"/>
  <c r="Z372" i="2" s="1"/>
  <c r="W523" i="2"/>
  <c r="Z523" i="2" s="1"/>
  <c r="W31" i="2"/>
  <c r="Z31" i="2" s="1"/>
  <c r="W35" i="2"/>
  <c r="Z35" i="2" s="1"/>
  <c r="W424" i="2"/>
  <c r="Z424" i="2" s="1"/>
  <c r="W296" i="2"/>
  <c r="Z296" i="2" s="1"/>
  <c r="W197" i="2"/>
  <c r="Z197" i="2" s="1"/>
  <c r="W474" i="2"/>
  <c r="Z474" i="2" s="1"/>
  <c r="W412" i="2"/>
  <c r="Z412" i="2" s="1"/>
  <c r="W72" i="2"/>
  <c r="Z72" i="2" s="1"/>
  <c r="W401" i="2"/>
  <c r="Z401" i="2" s="1"/>
  <c r="W499" i="2"/>
  <c r="Z499" i="2" s="1"/>
  <c r="W547" i="2"/>
  <c r="Z547" i="2" s="1"/>
  <c r="W52" i="2"/>
  <c r="Z52" i="2" s="1"/>
  <c r="W463" i="2"/>
  <c r="Z463" i="2" s="1"/>
  <c r="W450" i="2"/>
  <c r="Z450" i="2" s="1"/>
  <c r="P289" i="2"/>
  <c r="P426" i="2"/>
  <c r="P516" i="2"/>
  <c r="P518" i="2"/>
  <c r="P449" i="2"/>
  <c r="P110" i="2"/>
  <c r="P36" i="2"/>
  <c r="P552" i="2"/>
  <c r="P432" i="2"/>
  <c r="P515" i="2"/>
  <c r="P7" i="2"/>
  <c r="P54" i="2"/>
  <c r="P339" i="2"/>
  <c r="P218" i="2"/>
  <c r="P142" i="2"/>
  <c r="P135" i="2"/>
  <c r="P26" i="2"/>
  <c r="P18" i="2"/>
  <c r="P451" i="2"/>
  <c r="P312" i="2"/>
  <c r="P419" i="2"/>
  <c r="P204" i="2"/>
  <c r="P405" i="2"/>
  <c r="P331" i="2"/>
  <c r="P285" i="2"/>
  <c r="P207" i="2"/>
  <c r="P198" i="2"/>
  <c r="P381" i="2"/>
  <c r="P237" i="2"/>
  <c r="P246" i="2"/>
  <c r="P240" i="2"/>
  <c r="P415" i="2"/>
  <c r="P469" i="2"/>
  <c r="P458" i="2"/>
  <c r="P394" i="2"/>
  <c r="P473" i="2"/>
  <c r="P61" i="2"/>
  <c r="P92" i="2"/>
  <c r="P340" i="2"/>
  <c r="P417" i="2"/>
  <c r="P456" i="2"/>
  <c r="P438" i="2"/>
  <c r="P277" i="2"/>
  <c r="P190" i="2"/>
  <c r="P334" i="2"/>
  <c r="P102" i="2"/>
  <c r="P493" i="2"/>
  <c r="P539" i="2"/>
  <c r="P380" i="2"/>
  <c r="P166" i="2"/>
  <c r="P476" i="2"/>
  <c r="P44" i="2"/>
  <c r="P540" i="2"/>
  <c r="P393" i="2"/>
  <c r="P315" i="2"/>
  <c r="P37" i="2"/>
  <c r="P534" i="2"/>
  <c r="P231" i="2"/>
  <c r="P223" i="2"/>
  <c r="P350" i="2"/>
  <c r="P382" i="2"/>
  <c r="P127" i="2"/>
  <c r="P532" i="2"/>
  <c r="P378" i="2"/>
  <c r="P25" i="2"/>
  <c r="P47" i="2"/>
  <c r="P297" i="2"/>
  <c r="P33" i="2"/>
  <c r="P160" i="2"/>
  <c r="P332" i="2"/>
  <c r="P420" i="2"/>
  <c r="P303" i="2"/>
  <c r="P543" i="2"/>
  <c r="P253" i="2"/>
  <c r="P217" i="2"/>
  <c r="P484" i="2"/>
  <c r="P262" i="2"/>
  <c r="P443" i="2"/>
  <c r="P146" i="2"/>
  <c r="P174" i="2"/>
  <c r="P252" i="2"/>
  <c r="P73" i="2"/>
  <c r="P263" i="2"/>
  <c r="P213" i="2"/>
  <c r="P462" i="2"/>
  <c r="P435" i="2"/>
  <c r="P345" i="2"/>
  <c r="P498" i="2"/>
  <c r="P440" i="2"/>
  <c r="P468" i="2"/>
  <c r="P272" i="2"/>
  <c r="P138" i="2"/>
  <c r="P418" i="2"/>
  <c r="P260" i="2"/>
  <c r="P202" i="2"/>
  <c r="P519" i="2"/>
  <c r="P479" i="2"/>
  <c r="P143" i="2"/>
  <c r="P188" i="2"/>
  <c r="P248" i="2"/>
  <c r="P79" i="2"/>
  <c r="P355" i="2"/>
  <c r="P23" i="2"/>
  <c r="P390" i="2"/>
  <c r="P295" i="2"/>
  <c r="P11" i="2"/>
  <c r="P38" i="2"/>
  <c r="P66" i="2"/>
  <c r="P144" i="2"/>
  <c r="P32" i="2"/>
  <c r="P58" i="2"/>
  <c r="P269" i="2"/>
  <c r="P120" i="2"/>
  <c r="P287" i="2"/>
  <c r="P130" i="2"/>
  <c r="P533" i="2"/>
  <c r="P41" i="2"/>
  <c r="P398" i="2"/>
  <c r="P22" i="2"/>
  <c r="P64" i="2"/>
  <c r="P442" i="2"/>
  <c r="P273" i="2"/>
  <c r="P399" i="2"/>
  <c r="P128" i="2"/>
  <c r="P29" i="2"/>
  <c r="P266" i="2"/>
  <c r="P553" i="2"/>
  <c r="P94" i="2"/>
  <c r="P290" i="2"/>
  <c r="P118" i="2"/>
  <c r="P373" i="2"/>
  <c r="P159" i="2"/>
  <c r="P422" i="2"/>
  <c r="P161" i="2"/>
  <c r="P46" i="2"/>
  <c r="P241" i="2"/>
  <c r="P84" i="2"/>
  <c r="P88" i="2"/>
  <c r="P111" i="2"/>
  <c r="P238" i="2"/>
  <c r="P28" i="2"/>
  <c r="P280" i="2"/>
  <c r="P171" i="2"/>
  <c r="P466" i="2"/>
  <c r="P105" i="2"/>
  <c r="P362" i="2"/>
  <c r="P327" i="2"/>
  <c r="P5" i="2"/>
  <c r="P219" i="2"/>
  <c r="P139" i="2"/>
  <c r="P89" i="2"/>
  <c r="P431" i="2"/>
  <c r="P112" i="2"/>
  <c r="P286" i="2"/>
  <c r="P328" i="2"/>
  <c r="P510" i="2"/>
  <c r="P430" i="2"/>
  <c r="P162" i="2"/>
  <c r="P551" i="2"/>
  <c r="P408" i="2"/>
  <c r="P302" i="2"/>
  <c r="P91" i="2"/>
  <c r="P83" i="2"/>
  <c r="P2" i="2"/>
  <c r="P9" i="2"/>
  <c r="P487" i="2"/>
  <c r="P292" i="2"/>
  <c r="P175" i="2"/>
  <c r="P257" i="2"/>
  <c r="P383" i="2"/>
  <c r="P323" i="2"/>
  <c r="P461" i="2"/>
  <c r="P492" i="2"/>
  <c r="P229" i="2"/>
  <c r="P434" i="2"/>
  <c r="P182" i="2"/>
  <c r="P281" i="2"/>
  <c r="P192" i="2"/>
  <c r="P185" i="2"/>
  <c r="P183" i="2"/>
  <c r="P232" i="2"/>
  <c r="P17" i="2"/>
  <c r="P243" i="2"/>
  <c r="P344" i="2"/>
  <c r="P233" i="2"/>
  <c r="P69" i="2"/>
  <c r="P270" i="2"/>
  <c r="P85" i="2"/>
  <c r="P75" i="2"/>
  <c r="P445" i="2"/>
  <c r="P500" i="2"/>
  <c r="P546" i="2"/>
  <c r="P259" i="2"/>
  <c r="P3" i="2"/>
  <c r="P258" i="2"/>
  <c r="P108" i="2"/>
  <c r="P113" i="2"/>
  <c r="P453" i="2"/>
  <c r="P481" i="2"/>
  <c r="P368" i="2"/>
  <c r="P226" i="2"/>
  <c r="P60" i="2"/>
  <c r="P103" i="2"/>
  <c r="P336" i="2"/>
  <c r="P50" i="2"/>
  <c r="P196" i="2"/>
  <c r="P441" i="2"/>
  <c r="P181" i="2"/>
  <c r="P76" i="2"/>
  <c r="P530" i="2"/>
  <c r="P548" i="2"/>
  <c r="P298" i="2"/>
  <c r="P178" i="2"/>
  <c r="P421" i="2"/>
  <c r="P141" i="2"/>
  <c r="P357" i="2"/>
  <c r="P261" i="2"/>
  <c r="P255" i="2"/>
  <c r="P428" i="2"/>
  <c r="P376" i="2"/>
  <c r="P154" i="2"/>
  <c r="P333" i="2"/>
  <c r="P356" i="2"/>
  <c r="P501" i="2"/>
  <c r="P347" i="2"/>
  <c r="P314" i="2"/>
  <c r="P416" i="2"/>
  <c r="P360" i="2"/>
  <c r="P529" i="2"/>
  <c r="P13" i="2"/>
  <c r="P364" i="2"/>
  <c r="P371" i="2"/>
  <c r="P316" i="2"/>
  <c r="P225" i="2"/>
  <c r="P224" i="2"/>
  <c r="P509" i="2"/>
  <c r="P367" i="2"/>
  <c r="P425" i="2"/>
  <c r="P205" i="2"/>
  <c r="P414" i="2"/>
  <c r="P349" i="2"/>
  <c r="P153" i="2"/>
  <c r="P165" i="2"/>
  <c r="P322" i="2"/>
  <c r="P283" i="2"/>
  <c r="P97" i="2"/>
  <c r="P251" i="2"/>
  <c r="P121" i="2"/>
  <c r="P284" i="2"/>
  <c r="P264" i="2"/>
  <c r="P276" i="2"/>
  <c r="P475" i="2"/>
  <c r="P512" i="2"/>
  <c r="P351" i="2"/>
  <c r="P191" i="2"/>
  <c r="P379" i="2"/>
  <c r="P62" i="2"/>
  <c r="P96" i="2"/>
  <c r="P114" i="2"/>
  <c r="P352" i="2"/>
  <c r="P465" i="2"/>
  <c r="P158" i="2"/>
  <c r="P535" i="2"/>
  <c r="P149" i="2"/>
  <c r="P397" i="2"/>
  <c r="P21" i="2"/>
  <c r="P413" i="2"/>
  <c r="P173" i="2"/>
  <c r="P517" i="2"/>
  <c r="P536" i="2"/>
  <c r="P211" i="2"/>
  <c r="P299" i="2"/>
  <c r="P511" i="2"/>
  <c r="P502" i="2"/>
  <c r="P308" i="2"/>
  <c r="P319" i="2"/>
  <c r="P307" i="2"/>
  <c r="P309" i="2"/>
  <c r="P115" i="2"/>
  <c r="P448" i="2"/>
  <c r="P341" i="2"/>
  <c r="P271" i="2"/>
  <c r="P313" i="2"/>
  <c r="P116" i="2"/>
  <c r="P318" i="2"/>
  <c r="P239" i="2"/>
  <c r="P385" i="2"/>
  <c r="P167" i="2"/>
  <c r="P10" i="2"/>
  <c r="P470" i="2"/>
  <c r="P369" i="2"/>
  <c r="P179" i="2"/>
  <c r="P524" i="2"/>
  <c r="P403" i="2"/>
  <c r="P370" i="2"/>
  <c r="P136" i="2"/>
  <c r="P326" i="2"/>
  <c r="P388" i="2"/>
  <c r="P335" i="2"/>
  <c r="P59" i="2"/>
  <c r="P359" i="2"/>
  <c r="P68" i="2"/>
  <c r="P291" i="2"/>
  <c r="P201" i="2"/>
  <c r="P279" i="2"/>
  <c r="P212" i="2"/>
  <c r="P325" i="2"/>
  <c r="P538" i="2"/>
  <c r="P8" i="2"/>
  <c r="P221" i="2"/>
  <c r="P245" i="2"/>
  <c r="P250" i="2"/>
  <c r="P366" i="2"/>
  <c r="P556" i="2"/>
  <c r="P447" i="2"/>
  <c r="P396" i="2"/>
  <c r="P522" i="2"/>
  <c r="P27" i="2"/>
  <c r="P156" i="2"/>
  <c r="P407" i="2"/>
  <c r="P495" i="2"/>
  <c r="P234" i="2"/>
  <c r="P423" i="2"/>
  <c r="P311" i="2"/>
  <c r="P294" i="2"/>
  <c r="P513" i="2"/>
  <c r="P164" i="2"/>
  <c r="P444" i="2"/>
  <c r="P227" i="2"/>
  <c r="P496" i="2"/>
  <c r="P82" i="2"/>
  <c r="P410" i="2"/>
  <c r="P329" i="2"/>
  <c r="P12" i="2"/>
  <c r="P193" i="2"/>
  <c r="P195" i="2"/>
  <c r="P520" i="2"/>
  <c r="P324" i="2"/>
  <c r="P404" i="2"/>
  <c r="P467" i="2"/>
  <c r="P117" i="2"/>
  <c r="P137" i="2"/>
  <c r="P148" i="2"/>
  <c r="P134" i="2"/>
  <c r="P184" i="2"/>
  <c r="P267" i="2"/>
  <c r="P429" i="2"/>
  <c r="P526" i="2"/>
  <c r="P230" i="2"/>
  <c r="P348" i="2"/>
  <c r="P304" i="2"/>
  <c r="P95" i="2"/>
  <c r="P133" i="2"/>
  <c r="P126" i="2"/>
  <c r="P30" i="2"/>
  <c r="P150" i="2"/>
  <c r="P109" i="2"/>
  <c r="P353" i="2"/>
  <c r="P187" i="2"/>
  <c r="P265" i="2"/>
  <c r="P157" i="2"/>
  <c r="P99" i="2"/>
  <c r="P155" i="2"/>
  <c r="P186" i="2"/>
  <c r="P244" i="2"/>
  <c r="P491" i="2"/>
  <c r="P288" i="2"/>
  <c r="P16" i="2"/>
  <c r="P19" i="2"/>
  <c r="P199" i="2"/>
  <c r="P53" i="2"/>
  <c r="P6" i="2"/>
  <c r="P395" i="2"/>
  <c r="P40" i="2"/>
  <c r="P542" i="2"/>
  <c r="P377" i="2"/>
  <c r="P132" i="2"/>
  <c r="P170" i="2"/>
  <c r="P20" i="2"/>
  <c r="P163" i="2"/>
  <c r="P282" i="2"/>
  <c r="P256" i="2"/>
  <c r="P214" i="2"/>
  <c r="P123" i="2"/>
  <c r="P45" i="2"/>
  <c r="P242" i="2"/>
  <c r="P129" i="2"/>
  <c r="P215" i="2"/>
  <c r="P220" i="2"/>
  <c r="P555" i="2"/>
  <c r="P222" i="2"/>
  <c r="P101" i="2"/>
  <c r="P427" i="2"/>
  <c r="P4" i="2"/>
  <c r="P531" i="2"/>
  <c r="P384" i="2"/>
  <c r="P42" i="2"/>
  <c r="P375" i="2"/>
  <c r="P57" i="2"/>
  <c r="P206" i="2"/>
  <c r="P406" i="2"/>
  <c r="P67" i="2"/>
  <c r="P275" i="2"/>
  <c r="P100" i="2"/>
  <c r="P236" i="2"/>
  <c r="P525" i="2"/>
  <c r="P550" i="2"/>
  <c r="P455" i="2"/>
  <c r="P247" i="2"/>
  <c r="P354" i="2"/>
  <c r="P464" i="2"/>
  <c r="P189" i="2"/>
  <c r="P446" i="2"/>
  <c r="P293" i="2"/>
  <c r="P228" i="2"/>
  <c r="P71" i="2"/>
  <c r="P505" i="2"/>
  <c r="P433" i="2"/>
  <c r="P168" i="2"/>
  <c r="P124" i="2"/>
  <c r="P480" i="2"/>
  <c r="P554" i="2"/>
  <c r="P86" i="2"/>
  <c r="P389" i="2"/>
  <c r="P43" i="2"/>
  <c r="P489" i="2"/>
  <c r="P472" i="2"/>
  <c r="P216" i="2"/>
  <c r="P55" i="2"/>
  <c r="P34" i="2"/>
  <c r="P508" i="2"/>
  <c r="P338" i="2"/>
  <c r="P387" i="2"/>
  <c r="P147" i="2"/>
  <c r="P49" i="2"/>
  <c r="P48" i="2"/>
  <c r="P80" i="2"/>
  <c r="P549" i="2"/>
  <c r="P528" i="2"/>
  <c r="P537" i="2"/>
  <c r="P305" i="2"/>
  <c r="P65" i="2"/>
  <c r="P180" i="2"/>
  <c r="P194" i="2"/>
  <c r="P541" i="2"/>
  <c r="P557" i="2"/>
  <c r="P140" i="2"/>
  <c r="P152" i="2"/>
  <c r="P119" i="2"/>
  <c r="P527" i="2"/>
  <c r="P268" i="2"/>
  <c r="P14" i="2"/>
  <c r="P145" i="2"/>
  <c r="P78" i="2"/>
  <c r="P477" i="2"/>
  <c r="P301" i="2"/>
  <c r="P151" i="2"/>
  <c r="P439" i="2"/>
  <c r="P482" i="2"/>
  <c r="P176" i="2"/>
  <c r="P98" i="2"/>
  <c r="P374" i="2"/>
  <c r="P454" i="2"/>
  <c r="P320" i="2"/>
  <c r="P169" i="2"/>
  <c r="P483" i="2"/>
  <c r="P90" i="2"/>
  <c r="P452" i="2"/>
  <c r="P56" i="2"/>
  <c r="P200" i="2"/>
  <c r="P471" i="2"/>
  <c r="P104" i="2"/>
  <c r="P497" i="2"/>
  <c r="P63" i="2"/>
  <c r="P365" i="2"/>
  <c r="P506" i="2"/>
  <c r="P358" i="2"/>
  <c r="P488" i="2"/>
  <c r="P306" i="2"/>
  <c r="P274" i="2"/>
  <c r="P81" i="2"/>
  <c r="P337" i="2"/>
  <c r="P558" i="2"/>
  <c r="P521" i="2"/>
  <c r="P436" i="2"/>
  <c r="P122" i="2"/>
  <c r="P545" i="2"/>
  <c r="P342" i="2"/>
  <c r="P254" i="2"/>
  <c r="P310" i="2"/>
  <c r="P249" i="2"/>
  <c r="P125" i="2"/>
  <c r="P39" i="2"/>
  <c r="P172" i="2"/>
  <c r="P503" i="2"/>
  <c r="P300" i="2"/>
  <c r="P208" i="2"/>
  <c r="P278" i="2"/>
  <c r="P24" i="2"/>
  <c r="P437" i="2"/>
  <c r="P386" i="2"/>
  <c r="P361" i="2"/>
  <c r="P504" i="2"/>
  <c r="P486" i="2"/>
  <c r="P507" i="2"/>
  <c r="P87" i="2"/>
  <c r="P514" i="2"/>
  <c r="P411" i="2"/>
  <c r="P372" i="2"/>
  <c r="P523" i="2"/>
  <c r="P210" i="2"/>
  <c r="P31" i="2"/>
  <c r="P203" i="2"/>
  <c r="P51" i="2"/>
  <c r="P391" i="2"/>
  <c r="P35" i="2"/>
  <c r="P15" i="2"/>
  <c r="P494" i="2"/>
  <c r="P209" i="2"/>
  <c r="P77" i="2"/>
  <c r="P424" i="2"/>
  <c r="P70" i="2"/>
  <c r="P131" i="2"/>
  <c r="P544" i="2"/>
  <c r="P478" i="2"/>
  <c r="P296" i="2"/>
  <c r="P197" i="2"/>
  <c r="P107" i="2"/>
  <c r="P457" i="2"/>
  <c r="P459" i="2"/>
  <c r="P343" i="2"/>
  <c r="P177" i="2"/>
  <c r="P450" i="2"/>
  <c r="P317" i="2"/>
  <c r="P321" i="2"/>
  <c r="P474" i="2"/>
  <c r="P106" i="2"/>
  <c r="P412" i="2"/>
  <c r="P235" i="2"/>
  <c r="P72" i="2"/>
  <c r="P401" i="2"/>
  <c r="P499" i="2"/>
  <c r="P547" i="2"/>
  <c r="P330" i="2"/>
  <c r="P74" i="2"/>
  <c r="P402" i="2"/>
  <c r="P400" i="2"/>
  <c r="P52" i="2"/>
  <c r="P409" i="2"/>
  <c r="P346" i="2"/>
  <c r="P485" i="2"/>
  <c r="P363" i="2"/>
  <c r="P460" i="2"/>
  <c r="P392" i="2"/>
  <c r="P490" i="2"/>
  <c r="P463" i="2"/>
  <c r="P240" i="1"/>
  <c r="Q240" i="1" s="1"/>
  <c r="O240" i="1"/>
  <c r="P239" i="1"/>
  <c r="Q239" i="1" s="1"/>
  <c r="O239" i="1"/>
  <c r="P238" i="1"/>
  <c r="O238" i="1"/>
  <c r="P237" i="1"/>
  <c r="Q237" i="1" s="1"/>
  <c r="O237" i="1"/>
  <c r="P236" i="1"/>
  <c r="Q236" i="1" s="1"/>
  <c r="O236" i="1"/>
  <c r="P235" i="1"/>
  <c r="Q235" i="1" s="1"/>
  <c r="O235" i="1"/>
  <c r="P186" i="1"/>
  <c r="Q186" i="1" s="1"/>
  <c r="O186" i="1"/>
  <c r="P234" i="1"/>
  <c r="Q234" i="1" s="1"/>
  <c r="O234" i="1"/>
  <c r="P232" i="1"/>
  <c r="Q232" i="1" s="1"/>
  <c r="O232" i="1"/>
  <c r="P229" i="1"/>
  <c r="Q229" i="1" s="1"/>
  <c r="O229" i="1"/>
  <c r="P227" i="1"/>
  <c r="Q227" i="1" s="1"/>
  <c r="O227" i="1"/>
  <c r="P225" i="1"/>
  <c r="Q225" i="1" s="1"/>
  <c r="O225" i="1"/>
  <c r="P223" i="1"/>
  <c r="Q223" i="1" s="1"/>
  <c r="O223" i="1"/>
  <c r="P221" i="1"/>
  <c r="Q221" i="1" s="1"/>
  <c r="O221" i="1"/>
  <c r="N416" i="1" l="1"/>
  <c r="M417" i="1"/>
  <c r="F3" i="6" a="1"/>
  <c r="Z142" i="2"/>
  <c r="Z251" i="2"/>
  <c r="Z376" i="2"/>
  <c r="Z421" i="2"/>
  <c r="Z512" i="2"/>
  <c r="Z11" i="2"/>
  <c r="Z215" i="2"/>
  <c r="Z303" i="2"/>
  <c r="Z366" i="2"/>
  <c r="Z480" i="2"/>
  <c r="Z279" i="2"/>
  <c r="Z96" i="2"/>
  <c r="Z157" i="2"/>
  <c r="Z461" i="2"/>
  <c r="Z265" i="2"/>
  <c r="Z239" i="2"/>
  <c r="Z521" i="2"/>
  <c r="Z294" i="2"/>
  <c r="Z211" i="2"/>
  <c r="Z545" i="2"/>
  <c r="Z535" i="2"/>
  <c r="Z307" i="2"/>
  <c r="Z290" i="2"/>
  <c r="Z446" i="2"/>
  <c r="Z555" i="2"/>
  <c r="Z103" i="2"/>
  <c r="Z81" i="2"/>
  <c r="Z266" i="2"/>
  <c r="Z245" i="2"/>
  <c r="Z102" i="2"/>
  <c r="Z360" i="2"/>
  <c r="Z243" i="2"/>
  <c r="Z377" i="2"/>
  <c r="Z418" i="2"/>
  <c r="N248" i="1"/>
  <c r="V56" i="7"/>
  <c r="V3" i="7"/>
  <c r="V4" i="7"/>
  <c r="V8" i="7"/>
  <c r="V9" i="7"/>
  <c r="V5" i="7"/>
  <c r="S247" i="1"/>
  <c r="N247" i="1" s="1"/>
  <c r="R245" i="1"/>
  <c r="S245" i="1" s="1"/>
  <c r="U245" i="1" s="1"/>
  <c r="N246" i="1"/>
  <c r="R242" i="1"/>
  <c r="S242" i="1" s="1"/>
  <c r="U242" i="1" s="1"/>
  <c r="U243" i="1"/>
  <c r="N244" i="1"/>
  <c r="V48" i="7"/>
  <c r="R241" i="1"/>
  <c r="S241" i="1" s="1"/>
  <c r="U241" i="1" s="1"/>
  <c r="V61" i="7"/>
  <c r="V60" i="7"/>
  <c r="V46" i="7"/>
  <c r="V59" i="7"/>
  <c r="V57" i="7"/>
  <c r="V58" i="7"/>
  <c r="V34" i="7"/>
  <c r="V36" i="7"/>
  <c r="V47" i="7"/>
  <c r="V49" i="7"/>
  <c r="V50" i="7"/>
  <c r="V51" i="7"/>
  <c r="V53" i="7"/>
  <c r="V35" i="7"/>
  <c r="V40" i="7"/>
  <c r="V41" i="7"/>
  <c r="V42" i="7"/>
  <c r="V44" i="7"/>
  <c r="V45" i="7"/>
  <c r="V52" i="7"/>
  <c r="V55" i="7"/>
  <c r="V37" i="7"/>
  <c r="V54" i="7"/>
  <c r="V38" i="7"/>
  <c r="V39" i="7"/>
  <c r="V43" i="7"/>
  <c r="V32" i="7"/>
  <c r="V31" i="7"/>
  <c r="V33" i="7"/>
  <c r="V11" i="7"/>
  <c r="V14" i="7"/>
  <c r="V16" i="7"/>
  <c r="V26" i="7"/>
  <c r="V25" i="7"/>
  <c r="V22" i="7"/>
  <c r="V29" i="7"/>
  <c r="V13" i="7"/>
  <c r="V24" i="7"/>
  <c r="V30" i="7"/>
  <c r="V19" i="7"/>
  <c r="V27" i="7"/>
  <c r="V23" i="7"/>
  <c r="V12" i="7"/>
  <c r="V28" i="7"/>
  <c r="V21" i="7"/>
  <c r="R239" i="1"/>
  <c r="R237" i="1"/>
  <c r="R236" i="1"/>
  <c r="R235" i="1"/>
  <c r="R234" i="1"/>
  <c r="R232" i="1"/>
  <c r="R229" i="1"/>
  <c r="R227" i="1"/>
  <c r="R225" i="1"/>
  <c r="R223" i="1"/>
  <c r="R221" i="1"/>
  <c r="Z46" i="2"/>
  <c r="S240" i="1"/>
  <c r="Q238" i="1"/>
  <c r="R238" i="1" s="1"/>
  <c r="P233" i="1"/>
  <c r="O233" i="1"/>
  <c r="P231" i="1"/>
  <c r="O231" i="1"/>
  <c r="P230" i="1"/>
  <c r="O230" i="1"/>
  <c r="P228" i="1"/>
  <c r="O228" i="1"/>
  <c r="P226" i="1"/>
  <c r="O226" i="1"/>
  <c r="P224" i="1"/>
  <c r="O224" i="1"/>
  <c r="P222" i="1"/>
  <c r="O222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3" i="1"/>
  <c r="O213" i="1"/>
  <c r="P214" i="1"/>
  <c r="O214" i="1"/>
  <c r="P212" i="1"/>
  <c r="O212" i="1"/>
  <c r="P211" i="1"/>
  <c r="O211" i="1"/>
  <c r="P210" i="1"/>
  <c r="O210" i="1"/>
  <c r="P209" i="1"/>
  <c r="O209" i="1"/>
  <c r="P208" i="1"/>
  <c r="O208" i="1"/>
  <c r="P179" i="1"/>
  <c r="O179" i="1"/>
  <c r="P178" i="1"/>
  <c r="O178" i="1"/>
  <c r="P173" i="1"/>
  <c r="P172" i="1"/>
  <c r="P171" i="1"/>
  <c r="O173" i="1"/>
  <c r="O172" i="1"/>
  <c r="O171" i="1"/>
  <c r="O197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O196" i="1"/>
  <c r="O194" i="1"/>
  <c r="O190" i="1"/>
  <c r="P200" i="1"/>
  <c r="O200" i="1"/>
  <c r="P199" i="1"/>
  <c r="O199" i="1"/>
  <c r="P198" i="1"/>
  <c r="O198" i="1"/>
  <c r="P197" i="1"/>
  <c r="P196" i="1"/>
  <c r="P195" i="1"/>
  <c r="O195" i="1"/>
  <c r="P194" i="1"/>
  <c r="P193" i="1"/>
  <c r="O193" i="1"/>
  <c r="P192" i="1"/>
  <c r="O192" i="1"/>
  <c r="P191" i="1"/>
  <c r="O191" i="1"/>
  <c r="P190" i="1"/>
  <c r="P189" i="1"/>
  <c r="O189" i="1"/>
  <c r="P188" i="1"/>
  <c r="O188" i="1"/>
  <c r="P109" i="1"/>
  <c r="O109" i="1"/>
  <c r="M418" i="1" l="1"/>
  <c r="N417" i="1"/>
  <c r="U247" i="1"/>
  <c r="N245" i="1"/>
  <c r="N242" i="1"/>
  <c r="U240" i="1"/>
  <c r="N241" i="1"/>
  <c r="S239" i="1"/>
  <c r="S236" i="1"/>
  <c r="S234" i="1"/>
  <c r="U234" i="1" s="1"/>
  <c r="S232" i="1"/>
  <c r="U232" i="1" s="1"/>
  <c r="S229" i="1"/>
  <c r="U229" i="1" s="1"/>
  <c r="S225" i="1"/>
  <c r="U225" i="1" s="1"/>
  <c r="S223" i="1"/>
  <c r="U223" i="1" s="1"/>
  <c r="S235" i="1"/>
  <c r="S221" i="1"/>
  <c r="U221" i="1" s="1"/>
  <c r="N240" i="1"/>
  <c r="Q199" i="1"/>
  <c r="R199" i="1" s="1"/>
  <c r="S199" i="1" s="1"/>
  <c r="U199" i="1" s="1"/>
  <c r="Q219" i="1"/>
  <c r="R219" i="1" s="1"/>
  <c r="Q202" i="1"/>
  <c r="R202" i="1" s="1"/>
  <c r="S202" i="1" s="1"/>
  <c r="U202" i="1" s="1"/>
  <c r="Q208" i="1"/>
  <c r="R208" i="1" s="1"/>
  <c r="S208" i="1" s="1"/>
  <c r="U208" i="1" s="1"/>
  <c r="Q224" i="1"/>
  <c r="R224" i="1" s="1"/>
  <c r="Q188" i="1"/>
  <c r="R188" i="1" s="1"/>
  <c r="Q200" i="1"/>
  <c r="R200" i="1" s="1"/>
  <c r="S200" i="1" s="1"/>
  <c r="U200" i="1" s="1"/>
  <c r="Q205" i="1"/>
  <c r="R205" i="1" s="1"/>
  <c r="Q211" i="1"/>
  <c r="R211" i="1" s="1"/>
  <c r="S211" i="1" s="1"/>
  <c r="U211" i="1" s="1"/>
  <c r="Q191" i="1"/>
  <c r="R191" i="1" s="1"/>
  <c r="S191" i="1" s="1"/>
  <c r="U191" i="1" s="1"/>
  <c r="Q194" i="1"/>
  <c r="R194" i="1" s="1"/>
  <c r="Q213" i="1"/>
  <c r="Q217" i="1"/>
  <c r="R217" i="1" s="1"/>
  <c r="S217" i="1" s="1"/>
  <c r="U217" i="1" s="1"/>
  <c r="Q178" i="1"/>
  <c r="S178" i="1" s="1"/>
  <c r="U178" i="1" s="1"/>
  <c r="Q220" i="1"/>
  <c r="R220" i="1" s="1"/>
  <c r="S227" i="1"/>
  <c r="U227" i="1" s="1"/>
  <c r="Q198" i="1"/>
  <c r="R198" i="1" s="1"/>
  <c r="Q203" i="1"/>
  <c r="R203" i="1" s="1"/>
  <c r="Q209" i="1"/>
  <c r="R209" i="1" s="1"/>
  <c r="Q206" i="1"/>
  <c r="R206" i="1" s="1"/>
  <c r="S206" i="1" s="1"/>
  <c r="U206" i="1" s="1"/>
  <c r="Q231" i="1"/>
  <c r="R231" i="1" s="1"/>
  <c r="Q215" i="1"/>
  <c r="R215" i="1" s="1"/>
  <c r="Q192" i="1"/>
  <c r="R192" i="1" s="1"/>
  <c r="Q195" i="1"/>
  <c r="R195" i="1" s="1"/>
  <c r="S186" i="1"/>
  <c r="U186" i="1" s="1"/>
  <c r="Q201" i="1"/>
  <c r="R201" i="1" s="1"/>
  <c r="Q179" i="1"/>
  <c r="Q222" i="1"/>
  <c r="R222" i="1" s="1"/>
  <c r="Q204" i="1"/>
  <c r="R204" i="1" s="1"/>
  <c r="Q210" i="1"/>
  <c r="R210" i="1" s="1"/>
  <c r="Q228" i="1"/>
  <c r="R228" i="1" s="1"/>
  <c r="S228" i="1" s="1"/>
  <c r="Q207" i="1"/>
  <c r="R207" i="1" s="1"/>
  <c r="S207" i="1" s="1"/>
  <c r="U207" i="1" s="1"/>
  <c r="Q214" i="1"/>
  <c r="R214" i="1" s="1"/>
  <c r="Q233" i="1"/>
  <c r="R233" i="1" s="1"/>
  <c r="Q193" i="1"/>
  <c r="R193" i="1" s="1"/>
  <c r="Q216" i="1"/>
  <c r="R216" i="1" s="1"/>
  <c r="S216" i="1" s="1"/>
  <c r="U216" i="1" s="1"/>
  <c r="S237" i="1"/>
  <c r="Q230" i="1"/>
  <c r="R230" i="1" s="1"/>
  <c r="Q226" i="1"/>
  <c r="R226" i="1" s="1"/>
  <c r="Q218" i="1"/>
  <c r="R218" i="1" s="1"/>
  <c r="Q172" i="1"/>
  <c r="S172" i="1" s="1"/>
  <c r="U172" i="1" s="1"/>
  <c r="Q173" i="1"/>
  <c r="S173" i="1" s="1"/>
  <c r="U173" i="1" s="1"/>
  <c r="Q171" i="1"/>
  <c r="Q212" i="1"/>
  <c r="R212" i="1" s="1"/>
  <c r="Q197" i="1"/>
  <c r="R197" i="1" s="1"/>
  <c r="Q190" i="1"/>
  <c r="R190" i="1" s="1"/>
  <c r="Q196" i="1"/>
  <c r="R196" i="1" s="1"/>
  <c r="Q189" i="1"/>
  <c r="R189" i="1" s="1"/>
  <c r="Q109" i="1"/>
  <c r="R109" i="1" s="1"/>
  <c r="N418" i="1" l="1"/>
  <c r="M419" i="1"/>
  <c r="N223" i="1"/>
  <c r="N234" i="1"/>
  <c r="N221" i="1"/>
  <c r="N229" i="1"/>
  <c r="N236" i="1"/>
  <c r="N235" i="1"/>
  <c r="U235" i="1"/>
  <c r="N239" i="1"/>
  <c r="N232" i="1"/>
  <c r="U239" i="1"/>
  <c r="U236" i="1"/>
  <c r="N225" i="1"/>
  <c r="N173" i="1"/>
  <c r="S213" i="1"/>
  <c r="U213" i="1" s="1"/>
  <c r="S215" i="1"/>
  <c r="N211" i="1"/>
  <c r="N216" i="1"/>
  <c r="N186" i="1"/>
  <c r="N208" i="1"/>
  <c r="S194" i="1"/>
  <c r="U194" i="1" s="1"/>
  <c r="S222" i="1"/>
  <c r="U222" i="1" s="1"/>
  <c r="S201" i="1"/>
  <c r="U201" i="1" s="1"/>
  <c r="S198" i="1"/>
  <c r="U198" i="1" s="1"/>
  <c r="S214" i="1"/>
  <c r="U214" i="1" s="1"/>
  <c r="S192" i="1"/>
  <c r="U192" i="1" s="1"/>
  <c r="S231" i="1"/>
  <c r="U231" i="1" s="1"/>
  <c r="S224" i="1"/>
  <c r="U224" i="1" s="1"/>
  <c r="N172" i="1"/>
  <c r="N227" i="1"/>
  <c r="N191" i="1"/>
  <c r="N202" i="1"/>
  <c r="N228" i="1"/>
  <c r="N207" i="1"/>
  <c r="N200" i="1"/>
  <c r="U237" i="1"/>
  <c r="N237" i="1"/>
  <c r="N206" i="1"/>
  <c r="N217" i="1"/>
  <c r="N199" i="1"/>
  <c r="N178" i="1"/>
  <c r="S238" i="1"/>
  <c r="U238" i="1" s="1"/>
  <c r="U228" i="1"/>
  <c r="S233" i="1"/>
  <c r="U233" i="1" s="1"/>
  <c r="S220" i="1"/>
  <c r="U220" i="1" s="1"/>
  <c r="S219" i="1"/>
  <c r="U219" i="1" s="1"/>
  <c r="S171" i="1"/>
  <c r="S210" i="1"/>
  <c r="S209" i="1"/>
  <c r="U209" i="1" s="1"/>
  <c r="S179" i="1"/>
  <c r="U179" i="1" s="1"/>
  <c r="S204" i="1"/>
  <c r="U204" i="1" s="1"/>
  <c r="S205" i="1"/>
  <c r="S203" i="1"/>
  <c r="U203" i="1" s="1"/>
  <c r="S197" i="1"/>
  <c r="U197" i="1" s="1"/>
  <c r="S193" i="1"/>
  <c r="S188" i="1"/>
  <c r="U188" i="1" s="1"/>
  <c r="S195" i="1"/>
  <c r="U195" i="1" s="1"/>
  <c r="N419" i="1" l="1"/>
  <c r="M420" i="1"/>
  <c r="U215" i="1"/>
  <c r="U210" i="1"/>
  <c r="N198" i="1"/>
  <c r="N231" i="1"/>
  <c r="N233" i="1"/>
  <c r="N224" i="1"/>
  <c r="N209" i="1"/>
  <c r="N213" i="1"/>
  <c r="N194" i="1"/>
  <c r="N195" i="1"/>
  <c r="N214" i="1"/>
  <c r="N215" i="1"/>
  <c r="N179" i="1"/>
  <c r="N203" i="1"/>
  <c r="N201" i="1"/>
  <c r="N219" i="1"/>
  <c r="N220" i="1"/>
  <c r="S189" i="1"/>
  <c r="U171" i="1"/>
  <c r="N171" i="1"/>
  <c r="S218" i="1"/>
  <c r="U218" i="1" s="1"/>
  <c r="N210" i="1"/>
  <c r="U205" i="1"/>
  <c r="N205" i="1"/>
  <c r="N192" i="1"/>
  <c r="N222" i="1"/>
  <c r="U193" i="1"/>
  <c r="N193" i="1"/>
  <c r="S190" i="1"/>
  <c r="U190" i="1" s="1"/>
  <c r="S226" i="1"/>
  <c r="U226" i="1" s="1"/>
  <c r="N204" i="1"/>
  <c r="N238" i="1"/>
  <c r="N197" i="1"/>
  <c r="N188" i="1"/>
  <c r="S230" i="1"/>
  <c r="U230" i="1" s="1"/>
  <c r="S212" i="1"/>
  <c r="U212" i="1" s="1"/>
  <c r="S196" i="1"/>
  <c r="U196" i="1" s="1"/>
  <c r="S109" i="1"/>
  <c r="U109" i="1" s="1"/>
  <c r="M421" i="1" l="1"/>
  <c r="N420" i="1"/>
  <c r="U189" i="1"/>
  <c r="N226" i="1"/>
  <c r="N189" i="1"/>
  <c r="N190" i="1"/>
  <c r="N218" i="1"/>
  <c r="N196" i="1"/>
  <c r="N230" i="1"/>
  <c r="N212" i="1"/>
  <c r="N109" i="1"/>
  <c r="P183" i="1"/>
  <c r="O183" i="1"/>
  <c r="N421" i="1" l="1"/>
  <c r="M422" i="1"/>
  <c r="Q183" i="1"/>
  <c r="S183" i="1" s="1"/>
  <c r="U183" i="1" s="1"/>
  <c r="N422" i="1" l="1"/>
  <c r="M423" i="1"/>
  <c r="N183" i="1"/>
  <c r="P187" i="1"/>
  <c r="O187" i="1"/>
  <c r="P185" i="1"/>
  <c r="O185" i="1"/>
  <c r="P184" i="1"/>
  <c r="O184" i="1"/>
  <c r="P182" i="1"/>
  <c r="O182" i="1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G14" i="3"/>
  <c r="G13" i="3"/>
  <c r="H13" i="3" s="1"/>
  <c r="H14" i="3" s="1"/>
  <c r="N423" i="1" l="1"/>
  <c r="M424" i="1"/>
  <c r="Q184" i="1"/>
  <c r="R184" i="1" s="1"/>
  <c r="Q187" i="1"/>
  <c r="R187" i="1" s="1"/>
  <c r="Q182" i="1"/>
  <c r="R182" i="1" s="1"/>
  <c r="Q185" i="1"/>
  <c r="R185" i="1" s="1"/>
  <c r="Q4" i="3"/>
  <c r="Q23" i="3"/>
  <c r="Q24" i="3"/>
  <c r="Q20" i="3"/>
  <c r="Q21" i="3"/>
  <c r="Q22" i="3"/>
  <c r="Q2" i="3"/>
  <c r="Q1" i="3"/>
  <c r="G6" i="3"/>
  <c r="N424" i="1" l="1"/>
  <c r="M425" i="1"/>
  <c r="S184" i="1"/>
  <c r="T486" i="3"/>
  <c r="U486" i="3" s="1"/>
  <c r="T66" i="3"/>
  <c r="T67" i="3"/>
  <c r="T165" i="3"/>
  <c r="U165" i="3" s="1"/>
  <c r="T275" i="3"/>
  <c r="T374" i="3"/>
  <c r="U374" i="3" s="1"/>
  <c r="G12" i="3"/>
  <c r="G16" i="3" s="1"/>
  <c r="T79" i="3"/>
  <c r="U79" i="3" s="1"/>
  <c r="T178" i="3"/>
  <c r="T303" i="3"/>
  <c r="U303" i="3" s="1"/>
  <c r="T415" i="3"/>
  <c r="U415" i="3" s="1"/>
  <c r="T218" i="3"/>
  <c r="T80" i="3"/>
  <c r="T190" i="3"/>
  <c r="T316" i="3"/>
  <c r="T416" i="3"/>
  <c r="U416" i="3" s="1"/>
  <c r="T81" i="3"/>
  <c r="T317" i="3"/>
  <c r="U317" i="3" s="1"/>
  <c r="T428" i="3"/>
  <c r="T121" i="3"/>
  <c r="U121" i="3" s="1"/>
  <c r="T458" i="3"/>
  <c r="T24" i="3"/>
  <c r="U24" i="3" s="1"/>
  <c r="T122" i="3"/>
  <c r="U122" i="3" s="1"/>
  <c r="T232" i="3"/>
  <c r="T332" i="3"/>
  <c r="U332" i="3" s="1"/>
  <c r="T459" i="3"/>
  <c r="T430" i="3"/>
  <c r="T417" i="3"/>
  <c r="T92" i="3"/>
  <c r="T219" i="3"/>
  <c r="U219" i="3" s="1"/>
  <c r="T318" i="3"/>
  <c r="U318" i="3" s="1"/>
  <c r="T22" i="3"/>
  <c r="U22" i="3" s="1"/>
  <c r="T120" i="3"/>
  <c r="T220" i="3"/>
  <c r="U220" i="3" s="1"/>
  <c r="T319" i="3"/>
  <c r="T23" i="3"/>
  <c r="T221" i="3"/>
  <c r="U221" i="3" s="1"/>
  <c r="T330" i="3"/>
  <c r="T25" i="3"/>
  <c r="U25" i="3" s="1"/>
  <c r="T123" i="3"/>
  <c r="U123" i="3" s="1"/>
  <c r="T234" i="3"/>
  <c r="T360" i="3"/>
  <c r="T470" i="3"/>
  <c r="T36" i="3"/>
  <c r="U36" i="3" s="1"/>
  <c r="T134" i="3"/>
  <c r="T262" i="3"/>
  <c r="T361" i="3"/>
  <c r="T471" i="3"/>
  <c r="U471" i="3" s="1"/>
  <c r="T78" i="3"/>
  <c r="T177" i="3"/>
  <c r="U177" i="3" s="1"/>
  <c r="T414" i="3"/>
  <c r="T37" i="3"/>
  <c r="U37" i="3" s="1"/>
  <c r="T136" i="3"/>
  <c r="T263" i="3"/>
  <c r="U263" i="3" s="1"/>
  <c r="T372" i="3"/>
  <c r="T472" i="3"/>
  <c r="T176" i="3"/>
  <c r="T276" i="3"/>
  <c r="T386" i="3"/>
  <c r="T288" i="3"/>
  <c r="T38" i="3"/>
  <c r="U38" i="3" s="1"/>
  <c r="T164" i="3"/>
  <c r="U164" i="3" s="1"/>
  <c r="T274" i="3"/>
  <c r="T373" i="3"/>
  <c r="T484" i="3"/>
  <c r="T135" i="3"/>
  <c r="T179" i="3"/>
  <c r="U179" i="3" s="1"/>
  <c r="T233" i="3"/>
  <c r="U233" i="3" s="1"/>
  <c r="T277" i="3"/>
  <c r="T331" i="3"/>
  <c r="U331" i="3" s="1"/>
  <c r="T375" i="3"/>
  <c r="T429" i="3"/>
  <c r="T473" i="3"/>
  <c r="T50" i="3"/>
  <c r="T94" i="3"/>
  <c r="U94" i="3" s="1"/>
  <c r="T148" i="3"/>
  <c r="T192" i="3"/>
  <c r="T246" i="3"/>
  <c r="T290" i="3"/>
  <c r="U290" i="3" s="1"/>
  <c r="T344" i="3"/>
  <c r="T388" i="3"/>
  <c r="T442" i="3"/>
  <c r="T497" i="3"/>
  <c r="T51" i="3"/>
  <c r="T95" i="3"/>
  <c r="U95" i="3" s="1"/>
  <c r="T149" i="3"/>
  <c r="T193" i="3"/>
  <c r="U193" i="3" s="1"/>
  <c r="T247" i="3"/>
  <c r="T291" i="3"/>
  <c r="U291" i="3" s="1"/>
  <c r="T345" i="3"/>
  <c r="T389" i="3"/>
  <c r="T443" i="3"/>
  <c r="U443" i="3" s="1"/>
  <c r="T487" i="3"/>
  <c r="U487" i="3" s="1"/>
  <c r="T7" i="3"/>
  <c r="T52" i="3"/>
  <c r="T106" i="3"/>
  <c r="T150" i="3"/>
  <c r="T204" i="3"/>
  <c r="T248" i="3"/>
  <c r="U248" i="3" s="1"/>
  <c r="T302" i="3"/>
  <c r="T346" i="3"/>
  <c r="U346" i="3" s="1"/>
  <c r="T400" i="3"/>
  <c r="T444" i="3"/>
  <c r="U444" i="3" s="1"/>
  <c r="T498" i="3"/>
  <c r="T456" i="3"/>
  <c r="T39" i="3"/>
  <c r="T93" i="3"/>
  <c r="U93" i="3" s="1"/>
  <c r="T137" i="3"/>
  <c r="T191" i="3"/>
  <c r="T235" i="3"/>
  <c r="T289" i="3"/>
  <c r="T333" i="3"/>
  <c r="U333" i="3" s="1"/>
  <c r="T387" i="3"/>
  <c r="T431" i="3"/>
  <c r="T485" i="3"/>
  <c r="T8" i="3"/>
  <c r="U8" i="3" s="1"/>
  <c r="T53" i="3"/>
  <c r="T107" i="3"/>
  <c r="T151" i="3"/>
  <c r="T205" i="3"/>
  <c r="U205" i="3" s="1"/>
  <c r="T249" i="3"/>
  <c r="U249" i="3" s="1"/>
  <c r="T347" i="3"/>
  <c r="U347" i="3" s="1"/>
  <c r="T401" i="3"/>
  <c r="U401" i="3" s="1"/>
  <c r="T445" i="3"/>
  <c r="U445" i="3" s="1"/>
  <c r="T499" i="3"/>
  <c r="T9" i="3"/>
  <c r="T64" i="3"/>
  <c r="T108" i="3"/>
  <c r="T162" i="3"/>
  <c r="T206" i="3"/>
  <c r="U206" i="3" s="1"/>
  <c r="T260" i="3"/>
  <c r="T304" i="3"/>
  <c r="U304" i="3" s="1"/>
  <c r="T358" i="3"/>
  <c r="T402" i="3"/>
  <c r="T500" i="3"/>
  <c r="T11" i="3"/>
  <c r="U11" i="3" s="1"/>
  <c r="T65" i="3"/>
  <c r="U65" i="3" s="1"/>
  <c r="T109" i="3"/>
  <c r="T163" i="3"/>
  <c r="U163" i="3" s="1"/>
  <c r="T207" i="3"/>
  <c r="U207" i="3" s="1"/>
  <c r="T261" i="3"/>
  <c r="U261" i="3" s="1"/>
  <c r="T305" i="3"/>
  <c r="U305" i="3" s="1"/>
  <c r="T359" i="3"/>
  <c r="T403" i="3"/>
  <c r="U403" i="3" s="1"/>
  <c r="T457" i="3"/>
  <c r="U457" i="3" s="1"/>
  <c r="T501" i="3"/>
  <c r="T12" i="3"/>
  <c r="U12" i="3" s="1"/>
  <c r="T26" i="3"/>
  <c r="T40" i="3"/>
  <c r="U40" i="3" s="1"/>
  <c r="T54" i="3"/>
  <c r="T68" i="3"/>
  <c r="U68" i="3" s="1"/>
  <c r="T82" i="3"/>
  <c r="U82" i="3" s="1"/>
  <c r="T96" i="3"/>
  <c r="T110" i="3"/>
  <c r="T124" i="3"/>
  <c r="U124" i="3" s="1"/>
  <c r="T138" i="3"/>
  <c r="U138" i="3" s="1"/>
  <c r="T152" i="3"/>
  <c r="U152" i="3" s="1"/>
  <c r="T166" i="3"/>
  <c r="U166" i="3" s="1"/>
  <c r="T180" i="3"/>
  <c r="U180" i="3" s="1"/>
  <c r="T194" i="3"/>
  <c r="U194" i="3" s="1"/>
  <c r="T208" i="3"/>
  <c r="U208" i="3" s="1"/>
  <c r="T222" i="3"/>
  <c r="U222" i="3" s="1"/>
  <c r="T236" i="3"/>
  <c r="U236" i="3" s="1"/>
  <c r="T250" i="3"/>
  <c r="U250" i="3" s="1"/>
  <c r="T264" i="3"/>
  <c r="T278" i="3"/>
  <c r="T292" i="3"/>
  <c r="U292" i="3" s="1"/>
  <c r="T306" i="3"/>
  <c r="T320" i="3"/>
  <c r="T334" i="3"/>
  <c r="U334" i="3" s="1"/>
  <c r="T348" i="3"/>
  <c r="U348" i="3" s="1"/>
  <c r="T362" i="3"/>
  <c r="T376" i="3"/>
  <c r="U376" i="3" s="1"/>
  <c r="T390" i="3"/>
  <c r="T404" i="3"/>
  <c r="U404" i="3" s="1"/>
  <c r="T418" i="3"/>
  <c r="T432" i="3"/>
  <c r="T446" i="3"/>
  <c r="U446" i="3" s="1"/>
  <c r="T460" i="3"/>
  <c r="U460" i="3" s="1"/>
  <c r="T474" i="3"/>
  <c r="T488" i="3"/>
  <c r="U488" i="3" s="1"/>
  <c r="T502" i="3"/>
  <c r="U502" i="3" s="1"/>
  <c r="T41" i="3"/>
  <c r="U41" i="3" s="1"/>
  <c r="T111" i="3"/>
  <c r="U111" i="3" s="1"/>
  <c r="T167" i="3"/>
  <c r="T237" i="3"/>
  <c r="T307" i="3"/>
  <c r="U307" i="3" s="1"/>
  <c r="T377" i="3"/>
  <c r="U377" i="3" s="1"/>
  <c r="T461" i="3"/>
  <c r="U461" i="3" s="1"/>
  <c r="T28" i="3"/>
  <c r="U28" i="3" s="1"/>
  <c r="T126" i="3"/>
  <c r="U126" i="3" s="1"/>
  <c r="T210" i="3"/>
  <c r="U210" i="3" s="1"/>
  <c r="T294" i="3"/>
  <c r="U294" i="3" s="1"/>
  <c r="T448" i="3"/>
  <c r="U448" i="3" s="1"/>
  <c r="T15" i="3"/>
  <c r="U15" i="3" s="1"/>
  <c r="T29" i="3"/>
  <c r="T43" i="3"/>
  <c r="T57" i="3"/>
  <c r="T71" i="3"/>
  <c r="T85" i="3"/>
  <c r="T99" i="3"/>
  <c r="U99" i="3" s="1"/>
  <c r="T113" i="3"/>
  <c r="U113" i="3" s="1"/>
  <c r="T127" i="3"/>
  <c r="U127" i="3" s="1"/>
  <c r="T141" i="3"/>
  <c r="U141" i="3" s="1"/>
  <c r="T155" i="3"/>
  <c r="U155" i="3" s="1"/>
  <c r="T169" i="3"/>
  <c r="U169" i="3" s="1"/>
  <c r="T183" i="3"/>
  <c r="U183" i="3" s="1"/>
  <c r="T197" i="3"/>
  <c r="T211" i="3"/>
  <c r="U211" i="3" s="1"/>
  <c r="T225" i="3"/>
  <c r="T239" i="3"/>
  <c r="U239" i="3" s="1"/>
  <c r="T253" i="3"/>
  <c r="U253" i="3" s="1"/>
  <c r="T267" i="3"/>
  <c r="U267" i="3" s="1"/>
  <c r="T281" i="3"/>
  <c r="U281" i="3" s="1"/>
  <c r="T295" i="3"/>
  <c r="T309" i="3"/>
  <c r="U309" i="3" s="1"/>
  <c r="T323" i="3"/>
  <c r="U323" i="3" s="1"/>
  <c r="T337" i="3"/>
  <c r="T351" i="3"/>
  <c r="T365" i="3"/>
  <c r="U365" i="3" s="1"/>
  <c r="T379" i="3"/>
  <c r="U379" i="3" s="1"/>
  <c r="T393" i="3"/>
  <c r="U393" i="3" s="1"/>
  <c r="T407" i="3"/>
  <c r="U407" i="3" s="1"/>
  <c r="T421" i="3"/>
  <c r="T435" i="3"/>
  <c r="U435" i="3" s="1"/>
  <c r="T449" i="3"/>
  <c r="U449" i="3" s="1"/>
  <c r="T463" i="3"/>
  <c r="T477" i="3"/>
  <c r="U477" i="3" s="1"/>
  <c r="T491" i="3"/>
  <c r="U491" i="3" s="1"/>
  <c r="T13" i="3"/>
  <c r="U13" i="3" s="1"/>
  <c r="T27" i="3"/>
  <c r="T83" i="3"/>
  <c r="U83" i="3" s="1"/>
  <c r="T153" i="3"/>
  <c r="U153" i="3" s="1"/>
  <c r="T209" i="3"/>
  <c r="U209" i="3" s="1"/>
  <c r="T265" i="3"/>
  <c r="U265" i="3" s="1"/>
  <c r="T321" i="3"/>
  <c r="U321" i="3" s="1"/>
  <c r="T363" i="3"/>
  <c r="T419" i="3"/>
  <c r="T475" i="3"/>
  <c r="U475" i="3" s="1"/>
  <c r="T98" i="3"/>
  <c r="U98" i="3" s="1"/>
  <c r="T196" i="3"/>
  <c r="U196" i="3" s="1"/>
  <c r="T266" i="3"/>
  <c r="U266" i="3" s="1"/>
  <c r="T350" i="3"/>
  <c r="U350" i="3" s="1"/>
  <c r="T420" i="3"/>
  <c r="U420" i="3" s="1"/>
  <c r="T490" i="3"/>
  <c r="U490" i="3" s="1"/>
  <c r="T16" i="3"/>
  <c r="U16" i="3" s="1"/>
  <c r="T30" i="3"/>
  <c r="T44" i="3"/>
  <c r="T58" i="3"/>
  <c r="T72" i="3"/>
  <c r="T86" i="3"/>
  <c r="U86" i="3" s="1"/>
  <c r="T100" i="3"/>
  <c r="T114" i="3"/>
  <c r="U114" i="3" s="1"/>
  <c r="T128" i="3"/>
  <c r="U128" i="3" s="1"/>
  <c r="T142" i="3"/>
  <c r="U142" i="3" s="1"/>
  <c r="T156" i="3"/>
  <c r="T170" i="3"/>
  <c r="T184" i="3"/>
  <c r="T198" i="3"/>
  <c r="U198" i="3" s="1"/>
  <c r="T212" i="3"/>
  <c r="U212" i="3" s="1"/>
  <c r="T226" i="3"/>
  <c r="T240" i="3"/>
  <c r="T254" i="3"/>
  <c r="U254" i="3" s="1"/>
  <c r="T268" i="3"/>
  <c r="U268" i="3" s="1"/>
  <c r="T282" i="3"/>
  <c r="U282" i="3" s="1"/>
  <c r="T296" i="3"/>
  <c r="U296" i="3" s="1"/>
  <c r="T310" i="3"/>
  <c r="U310" i="3" s="1"/>
  <c r="T324" i="3"/>
  <c r="U324" i="3" s="1"/>
  <c r="T338" i="3"/>
  <c r="T352" i="3"/>
  <c r="T366" i="3"/>
  <c r="T380" i="3"/>
  <c r="T394" i="3"/>
  <c r="T408" i="3"/>
  <c r="U408" i="3" s="1"/>
  <c r="T422" i="3"/>
  <c r="T436" i="3"/>
  <c r="U436" i="3" s="1"/>
  <c r="T450" i="3"/>
  <c r="T464" i="3"/>
  <c r="U464" i="3" s="1"/>
  <c r="T478" i="3"/>
  <c r="U478" i="3" s="1"/>
  <c r="T492" i="3"/>
  <c r="U492" i="3" s="1"/>
  <c r="T55" i="3"/>
  <c r="T97" i="3"/>
  <c r="U97" i="3" s="1"/>
  <c r="T139" i="3"/>
  <c r="U139" i="3" s="1"/>
  <c r="T195" i="3"/>
  <c r="T251" i="3"/>
  <c r="U251" i="3" s="1"/>
  <c r="T293" i="3"/>
  <c r="U293" i="3" s="1"/>
  <c r="T349" i="3"/>
  <c r="U349" i="3" s="1"/>
  <c r="T405" i="3"/>
  <c r="U405" i="3" s="1"/>
  <c r="T489" i="3"/>
  <c r="U489" i="3" s="1"/>
  <c r="T84" i="3"/>
  <c r="U84" i="3" s="1"/>
  <c r="T182" i="3"/>
  <c r="T252" i="3"/>
  <c r="T336" i="3"/>
  <c r="U336" i="3" s="1"/>
  <c r="T392" i="3"/>
  <c r="U392" i="3" s="1"/>
  <c r="T434" i="3"/>
  <c r="U434" i="3" s="1"/>
  <c r="T476" i="3"/>
  <c r="U476" i="3" s="1"/>
  <c r="T10" i="3"/>
  <c r="T17" i="3"/>
  <c r="T31" i="3"/>
  <c r="U31" i="3" s="1"/>
  <c r="T45" i="3"/>
  <c r="U45" i="3" s="1"/>
  <c r="T59" i="3"/>
  <c r="U59" i="3" s="1"/>
  <c r="T73" i="3"/>
  <c r="T87" i="3"/>
  <c r="T101" i="3"/>
  <c r="U101" i="3" s="1"/>
  <c r="T115" i="3"/>
  <c r="U115" i="3" s="1"/>
  <c r="T129" i="3"/>
  <c r="U129" i="3" s="1"/>
  <c r="T143" i="3"/>
  <c r="U143" i="3" s="1"/>
  <c r="T157" i="3"/>
  <c r="T171" i="3"/>
  <c r="U171" i="3" s="1"/>
  <c r="T185" i="3"/>
  <c r="U185" i="3" s="1"/>
  <c r="T199" i="3"/>
  <c r="U199" i="3" s="1"/>
  <c r="T213" i="3"/>
  <c r="U213" i="3" s="1"/>
  <c r="T227" i="3"/>
  <c r="U227" i="3" s="1"/>
  <c r="T241" i="3"/>
  <c r="U241" i="3" s="1"/>
  <c r="T255" i="3"/>
  <c r="T269" i="3"/>
  <c r="U269" i="3" s="1"/>
  <c r="T283" i="3"/>
  <c r="U283" i="3" s="1"/>
  <c r="T297" i="3"/>
  <c r="U297" i="3" s="1"/>
  <c r="T311" i="3"/>
  <c r="T325" i="3"/>
  <c r="T339" i="3"/>
  <c r="U339" i="3" s="1"/>
  <c r="T353" i="3"/>
  <c r="T367" i="3"/>
  <c r="T381" i="3"/>
  <c r="U381" i="3" s="1"/>
  <c r="T395" i="3"/>
  <c r="U395" i="3" s="1"/>
  <c r="T409" i="3"/>
  <c r="U409" i="3" s="1"/>
  <c r="T423" i="3"/>
  <c r="T437" i="3"/>
  <c r="T451" i="3"/>
  <c r="T465" i="3"/>
  <c r="U465" i="3" s="1"/>
  <c r="T479" i="3"/>
  <c r="U479" i="3" s="1"/>
  <c r="T493" i="3"/>
  <c r="T14" i="3"/>
  <c r="T42" i="3"/>
  <c r="T70" i="3"/>
  <c r="T112" i="3"/>
  <c r="U112" i="3" s="1"/>
  <c r="T140" i="3"/>
  <c r="U140" i="3" s="1"/>
  <c r="T168" i="3"/>
  <c r="T224" i="3"/>
  <c r="T280" i="3"/>
  <c r="U280" i="3" s="1"/>
  <c r="T322" i="3"/>
  <c r="T364" i="3"/>
  <c r="U364" i="3" s="1"/>
  <c r="T406" i="3"/>
  <c r="U406" i="3" s="1"/>
  <c r="T3" i="3"/>
  <c r="U3" i="3" s="1"/>
  <c r="T18" i="3"/>
  <c r="U18" i="3" s="1"/>
  <c r="T32" i="3"/>
  <c r="U32" i="3" s="1"/>
  <c r="T46" i="3"/>
  <c r="T60" i="3"/>
  <c r="U60" i="3" s="1"/>
  <c r="T74" i="3"/>
  <c r="U74" i="3" s="1"/>
  <c r="T88" i="3"/>
  <c r="T102" i="3"/>
  <c r="U102" i="3" s="1"/>
  <c r="T116" i="3"/>
  <c r="U116" i="3" s="1"/>
  <c r="T130" i="3"/>
  <c r="U130" i="3" s="1"/>
  <c r="T144" i="3"/>
  <c r="T158" i="3"/>
  <c r="U158" i="3" s="1"/>
  <c r="T172" i="3"/>
  <c r="U172" i="3" s="1"/>
  <c r="T186" i="3"/>
  <c r="T200" i="3"/>
  <c r="U200" i="3" s="1"/>
  <c r="T214" i="3"/>
  <c r="U214" i="3" s="1"/>
  <c r="T228" i="3"/>
  <c r="U228" i="3" s="1"/>
  <c r="T242" i="3"/>
  <c r="U242" i="3" s="1"/>
  <c r="T256" i="3"/>
  <c r="U256" i="3" s="1"/>
  <c r="T270" i="3"/>
  <c r="U270" i="3" s="1"/>
  <c r="T284" i="3"/>
  <c r="T298" i="3"/>
  <c r="T312" i="3"/>
  <c r="T326" i="3"/>
  <c r="U326" i="3" s="1"/>
  <c r="T340" i="3"/>
  <c r="T354" i="3"/>
  <c r="U354" i="3" s="1"/>
  <c r="T368" i="3"/>
  <c r="T382" i="3"/>
  <c r="T396" i="3"/>
  <c r="T410" i="3"/>
  <c r="U410" i="3" s="1"/>
  <c r="T424" i="3"/>
  <c r="U424" i="3" s="1"/>
  <c r="T438" i="3"/>
  <c r="T452" i="3"/>
  <c r="U452" i="3" s="1"/>
  <c r="T466" i="3"/>
  <c r="U466" i="3" s="1"/>
  <c r="T480" i="3"/>
  <c r="U480" i="3" s="1"/>
  <c r="T494" i="3"/>
  <c r="T69" i="3"/>
  <c r="T125" i="3"/>
  <c r="U125" i="3" s="1"/>
  <c r="T181" i="3"/>
  <c r="U181" i="3" s="1"/>
  <c r="T223" i="3"/>
  <c r="U223" i="3" s="1"/>
  <c r="T279" i="3"/>
  <c r="T335" i="3"/>
  <c r="T391" i="3"/>
  <c r="T433" i="3"/>
  <c r="U433" i="3" s="1"/>
  <c r="T447" i="3"/>
  <c r="U447" i="3" s="1"/>
  <c r="T56" i="3"/>
  <c r="T154" i="3"/>
  <c r="U154" i="3" s="1"/>
  <c r="T238" i="3"/>
  <c r="U238" i="3" s="1"/>
  <c r="T308" i="3"/>
  <c r="U308" i="3" s="1"/>
  <c r="T378" i="3"/>
  <c r="U378" i="3" s="1"/>
  <c r="T462" i="3"/>
  <c r="T4" i="3"/>
  <c r="U4" i="3" s="1"/>
  <c r="T19" i="3"/>
  <c r="U19" i="3" s="1"/>
  <c r="T33" i="3"/>
  <c r="T47" i="3"/>
  <c r="T61" i="3"/>
  <c r="T75" i="3"/>
  <c r="T89" i="3"/>
  <c r="T103" i="3"/>
  <c r="U103" i="3" s="1"/>
  <c r="T117" i="3"/>
  <c r="U117" i="3" s="1"/>
  <c r="T131" i="3"/>
  <c r="U131" i="3" s="1"/>
  <c r="T145" i="3"/>
  <c r="U145" i="3" s="1"/>
  <c r="T159" i="3"/>
  <c r="T173" i="3"/>
  <c r="U173" i="3" s="1"/>
  <c r="T187" i="3"/>
  <c r="T201" i="3"/>
  <c r="U201" i="3" s="1"/>
  <c r="T215" i="3"/>
  <c r="U215" i="3" s="1"/>
  <c r="T229" i="3"/>
  <c r="U229" i="3" s="1"/>
  <c r="T243" i="3"/>
  <c r="U243" i="3" s="1"/>
  <c r="T257" i="3"/>
  <c r="T271" i="3"/>
  <c r="T285" i="3"/>
  <c r="T299" i="3"/>
  <c r="U299" i="3" s="1"/>
  <c r="T313" i="3"/>
  <c r="T327" i="3"/>
  <c r="T341" i="3"/>
  <c r="T355" i="3"/>
  <c r="T369" i="3"/>
  <c r="T383" i="3"/>
  <c r="U383" i="3" s="1"/>
  <c r="T397" i="3"/>
  <c r="T411" i="3"/>
  <c r="U411" i="3" s="1"/>
  <c r="T425" i="3"/>
  <c r="T439" i="3"/>
  <c r="T453" i="3"/>
  <c r="T467" i="3"/>
  <c r="T481" i="3"/>
  <c r="T495" i="3"/>
  <c r="U495" i="3" s="1"/>
  <c r="T5" i="3"/>
  <c r="T20" i="3"/>
  <c r="T34" i="3"/>
  <c r="U34" i="3" s="1"/>
  <c r="T48" i="3"/>
  <c r="T62" i="3"/>
  <c r="U62" i="3" s="1"/>
  <c r="T76" i="3"/>
  <c r="T90" i="3"/>
  <c r="T104" i="3"/>
  <c r="T118" i="3"/>
  <c r="U118" i="3" s="1"/>
  <c r="T132" i="3"/>
  <c r="T146" i="3"/>
  <c r="T160" i="3"/>
  <c r="T174" i="3"/>
  <c r="T188" i="3"/>
  <c r="U188" i="3" s="1"/>
  <c r="T202" i="3"/>
  <c r="U202" i="3" s="1"/>
  <c r="T216" i="3"/>
  <c r="U216" i="3" s="1"/>
  <c r="T230" i="3"/>
  <c r="U230" i="3" s="1"/>
  <c r="T244" i="3"/>
  <c r="U244" i="3" s="1"/>
  <c r="T258" i="3"/>
  <c r="T272" i="3"/>
  <c r="U272" i="3" s="1"/>
  <c r="T286" i="3"/>
  <c r="U286" i="3" s="1"/>
  <c r="T300" i="3"/>
  <c r="U300" i="3" s="1"/>
  <c r="T314" i="3"/>
  <c r="U314" i="3" s="1"/>
  <c r="T328" i="3"/>
  <c r="T342" i="3"/>
  <c r="T356" i="3"/>
  <c r="T370" i="3"/>
  <c r="T384" i="3"/>
  <c r="U384" i="3" s="1"/>
  <c r="T398" i="3"/>
  <c r="T412" i="3"/>
  <c r="T426" i="3"/>
  <c r="T440" i="3"/>
  <c r="T454" i="3"/>
  <c r="U454" i="3" s="1"/>
  <c r="T468" i="3"/>
  <c r="U468" i="3" s="1"/>
  <c r="T482" i="3"/>
  <c r="T496" i="3"/>
  <c r="T6" i="3"/>
  <c r="T21" i="3"/>
  <c r="T35" i="3"/>
  <c r="U35" i="3" s="1"/>
  <c r="T49" i="3"/>
  <c r="T63" i="3"/>
  <c r="U63" i="3" s="1"/>
  <c r="T77" i="3"/>
  <c r="T91" i="3"/>
  <c r="U91" i="3" s="1"/>
  <c r="T105" i="3"/>
  <c r="T119" i="3"/>
  <c r="U119" i="3" s="1"/>
  <c r="T133" i="3"/>
  <c r="U133" i="3" s="1"/>
  <c r="T147" i="3"/>
  <c r="T161" i="3"/>
  <c r="T175" i="3"/>
  <c r="T189" i="3"/>
  <c r="T203" i="3"/>
  <c r="T217" i="3"/>
  <c r="U217" i="3" s="1"/>
  <c r="T231" i="3"/>
  <c r="T245" i="3"/>
  <c r="T259" i="3"/>
  <c r="T273" i="3"/>
  <c r="U273" i="3" s="1"/>
  <c r="T287" i="3"/>
  <c r="T301" i="3"/>
  <c r="U301" i="3" s="1"/>
  <c r="T315" i="3"/>
  <c r="T329" i="3"/>
  <c r="U329" i="3" s="1"/>
  <c r="T343" i="3"/>
  <c r="T357" i="3"/>
  <c r="U357" i="3" s="1"/>
  <c r="T371" i="3"/>
  <c r="T385" i="3"/>
  <c r="T399" i="3"/>
  <c r="T413" i="3"/>
  <c r="T427" i="3"/>
  <c r="T441" i="3"/>
  <c r="U441" i="3" s="1"/>
  <c r="T455" i="3"/>
  <c r="T469" i="3"/>
  <c r="T483" i="3"/>
  <c r="H7" i="3"/>
  <c r="V2" i="3" a="1"/>
  <c r="N425" i="1" l="1"/>
  <c r="M426" i="1"/>
  <c r="S187" i="1"/>
  <c r="U187" i="1" s="1"/>
  <c r="U184" i="1"/>
  <c r="N184" i="1"/>
  <c r="S182" i="1"/>
  <c r="U182" i="1" s="1"/>
  <c r="S185" i="1"/>
  <c r="U185" i="1" s="1"/>
  <c r="G15" i="3"/>
  <c r="I15" i="3" s="1"/>
  <c r="X349" i="3"/>
  <c r="X308" i="3"/>
  <c r="Y84" i="3"/>
  <c r="Y323" i="3"/>
  <c r="Y281" i="3"/>
  <c r="Y35" i="3"/>
  <c r="X37" i="3"/>
  <c r="X201" i="3"/>
  <c r="Y487" i="3"/>
  <c r="X441" i="3"/>
  <c r="X98" i="3"/>
  <c r="W244" i="3"/>
  <c r="Y266" i="3"/>
  <c r="Y129" i="3"/>
  <c r="Y395" i="3"/>
  <c r="Y381" i="3"/>
  <c r="Y265" i="3"/>
  <c r="Y379" i="3"/>
  <c r="X374" i="3"/>
  <c r="Y199" i="3"/>
  <c r="Z24" i="3"/>
  <c r="Y24" i="3"/>
  <c r="X321" i="3"/>
  <c r="Y378" i="3"/>
  <c r="Z155" i="3"/>
  <c r="X212" i="3"/>
  <c r="Y166" i="3"/>
  <c r="Y169" i="3"/>
  <c r="X221" i="3"/>
  <c r="Y434" i="3"/>
  <c r="Y183" i="3"/>
  <c r="X464" i="3"/>
  <c r="X268" i="3"/>
  <c r="X216" i="3"/>
  <c r="X357" i="3"/>
  <c r="X62" i="3"/>
  <c r="X83" i="3"/>
  <c r="X180" i="3"/>
  <c r="W411" i="3"/>
  <c r="X215" i="3"/>
  <c r="X97" i="3"/>
  <c r="W452" i="3"/>
  <c r="Z239" i="3"/>
  <c r="X296" i="3"/>
  <c r="W339" i="3"/>
  <c r="Y383" i="3"/>
  <c r="X172" i="3"/>
  <c r="W18" i="3"/>
  <c r="X154" i="3"/>
  <c r="W299" i="3"/>
  <c r="X272" i="3"/>
  <c r="Y354" i="3"/>
  <c r="W158" i="3"/>
  <c r="X256" i="3"/>
  <c r="Y227" i="3"/>
  <c r="X253" i="3"/>
  <c r="W443" i="3"/>
  <c r="X213" i="3"/>
  <c r="Z420" i="3"/>
  <c r="W131" i="3"/>
  <c r="W121" i="3"/>
  <c r="Y16" i="3"/>
  <c r="W273" i="3"/>
  <c r="Y117" i="3"/>
  <c r="W16" i="3"/>
  <c r="Y348" i="3"/>
  <c r="X127" i="3"/>
  <c r="Y326" i="3"/>
  <c r="Y303" i="3"/>
  <c r="X16" i="3"/>
  <c r="X331" i="3"/>
  <c r="Z238" i="3"/>
  <c r="Y230" i="3"/>
  <c r="W447" i="3"/>
  <c r="Z179" i="3"/>
  <c r="W214" i="3"/>
  <c r="Y101" i="3"/>
  <c r="X228" i="3"/>
  <c r="W310" i="3"/>
  <c r="W267" i="3"/>
  <c r="X153" i="3"/>
  <c r="X490" i="3"/>
  <c r="W410" i="3"/>
  <c r="W317" i="3"/>
  <c r="X476" i="3"/>
  <c r="Z433" i="3"/>
  <c r="Y122" i="3"/>
  <c r="W282" i="3"/>
  <c r="X35" i="3"/>
  <c r="W32" i="3"/>
  <c r="X265" i="3"/>
  <c r="W183" i="3"/>
  <c r="Y12" i="3"/>
  <c r="X24" i="3"/>
  <c r="X4" i="3"/>
  <c r="Y113" i="3"/>
  <c r="X479" i="3"/>
  <c r="W140" i="3"/>
  <c r="W4" i="3"/>
  <c r="W334" i="3"/>
  <c r="W171" i="3"/>
  <c r="W35" i="3"/>
  <c r="X91" i="3"/>
  <c r="W465" i="3"/>
  <c r="U17" i="3"/>
  <c r="W17" i="3" s="1"/>
  <c r="Y59" i="3"/>
  <c r="X22" i="3"/>
  <c r="Y116" i="3"/>
  <c r="X18" i="3"/>
  <c r="Y405" i="3"/>
  <c r="Y209" i="3"/>
  <c r="W124" i="3"/>
  <c r="Y416" i="3"/>
  <c r="W123" i="3"/>
  <c r="Y15" i="3"/>
  <c r="W38" i="3"/>
  <c r="Z502" i="3"/>
  <c r="W471" i="3"/>
  <c r="W449" i="3"/>
  <c r="X492" i="3"/>
  <c r="X491" i="3"/>
  <c r="Y364" i="3"/>
  <c r="U182" i="3"/>
  <c r="X182" i="3" s="1"/>
  <c r="Y220" i="3"/>
  <c r="Y377" i="3"/>
  <c r="Y181" i="3"/>
  <c r="Z292" i="3"/>
  <c r="W219" i="3"/>
  <c r="Y261" i="3"/>
  <c r="Y350" i="3"/>
  <c r="Y466" i="3"/>
  <c r="W336" i="3"/>
  <c r="X214" i="3"/>
  <c r="Y296" i="3"/>
  <c r="Z220" i="3"/>
  <c r="Y165" i="3"/>
  <c r="X346" i="3"/>
  <c r="W415" i="3"/>
  <c r="U49" i="3"/>
  <c r="W49" i="3" s="1"/>
  <c r="U237" i="3"/>
  <c r="W237" i="3" s="1"/>
  <c r="Y62" i="3"/>
  <c r="W74" i="3"/>
  <c r="X74" i="3"/>
  <c r="X113" i="3"/>
  <c r="W141" i="3"/>
  <c r="Y125" i="3"/>
  <c r="W236" i="3"/>
  <c r="Z347" i="3"/>
  <c r="W350" i="3"/>
  <c r="Y74" i="3"/>
  <c r="W478" i="3"/>
  <c r="Y222" i="3"/>
  <c r="Y333" i="3"/>
  <c r="W318" i="3"/>
  <c r="X65" i="3"/>
  <c r="W489" i="3"/>
  <c r="Z293" i="3"/>
  <c r="W404" i="3"/>
  <c r="Y208" i="3"/>
  <c r="U195" i="3"/>
  <c r="W195" i="3" s="1"/>
  <c r="Y308" i="3"/>
  <c r="X126" i="3"/>
  <c r="W62" i="3"/>
  <c r="W475" i="3"/>
  <c r="Z83" i="3"/>
  <c r="Z486" i="3"/>
  <c r="Z290" i="3"/>
  <c r="W221" i="3"/>
  <c r="X270" i="3"/>
  <c r="Y18" i="3"/>
  <c r="Y171" i="3"/>
  <c r="Y477" i="3"/>
  <c r="Z65" i="3"/>
  <c r="Z15" i="3"/>
  <c r="Z461" i="3"/>
  <c r="Z376" i="3"/>
  <c r="Y177" i="3"/>
  <c r="W291" i="3"/>
  <c r="X139" i="3"/>
  <c r="Y139" i="3"/>
  <c r="Y95" i="3"/>
  <c r="X95" i="3"/>
  <c r="X152" i="3"/>
  <c r="Y152" i="3"/>
  <c r="Y179" i="3"/>
  <c r="X318" i="3"/>
  <c r="X93" i="3"/>
  <c r="W331" i="3"/>
  <c r="W79" i="3"/>
  <c r="Y94" i="3"/>
  <c r="Z294" i="3"/>
  <c r="Y314" i="3"/>
  <c r="W223" i="3"/>
  <c r="W94" i="3"/>
  <c r="Y286" i="3"/>
  <c r="W468" i="3"/>
  <c r="W201" i="3"/>
  <c r="X171" i="3"/>
  <c r="W36" i="3"/>
  <c r="U39" i="3"/>
  <c r="Y39" i="3" s="1"/>
  <c r="W65" i="3"/>
  <c r="W424" i="3"/>
  <c r="Y238" i="3"/>
  <c r="W91" i="3"/>
  <c r="X301" i="3"/>
  <c r="Y491" i="3"/>
  <c r="Y45" i="3"/>
  <c r="X185" i="3"/>
  <c r="W477" i="3"/>
  <c r="X436" i="3"/>
  <c r="X179" i="3"/>
  <c r="Y435" i="3"/>
  <c r="Y65" i="3"/>
  <c r="W490" i="3"/>
  <c r="Y475" i="3"/>
  <c r="Y393" i="3"/>
  <c r="X408" i="3"/>
  <c r="Y93" i="3"/>
  <c r="X193" i="3"/>
  <c r="Y123" i="3"/>
  <c r="X183" i="3"/>
  <c r="W445" i="3"/>
  <c r="Y374" i="3"/>
  <c r="U361" i="3"/>
  <c r="Y361" i="3" s="1"/>
  <c r="W37" i="3"/>
  <c r="W253" i="3"/>
  <c r="X229" i="3"/>
  <c r="W241" i="3"/>
  <c r="Y193" i="3"/>
  <c r="W293" i="3"/>
  <c r="Y479" i="3"/>
  <c r="X238" i="3"/>
  <c r="X293" i="3"/>
  <c r="X181" i="3"/>
  <c r="Y492" i="3"/>
  <c r="Z443" i="3"/>
  <c r="W181" i="3"/>
  <c r="X420" i="3"/>
  <c r="W265" i="3"/>
  <c r="Z219" i="3"/>
  <c r="W180" i="3"/>
  <c r="Y346" i="3"/>
  <c r="X378" i="3"/>
  <c r="Y489" i="3"/>
  <c r="X317" i="3"/>
  <c r="Y154" i="3"/>
  <c r="X475" i="3"/>
  <c r="W383" i="3"/>
  <c r="X220" i="3"/>
  <c r="Y219" i="3"/>
  <c r="Z180" i="3"/>
  <c r="Y180" i="3"/>
  <c r="W333" i="3"/>
  <c r="Z416" i="3"/>
  <c r="X333" i="3"/>
  <c r="X223" i="3"/>
  <c r="X125" i="3"/>
  <c r="Y214" i="3"/>
  <c r="W395" i="3"/>
  <c r="Z185" i="3"/>
  <c r="U501" i="3"/>
  <c r="W501" i="3" s="1"/>
  <c r="U419" i="3"/>
  <c r="X419" i="3" s="1"/>
  <c r="U70" i="3"/>
  <c r="W70" i="3" s="1"/>
  <c r="U438" i="3"/>
  <c r="Y438" i="3" s="1"/>
  <c r="Y40" i="3"/>
  <c r="X40" i="3"/>
  <c r="W40" i="3"/>
  <c r="X112" i="3"/>
  <c r="Y32" i="3"/>
  <c r="U500" i="3"/>
  <c r="Y500" i="3" s="1"/>
  <c r="Y112" i="3"/>
  <c r="U418" i="3"/>
  <c r="Z418" i="3" s="1"/>
  <c r="U389" i="3"/>
  <c r="Z389" i="3" s="1"/>
  <c r="U56" i="3"/>
  <c r="Y56" i="3" s="1"/>
  <c r="U458" i="3"/>
  <c r="Y458" i="3" s="1"/>
  <c r="U29" i="3"/>
  <c r="W29" i="3" s="1"/>
  <c r="W101" i="3"/>
  <c r="U390" i="3"/>
  <c r="X390" i="3" s="1"/>
  <c r="X138" i="3"/>
  <c r="W112" i="3"/>
  <c r="U338" i="3"/>
  <c r="Y338" i="3" s="1"/>
  <c r="U33" i="3"/>
  <c r="W33" i="3" s="1"/>
  <c r="Z40" i="3"/>
  <c r="U55" i="3"/>
  <c r="Z55" i="3" s="1"/>
  <c r="U69" i="3"/>
  <c r="Y69" i="3" s="1"/>
  <c r="U109" i="3"/>
  <c r="Y109" i="3" s="1"/>
  <c r="Y250" i="3"/>
  <c r="W250" i="3"/>
  <c r="U391" i="3"/>
  <c r="W391" i="3" s="1"/>
  <c r="U463" i="3"/>
  <c r="W463" i="3" s="1"/>
  <c r="Y25" i="3"/>
  <c r="X25" i="3"/>
  <c r="U499" i="3"/>
  <c r="X499" i="3" s="1"/>
  <c r="U110" i="3"/>
  <c r="X110" i="3" s="1"/>
  <c r="Y233" i="3"/>
  <c r="U437" i="3"/>
  <c r="X437" i="3" s="1"/>
  <c r="X250" i="3"/>
  <c r="W434" i="3"/>
  <c r="X434" i="3"/>
  <c r="U360" i="3"/>
  <c r="Y360" i="3" s="1"/>
  <c r="U462" i="3"/>
  <c r="Y462" i="3" s="1"/>
  <c r="U80" i="3"/>
  <c r="W80" i="3" s="1"/>
  <c r="U459" i="3"/>
  <c r="Z459" i="3" s="1"/>
  <c r="U325" i="3"/>
  <c r="Z325" i="3" s="1"/>
  <c r="X404" i="3"/>
  <c r="U27" i="3"/>
  <c r="W27" i="3" s="1"/>
  <c r="X233" i="3"/>
  <c r="U295" i="3"/>
  <c r="X295" i="3" s="1"/>
  <c r="U85" i="3"/>
  <c r="W85" i="3" s="1"/>
  <c r="U184" i="3"/>
  <c r="Y184" i="3" s="1"/>
  <c r="Y444" i="3"/>
  <c r="X444" i="3"/>
  <c r="U54" i="3"/>
  <c r="Y54" i="3" s="1"/>
  <c r="Z250" i="3"/>
  <c r="Y488" i="3"/>
  <c r="X488" i="3"/>
  <c r="W308" i="3"/>
  <c r="U135" i="3"/>
  <c r="W135" i="3" s="1"/>
  <c r="U335" i="3"/>
  <c r="X335" i="3" s="1"/>
  <c r="U402" i="3"/>
  <c r="W402" i="3" s="1"/>
  <c r="U53" i="3"/>
  <c r="X53" i="3" s="1"/>
  <c r="U359" i="3"/>
  <c r="W359" i="3" s="1"/>
  <c r="Y404" i="3"/>
  <c r="W13" i="3"/>
  <c r="U157" i="3"/>
  <c r="X157" i="3" s="1"/>
  <c r="U81" i="3"/>
  <c r="X81" i="3" s="1"/>
  <c r="U279" i="3"/>
  <c r="W279" i="3" s="1"/>
  <c r="U77" i="3"/>
  <c r="Z77" i="3" s="1"/>
  <c r="U367" i="3"/>
  <c r="Z367" i="3" s="1"/>
  <c r="U136" i="3"/>
  <c r="Y136" i="3" s="1"/>
  <c r="Z401" i="3"/>
  <c r="W347" i="3"/>
  <c r="X406" i="3"/>
  <c r="X13" i="3"/>
  <c r="U353" i="3"/>
  <c r="Y353" i="3" s="1"/>
  <c r="U485" i="3"/>
  <c r="X485" i="3" s="1"/>
  <c r="Z475" i="3"/>
  <c r="U247" i="3"/>
  <c r="Y247" i="3" s="1"/>
  <c r="Y307" i="3"/>
  <c r="Z334" i="3"/>
  <c r="Y79" i="3"/>
  <c r="X79" i="3"/>
  <c r="U432" i="3"/>
  <c r="Z432" i="3" s="1"/>
  <c r="X489" i="3"/>
  <c r="U225" i="3"/>
  <c r="Z225" i="3" s="1"/>
  <c r="U224" i="3"/>
  <c r="Y224" i="3" s="1"/>
  <c r="U351" i="3"/>
  <c r="Y351" i="3" s="1"/>
  <c r="U14" i="3"/>
  <c r="Z14" i="3" s="1"/>
  <c r="X347" i="3"/>
  <c r="X461" i="3"/>
  <c r="Y13" i="3"/>
  <c r="W31" i="3"/>
  <c r="U306" i="3"/>
  <c r="Z306" i="3" s="1"/>
  <c r="Z214" i="3"/>
  <c r="U57" i="3"/>
  <c r="W57" i="3" s="1"/>
  <c r="Y347" i="3"/>
  <c r="U494" i="3"/>
  <c r="W494" i="3" s="1"/>
  <c r="X31" i="3"/>
  <c r="W365" i="3"/>
  <c r="U417" i="3"/>
  <c r="Z417" i="3" s="1"/>
  <c r="Y31" i="3"/>
  <c r="X395" i="3"/>
  <c r="Y365" i="3"/>
  <c r="Z308" i="3"/>
  <c r="U137" i="3"/>
  <c r="X137" i="3" s="1"/>
  <c r="U375" i="3"/>
  <c r="W375" i="3" s="1"/>
  <c r="U42" i="3"/>
  <c r="X42" i="3" s="1"/>
  <c r="W403" i="3"/>
  <c r="W479" i="3"/>
  <c r="Y138" i="3"/>
  <c r="W229" i="3"/>
  <c r="U88" i="3"/>
  <c r="W88" i="3" s="1"/>
  <c r="Y502" i="3"/>
  <c r="X403" i="3"/>
  <c r="U197" i="3"/>
  <c r="X197" i="3" s="1"/>
  <c r="W15" i="3"/>
  <c r="Z410" i="3"/>
  <c r="Z434" i="3"/>
  <c r="U52" i="3"/>
  <c r="Z52" i="3" s="1"/>
  <c r="W488" i="3"/>
  <c r="Y403" i="3"/>
  <c r="Y213" i="3"/>
  <c r="X15" i="3"/>
  <c r="U58" i="3"/>
  <c r="Y58" i="3" s="1"/>
  <c r="U275" i="3"/>
  <c r="Z275" i="3" s="1"/>
  <c r="Z393" i="3"/>
  <c r="U48" i="3"/>
  <c r="Y48" i="3" s="1"/>
  <c r="Y223" i="3"/>
  <c r="X261" i="3"/>
  <c r="Y158" i="3"/>
  <c r="X227" i="3"/>
  <c r="Y420" i="3"/>
  <c r="Y267" i="3"/>
  <c r="W460" i="3"/>
  <c r="U483" i="3"/>
  <c r="Y483" i="3" s="1"/>
  <c r="W227" i="3"/>
  <c r="X460" i="3"/>
  <c r="U100" i="3"/>
  <c r="Z94" i="3"/>
  <c r="Z477" i="3"/>
  <c r="Y3" i="3"/>
  <c r="W59" i="3"/>
  <c r="X116" i="3"/>
  <c r="W326" i="3"/>
  <c r="X63" i="3"/>
  <c r="W93" i="3"/>
  <c r="W139" i="3"/>
  <c r="Y318" i="3"/>
  <c r="Z331" i="3"/>
  <c r="Z265" i="3"/>
  <c r="Y91" i="3"/>
  <c r="X94" i="3"/>
  <c r="Z123" i="3"/>
  <c r="Y99" i="3"/>
  <c r="X45" i="3"/>
  <c r="Y410" i="3"/>
  <c r="Y299" i="3"/>
  <c r="W179" i="3"/>
  <c r="W408" i="3"/>
  <c r="X99" i="3"/>
  <c r="X410" i="3"/>
  <c r="X299" i="3"/>
  <c r="W63" i="3"/>
  <c r="W303" i="3"/>
  <c r="W41" i="3"/>
  <c r="Y153" i="3"/>
  <c r="W84" i="3"/>
  <c r="Y221" i="3"/>
  <c r="X445" i="3"/>
  <c r="Y11" i="3"/>
  <c r="Z269" i="3"/>
  <c r="Z41" i="3"/>
  <c r="X11" i="3"/>
  <c r="Z59" i="3"/>
  <c r="Y41" i="3"/>
  <c r="U482" i="3"/>
  <c r="Z482" i="3" s="1"/>
  <c r="Z130" i="3"/>
  <c r="Y172" i="3"/>
  <c r="W130" i="3"/>
  <c r="Y460" i="3"/>
  <c r="Y445" i="3"/>
  <c r="X123" i="3"/>
  <c r="U322" i="3"/>
  <c r="W322" i="3" s="1"/>
  <c r="W154" i="3"/>
  <c r="W377" i="3"/>
  <c r="Z181" i="3"/>
  <c r="X222" i="3"/>
  <c r="Y217" i="3"/>
  <c r="Y495" i="3"/>
  <c r="X117" i="3"/>
  <c r="X326" i="3"/>
  <c r="W99" i="3"/>
  <c r="Y22" i="3"/>
  <c r="Z99" i="3"/>
  <c r="W11" i="3"/>
  <c r="Y317" i="3"/>
  <c r="Z12" i="3"/>
  <c r="X332" i="3"/>
  <c r="W420" i="3"/>
  <c r="W152" i="3"/>
  <c r="X384" i="3"/>
  <c r="Z152" i="3"/>
  <c r="U264" i="3"/>
  <c r="Y269" i="3"/>
  <c r="Y449" i="3"/>
  <c r="W193" i="3"/>
  <c r="W332" i="3"/>
  <c r="Z84" i="3"/>
  <c r="W436" i="3"/>
  <c r="U46" i="3"/>
  <c r="W46" i="3" s="1"/>
  <c r="U71" i="3"/>
  <c r="Z71" i="3" s="1"/>
  <c r="U431" i="3"/>
  <c r="Z431" i="3" s="1"/>
  <c r="U439" i="3"/>
  <c r="Y439" i="3" s="1"/>
  <c r="U246" i="3"/>
  <c r="X246" i="3" s="1"/>
  <c r="W248" i="3"/>
  <c r="Z248" i="3"/>
  <c r="U423" i="3"/>
  <c r="X423" i="3" s="1"/>
  <c r="U67" i="3"/>
  <c r="X67" i="3" s="1"/>
  <c r="U451" i="3"/>
  <c r="Y451" i="3" s="1"/>
  <c r="U146" i="3"/>
  <c r="W146" i="3" s="1"/>
  <c r="U51" i="3"/>
  <c r="Z51" i="3" s="1"/>
  <c r="Y407" i="3"/>
  <c r="W407" i="3"/>
  <c r="Y448" i="3"/>
  <c r="X448" i="3"/>
  <c r="W448" i="3"/>
  <c r="X210" i="3"/>
  <c r="W210" i="3"/>
  <c r="W103" i="3"/>
  <c r="X103" i="3"/>
  <c r="Y263" i="3"/>
  <c r="W263" i="3"/>
  <c r="X263" i="3"/>
  <c r="X377" i="3"/>
  <c r="Y392" i="3"/>
  <c r="X392" i="3"/>
  <c r="U252" i="3"/>
  <c r="Y252" i="3" s="1"/>
  <c r="U156" i="3"/>
  <c r="X156" i="3" s="1"/>
  <c r="U132" i="3"/>
  <c r="W132" i="3" s="1"/>
  <c r="U50" i="3"/>
  <c r="X50" i="3" s="1"/>
  <c r="U175" i="3"/>
  <c r="W175" i="3" s="1"/>
  <c r="X307" i="3"/>
  <c r="W307" i="3"/>
  <c r="Y119" i="3"/>
  <c r="W119" i="3"/>
  <c r="X119" i="3"/>
  <c r="Y164" i="3"/>
  <c r="X164" i="3"/>
  <c r="W164" i="3"/>
  <c r="W153" i="3"/>
  <c r="Z153" i="3"/>
  <c r="Y292" i="3"/>
  <c r="X292" i="3"/>
  <c r="W292" i="3"/>
  <c r="X131" i="3"/>
  <c r="W378" i="3"/>
  <c r="Y111" i="3"/>
  <c r="X111" i="3"/>
  <c r="W111" i="3"/>
  <c r="Z378" i="3"/>
  <c r="Y163" i="3"/>
  <c r="Z163" i="3"/>
  <c r="Z126" i="3"/>
  <c r="Y126" i="3"/>
  <c r="Z357" i="3"/>
  <c r="U276" i="3"/>
  <c r="Y276" i="3" s="1"/>
  <c r="U170" i="3"/>
  <c r="W170" i="3" s="1"/>
  <c r="U64" i="3"/>
  <c r="W64" i="3" s="1"/>
  <c r="W207" i="3"/>
  <c r="W454" i="3"/>
  <c r="Y454" i="3"/>
  <c r="U73" i="3"/>
  <c r="W73" i="3" s="1"/>
  <c r="U47" i="3"/>
  <c r="W47" i="3" s="1"/>
  <c r="Y305" i="3"/>
  <c r="X305" i="3"/>
  <c r="W305" i="3"/>
  <c r="Z305" i="3"/>
  <c r="W249" i="3"/>
  <c r="Z249" i="3"/>
  <c r="W364" i="3"/>
  <c r="X364" i="3"/>
  <c r="U363" i="3"/>
  <c r="X363" i="3" s="1"/>
  <c r="U61" i="3"/>
  <c r="X61" i="3" s="1"/>
  <c r="U371" i="3"/>
  <c r="W371" i="3" s="1"/>
  <c r="X140" i="3"/>
  <c r="Z140" i="3"/>
  <c r="Y140" i="3"/>
  <c r="W126" i="3"/>
  <c r="Y476" i="3"/>
  <c r="Z476" i="3"/>
  <c r="W476" i="3"/>
  <c r="X251" i="3"/>
  <c r="Y251" i="3"/>
  <c r="Y243" i="3"/>
  <c r="X114" i="3"/>
  <c r="W198" i="3"/>
  <c r="X198" i="3"/>
  <c r="W502" i="3"/>
  <c r="U366" i="3"/>
  <c r="W366" i="3" s="1"/>
  <c r="Y198" i="3"/>
  <c r="Y433" i="3"/>
  <c r="X433" i="3"/>
  <c r="Z457" i="3"/>
  <c r="W457" i="3"/>
  <c r="X457" i="3"/>
  <c r="U352" i="3"/>
  <c r="W352" i="3" s="1"/>
  <c r="Z243" i="3"/>
  <c r="X243" i="3"/>
  <c r="W243" i="3"/>
  <c r="U328" i="3"/>
  <c r="Y328" i="3" s="1"/>
  <c r="U161" i="3"/>
  <c r="Z161" i="3" s="1"/>
  <c r="U442" i="3"/>
  <c r="W442" i="3" s="1"/>
  <c r="W446" i="3"/>
  <c r="Z446" i="3"/>
  <c r="U43" i="3"/>
  <c r="Y43" i="3" s="1"/>
  <c r="U149" i="3"/>
  <c r="X149" i="3" s="1"/>
  <c r="U257" i="3"/>
  <c r="W257" i="3" s="1"/>
  <c r="U342" i="3"/>
  <c r="W342" i="3" s="1"/>
  <c r="U260" i="3"/>
  <c r="Y260" i="3" s="1"/>
  <c r="U456" i="3"/>
  <c r="W456" i="3" s="1"/>
  <c r="Z206" i="3"/>
  <c r="X241" i="3"/>
  <c r="U340" i="3"/>
  <c r="Y340" i="3" s="1"/>
  <c r="Y280" i="3"/>
  <c r="W280" i="3"/>
  <c r="X280" i="3"/>
  <c r="X121" i="3"/>
  <c r="X379" i="3"/>
  <c r="W379" i="3"/>
  <c r="Y457" i="3"/>
  <c r="Y254" i="3"/>
  <c r="X254" i="3"/>
  <c r="Z307" i="3"/>
  <c r="U453" i="3"/>
  <c r="Y453" i="3" s="1"/>
  <c r="Y447" i="3"/>
  <c r="Z447" i="3"/>
  <c r="Y102" i="3"/>
  <c r="X502" i="3"/>
  <c r="W266" i="3"/>
  <c r="X266" i="3"/>
  <c r="W433" i="3"/>
  <c r="W304" i="3"/>
  <c r="Y304" i="3"/>
  <c r="X304" i="3"/>
  <c r="Z304" i="3"/>
  <c r="X449" i="3"/>
  <c r="U396" i="3"/>
  <c r="Z396" i="3" s="1"/>
  <c r="U7" i="3"/>
  <c r="Z7" i="3" s="1"/>
  <c r="U474" i="3"/>
  <c r="Z474" i="3" s="1"/>
  <c r="U271" i="3"/>
  <c r="W271" i="3" s="1"/>
  <c r="U467" i="3"/>
  <c r="X467" i="3" s="1"/>
  <c r="U160" i="3"/>
  <c r="Y160" i="3" s="1"/>
  <c r="U356" i="3"/>
  <c r="U78" i="3"/>
  <c r="W78" i="3" s="1"/>
  <c r="U274" i="3"/>
  <c r="Z274" i="3" s="1"/>
  <c r="U470" i="3"/>
  <c r="Z470" i="3" s="1"/>
  <c r="U23" i="3"/>
  <c r="Y23" i="3" s="1"/>
  <c r="Y118" i="3"/>
  <c r="W118" i="3"/>
  <c r="X416" i="3"/>
  <c r="U75" i="3"/>
  <c r="Z75" i="3" s="1"/>
  <c r="U380" i="3"/>
  <c r="Z380" i="3" s="1"/>
  <c r="U373" i="3"/>
  <c r="Y373" i="3" s="1"/>
  <c r="U26" i="3"/>
  <c r="Z26" i="3" s="1"/>
  <c r="U319" i="3"/>
  <c r="U107" i="3"/>
  <c r="Y107" i="3" s="1"/>
  <c r="Z406" i="3"/>
  <c r="U192" i="3"/>
  <c r="Z192" i="3" s="1"/>
  <c r="Z198" i="3"/>
  <c r="U394" i="3"/>
  <c r="Y394" i="3" s="1"/>
  <c r="U89" i="3"/>
  <c r="W89" i="3" s="1"/>
  <c r="U285" i="3"/>
  <c r="W285" i="3" s="1"/>
  <c r="U481" i="3"/>
  <c r="X481" i="3" s="1"/>
  <c r="U370" i="3"/>
  <c r="Z370" i="3" s="1"/>
  <c r="U203" i="3"/>
  <c r="Z203" i="3" s="1"/>
  <c r="U399" i="3"/>
  <c r="Z399" i="3" s="1"/>
  <c r="U92" i="3"/>
  <c r="Z92" i="3" s="1"/>
  <c r="U288" i="3"/>
  <c r="Z288" i="3" s="1"/>
  <c r="U484" i="3"/>
  <c r="Z484" i="3" s="1"/>
  <c r="X443" i="3"/>
  <c r="U312" i="3"/>
  <c r="W312" i="3" s="1"/>
  <c r="U421" i="3"/>
  <c r="X421" i="3" s="1"/>
  <c r="U66" i="3"/>
  <c r="Z66" i="3" s="1"/>
  <c r="U144" i="3"/>
  <c r="X144" i="3" s="1"/>
  <c r="Z449" i="3"/>
  <c r="U235" i="3"/>
  <c r="Z235" i="3" s="1"/>
  <c r="U30" i="3"/>
  <c r="X30" i="3" s="1"/>
  <c r="U226" i="3"/>
  <c r="X226" i="3" s="1"/>
  <c r="U422" i="3"/>
  <c r="W422" i="3" s="1"/>
  <c r="Z117" i="3"/>
  <c r="U313" i="3"/>
  <c r="W313" i="3" s="1"/>
  <c r="U5" i="3"/>
  <c r="X5" i="3" s="1"/>
  <c r="Z202" i="3"/>
  <c r="X202" i="3"/>
  <c r="U398" i="3"/>
  <c r="U120" i="3"/>
  <c r="Y120" i="3" s="1"/>
  <c r="U316" i="3"/>
  <c r="W316" i="3" s="1"/>
  <c r="U6" i="3"/>
  <c r="W6" i="3" s="1"/>
  <c r="U289" i="3"/>
  <c r="X289" i="3" s="1"/>
  <c r="U368" i="3"/>
  <c r="Z368" i="3" s="1"/>
  <c r="U382" i="3"/>
  <c r="X382" i="3" s="1"/>
  <c r="U473" i="3"/>
  <c r="Z473" i="3" s="1"/>
  <c r="U240" i="3"/>
  <c r="W240" i="3" s="1"/>
  <c r="Z216" i="3"/>
  <c r="U412" i="3"/>
  <c r="Z412" i="3" s="1"/>
  <c r="U245" i="3"/>
  <c r="X245" i="3" s="1"/>
  <c r="Z441" i="3"/>
  <c r="U134" i="3"/>
  <c r="Z134" i="3" s="1"/>
  <c r="U330" i="3"/>
  <c r="Z330" i="3" s="1"/>
  <c r="U44" i="3"/>
  <c r="W44" i="3" s="1"/>
  <c r="U262" i="3"/>
  <c r="Y262" i="3" s="1"/>
  <c r="U278" i="3"/>
  <c r="X278" i="3" s="1"/>
  <c r="U426" i="3"/>
  <c r="Y426" i="3" s="1"/>
  <c r="Y486" i="3"/>
  <c r="W461" i="3"/>
  <c r="Y293" i="3"/>
  <c r="W272" i="3"/>
  <c r="U362" i="3"/>
  <c r="Y362" i="3" s="1"/>
  <c r="Y441" i="3"/>
  <c r="W401" i="3"/>
  <c r="X401" i="3"/>
  <c r="W384" i="3"/>
  <c r="X173" i="3"/>
  <c r="Y173" i="3"/>
  <c r="W173" i="3"/>
  <c r="Z349" i="3"/>
  <c r="Z436" i="3"/>
  <c r="Y480" i="3"/>
  <c r="X480" i="3"/>
  <c r="W480" i="3"/>
  <c r="U191" i="3"/>
  <c r="Y191" i="3" s="1"/>
  <c r="Z230" i="3"/>
  <c r="W374" i="3"/>
  <c r="U385" i="3"/>
  <c r="W385" i="3" s="1"/>
  <c r="Y461" i="3"/>
  <c r="W405" i="3"/>
  <c r="W349" i="3"/>
  <c r="X242" i="3"/>
  <c r="W242" i="3"/>
  <c r="U174" i="3"/>
  <c r="Y384" i="3"/>
  <c r="X466" i="3"/>
  <c r="W466" i="3"/>
  <c r="X158" i="3"/>
  <c r="W113" i="3"/>
  <c r="Y309" i="3"/>
  <c r="W309" i="3"/>
  <c r="Z291" i="3"/>
  <c r="Y300" i="3"/>
  <c r="W300" i="3"/>
  <c r="X300" i="3"/>
  <c r="Y436" i="3"/>
  <c r="U20" i="3"/>
  <c r="Y20" i="3" s="1"/>
  <c r="U387" i="3"/>
  <c r="W387" i="3" s="1"/>
  <c r="X188" i="3"/>
  <c r="W188" i="3"/>
  <c r="U105" i="3"/>
  <c r="Z105" i="3" s="1"/>
  <c r="U493" i="3"/>
  <c r="X493" i="3" s="1"/>
  <c r="U450" i="3"/>
  <c r="Z450" i="3" s="1"/>
  <c r="X34" i="3"/>
  <c r="W34" i="3"/>
  <c r="Z34" i="3"/>
  <c r="Y34" i="3"/>
  <c r="U259" i="3"/>
  <c r="W259" i="3" s="1"/>
  <c r="U148" i="3"/>
  <c r="Y148" i="3" s="1"/>
  <c r="U344" i="3"/>
  <c r="U167" i="3"/>
  <c r="X167" i="3" s="1"/>
  <c r="U327" i="3"/>
  <c r="W327" i="3" s="1"/>
  <c r="W261" i="3"/>
  <c r="W348" i="3"/>
  <c r="Y188" i="3"/>
  <c r="X411" i="3"/>
  <c r="Z208" i="3"/>
  <c r="U255" i="3"/>
  <c r="Y255" i="3" s="1"/>
  <c r="U168" i="3"/>
  <c r="Z405" i="3"/>
  <c r="Z254" i="3"/>
  <c r="W254" i="3"/>
  <c r="U341" i="3"/>
  <c r="Y341" i="3" s="1"/>
  <c r="U455" i="3"/>
  <c r="W455" i="3" s="1"/>
  <c r="Y424" i="3"/>
  <c r="X424" i="3"/>
  <c r="W98" i="3"/>
  <c r="W216" i="3"/>
  <c r="X348" i="3"/>
  <c r="U231" i="3"/>
  <c r="X231" i="3" s="1"/>
  <c r="U427" i="3"/>
  <c r="Y427" i="3" s="1"/>
  <c r="X118" i="3"/>
  <c r="W202" i="3"/>
  <c r="Y411" i="3"/>
  <c r="Y229" i="3"/>
  <c r="Z131" i="3"/>
  <c r="Y131" i="3"/>
  <c r="U337" i="3"/>
  <c r="Y337" i="3" s="1"/>
  <c r="Z145" i="3"/>
  <c r="U189" i="3"/>
  <c r="Y189" i="3" s="1"/>
  <c r="Y216" i="3"/>
  <c r="Y202" i="3"/>
  <c r="X452" i="3"/>
  <c r="Y452" i="3"/>
  <c r="Y4" i="3"/>
  <c r="Y114" i="3"/>
  <c r="X407" i="3"/>
  <c r="W45" i="3"/>
  <c r="Y297" i="3"/>
  <c r="X477" i="3"/>
  <c r="W492" i="3"/>
  <c r="W296" i="3"/>
  <c r="X86" i="3"/>
  <c r="X365" i="3"/>
  <c r="Z346" i="3"/>
  <c r="Z452" i="3"/>
  <c r="Z45" i="3"/>
  <c r="Z339" i="3"/>
  <c r="Z125" i="3"/>
  <c r="U430" i="3"/>
  <c r="Z430" i="3" s="1"/>
  <c r="Z211" i="3"/>
  <c r="Z16" i="3"/>
  <c r="Z212" i="3"/>
  <c r="Z408" i="3"/>
  <c r="Z103" i="3"/>
  <c r="Z299" i="3"/>
  <c r="Z495" i="3"/>
  <c r="Z188" i="3"/>
  <c r="Z384" i="3"/>
  <c r="Z217" i="3"/>
  <c r="U413" i="3"/>
  <c r="Z413" i="3" s="1"/>
  <c r="U106" i="3"/>
  <c r="Z106" i="3" s="1"/>
  <c r="U302" i="3"/>
  <c r="U498" i="3"/>
  <c r="Z18" i="3"/>
  <c r="W3" i="3"/>
  <c r="Z241" i="3"/>
  <c r="Z154" i="3"/>
  <c r="Z348" i="3"/>
  <c r="Z404" i="3"/>
  <c r="W12" i="3"/>
  <c r="Z333" i="3"/>
  <c r="Z490" i="3"/>
  <c r="Z460" i="3"/>
  <c r="Z487" i="3"/>
  <c r="Y331" i="3"/>
  <c r="Z13" i="3"/>
  <c r="Z354" i="3"/>
  <c r="Z60" i="3"/>
  <c r="Z424" i="3"/>
  <c r="Z228" i="3"/>
  <c r="U284" i="3"/>
  <c r="Y284" i="3" s="1"/>
  <c r="Z124" i="3"/>
  <c r="U429" i="3"/>
  <c r="Z429" i="3" s="1"/>
  <c r="Z210" i="3"/>
  <c r="U10" i="3"/>
  <c r="Z10" i="3" s="1"/>
  <c r="Z268" i="3"/>
  <c r="Z464" i="3"/>
  <c r="U159" i="3"/>
  <c r="Z159" i="3" s="1"/>
  <c r="U355" i="3"/>
  <c r="Z355" i="3" s="1"/>
  <c r="Z244" i="3"/>
  <c r="U440" i="3"/>
  <c r="Z273" i="3"/>
  <c r="U469" i="3"/>
  <c r="Z469" i="3" s="1"/>
  <c r="U162" i="3"/>
  <c r="Z162" i="3" s="1"/>
  <c r="U358" i="3"/>
  <c r="Z358" i="3" s="1"/>
  <c r="Z251" i="3"/>
  <c r="Z392" i="3"/>
  <c r="Z63" i="3"/>
  <c r="Z35" i="3"/>
  <c r="Z115" i="3"/>
  <c r="Z139" i="3"/>
  <c r="Z196" i="3"/>
  <c r="Y443" i="3"/>
  <c r="Z466" i="3"/>
  <c r="Z207" i="3"/>
  <c r="Z171" i="3"/>
  <c r="Z318" i="3"/>
  <c r="Z263" i="3"/>
  <c r="Z223" i="3"/>
  <c r="W222" i="3"/>
  <c r="Z381" i="3"/>
  <c r="X38" i="3"/>
  <c r="X383" i="3"/>
  <c r="W60" i="3"/>
  <c r="X59" i="3"/>
  <c r="W115" i="3"/>
  <c r="W129" i="3"/>
  <c r="W281" i="3"/>
  <c r="Y253" i="3"/>
  <c r="Y408" i="3"/>
  <c r="Y268" i="3"/>
  <c r="U72" i="3"/>
  <c r="X72" i="3" s="1"/>
  <c r="Z205" i="3"/>
  <c r="Z261" i="3"/>
  <c r="Z143" i="3"/>
  <c r="Z448" i="3"/>
  <c r="U234" i="3"/>
  <c r="W234" i="3" s="1"/>
  <c r="W28" i="3"/>
  <c r="Z28" i="3"/>
  <c r="Y28" i="3"/>
  <c r="X28" i="3"/>
  <c r="Z321" i="3"/>
  <c r="Z86" i="3"/>
  <c r="Z282" i="3"/>
  <c r="Z478" i="3"/>
  <c r="Z173" i="3"/>
  <c r="U369" i="3"/>
  <c r="Z62" i="3"/>
  <c r="U258" i="3"/>
  <c r="Z258" i="3" s="1"/>
  <c r="Z454" i="3"/>
  <c r="U287" i="3"/>
  <c r="Z287" i="3" s="1"/>
  <c r="U176" i="3"/>
  <c r="Z176" i="3" s="1"/>
  <c r="U372" i="3"/>
  <c r="Z336" i="3"/>
  <c r="Z395" i="3"/>
  <c r="W392" i="3"/>
  <c r="Y63" i="3"/>
  <c r="Z82" i="3"/>
  <c r="Z377" i="3"/>
  <c r="Z112" i="3"/>
  <c r="Z236" i="3"/>
  <c r="W138" i="3"/>
  <c r="Z303" i="3"/>
  <c r="Z488" i="3"/>
  <c r="W194" i="3"/>
  <c r="Z222" i="3"/>
  <c r="Z379" i="3"/>
  <c r="Y38" i="3"/>
  <c r="Z102" i="3"/>
  <c r="U298" i="3"/>
  <c r="Y298" i="3" s="1"/>
  <c r="Y200" i="3"/>
  <c r="X60" i="3"/>
  <c r="X454" i="3"/>
  <c r="Y283" i="3"/>
  <c r="X115" i="3"/>
  <c r="X129" i="3"/>
  <c r="W381" i="3"/>
  <c r="W185" i="3"/>
  <c r="Y128" i="3"/>
  <c r="X281" i="3"/>
  <c r="Y490" i="3"/>
  <c r="W268" i="3"/>
  <c r="W212" i="3"/>
  <c r="X169" i="3"/>
  <c r="U178" i="3"/>
  <c r="Z178" i="3" s="1"/>
  <c r="Z227" i="3"/>
  <c r="Z166" i="3"/>
  <c r="U472" i="3"/>
  <c r="Z472" i="3" s="1"/>
  <c r="Z253" i="3"/>
  <c r="U345" i="3"/>
  <c r="Z296" i="3"/>
  <c r="Z492" i="3"/>
  <c r="U187" i="3"/>
  <c r="Z187" i="3" s="1"/>
  <c r="Z383" i="3"/>
  <c r="U76" i="3"/>
  <c r="W76" i="3" s="1"/>
  <c r="Z272" i="3"/>
  <c r="Z468" i="3"/>
  <c r="Z301" i="3"/>
  <c r="U497" i="3"/>
  <c r="U190" i="3"/>
  <c r="Z190" i="3" s="1"/>
  <c r="U386" i="3"/>
  <c r="Z283" i="3"/>
  <c r="U311" i="3"/>
  <c r="W311" i="3" s="1"/>
  <c r="Z281" i="3"/>
  <c r="Y37" i="3"/>
  <c r="Y82" i="3"/>
  <c r="Z193" i="3"/>
  <c r="Z280" i="3"/>
  <c r="Z138" i="3"/>
  <c r="Z266" i="3"/>
  <c r="Y194" i="3"/>
  <c r="Z98" i="3"/>
  <c r="Z221" i="3"/>
  <c r="Z38" i="3"/>
  <c r="V377" i="3" s="1"/>
  <c r="Z256" i="3"/>
  <c r="Z199" i="3"/>
  <c r="Z164" i="3"/>
  <c r="Y60" i="3"/>
  <c r="Z332" i="3"/>
  <c r="Z242" i="3"/>
  <c r="Z93" i="3"/>
  <c r="Z365" i="3"/>
  <c r="W24" i="3"/>
  <c r="Z74" i="3"/>
  <c r="Z3" i="3"/>
  <c r="Z141" i="3"/>
  <c r="Z323" i="3"/>
  <c r="Z183" i="3"/>
  <c r="Z415" i="3"/>
  <c r="Z317" i="3"/>
  <c r="Z32" i="3"/>
  <c r="Z409" i="3"/>
  <c r="Z213" i="3"/>
  <c r="Z119" i="3"/>
  <c r="Z31" i="3"/>
  <c r="Z267" i="3"/>
  <c r="Z169" i="3"/>
  <c r="W25" i="3"/>
  <c r="Z309" i="3"/>
  <c r="U151" i="3"/>
  <c r="Z151" i="3" s="1"/>
  <c r="Z177" i="3"/>
  <c r="U186" i="3"/>
  <c r="Z186" i="3" s="1"/>
  <c r="Z491" i="3"/>
  <c r="U277" i="3"/>
  <c r="Z277" i="3" s="1"/>
  <c r="Y68" i="3"/>
  <c r="Z68" i="3"/>
  <c r="X68" i="3"/>
  <c r="W68" i="3"/>
  <c r="Z364" i="3"/>
  <c r="Z114" i="3"/>
  <c r="Z310" i="3"/>
  <c r="Z4" i="3"/>
  <c r="Z201" i="3"/>
  <c r="U397" i="3"/>
  <c r="Z397" i="3" s="1"/>
  <c r="U90" i="3"/>
  <c r="Z90" i="3" s="1"/>
  <c r="Z286" i="3"/>
  <c r="U315" i="3"/>
  <c r="Z315" i="3" s="1"/>
  <c r="Z8" i="3"/>
  <c r="X8" i="3"/>
  <c r="Y8" i="3"/>
  <c r="W8" i="3"/>
  <c r="U204" i="3"/>
  <c r="X204" i="3" s="1"/>
  <c r="U400" i="3"/>
  <c r="Z400" i="3" s="1"/>
  <c r="Z172" i="3"/>
  <c r="Z200" i="3"/>
  <c r="Z489" i="3"/>
  <c r="Z444" i="3"/>
  <c r="Z37" i="3"/>
  <c r="X219" i="3"/>
  <c r="Z465" i="3"/>
  <c r="Z165" i="3"/>
  <c r="Z111" i="3"/>
  <c r="Z326" i="3"/>
  <c r="Z133" i="3"/>
  <c r="Z194" i="3"/>
  <c r="Z471" i="3"/>
  <c r="X200" i="3"/>
  <c r="Y130" i="3"/>
  <c r="X32" i="3"/>
  <c r="W283" i="3"/>
  <c r="X142" i="3"/>
  <c r="Y143" i="3"/>
  <c r="X128" i="3"/>
  <c r="Y332" i="3"/>
  <c r="Y210" i="3"/>
  <c r="Y212" i="3"/>
  <c r="Z122" i="3"/>
  <c r="U150" i="3"/>
  <c r="Z150" i="3" s="1"/>
  <c r="Z209" i="3"/>
  <c r="U9" i="3"/>
  <c r="Z9" i="3" s="1"/>
  <c r="Z297" i="3"/>
  <c r="U87" i="3"/>
  <c r="X87" i="3" s="1"/>
  <c r="U388" i="3"/>
  <c r="Z388" i="3" s="1"/>
  <c r="Z128" i="3"/>
  <c r="Z324" i="3"/>
  <c r="Y19" i="3"/>
  <c r="X19" i="3"/>
  <c r="Z19" i="3"/>
  <c r="W19" i="3"/>
  <c r="Z215" i="3"/>
  <c r="Z411" i="3"/>
  <c r="U104" i="3"/>
  <c r="Z104" i="3" s="1"/>
  <c r="Z300" i="3"/>
  <c r="U496" i="3"/>
  <c r="Z496" i="3" s="1"/>
  <c r="Z329" i="3"/>
  <c r="Z22" i="3"/>
  <c r="W22" i="3"/>
  <c r="U218" i="3"/>
  <c r="Z218" i="3" s="1"/>
  <c r="U414" i="3"/>
  <c r="W95" i="3"/>
  <c r="U96" i="3"/>
  <c r="Z96" i="3" s="1"/>
  <c r="X12" i="3"/>
  <c r="X3" i="3"/>
  <c r="Z403" i="3"/>
  <c r="Z445" i="3"/>
  <c r="Z79" i="3"/>
  <c r="Z129" i="3"/>
  <c r="Z479" i="3"/>
  <c r="Z101" i="3"/>
  <c r="X194" i="3"/>
  <c r="Z116" i="3"/>
  <c r="Z270" i="3"/>
  <c r="W116" i="3"/>
  <c r="Y241" i="3"/>
  <c r="W491" i="3"/>
  <c r="X267" i="3"/>
  <c r="Y141" i="3"/>
  <c r="W143" i="3"/>
  <c r="W128" i="3"/>
  <c r="X155" i="3"/>
  <c r="W324" i="3"/>
  <c r="W169" i="3"/>
  <c r="W220" i="3"/>
  <c r="Z480" i="3"/>
  <c r="Z97" i="3"/>
  <c r="Z121" i="3"/>
  <c r="Z233" i="3"/>
  <c r="U320" i="3"/>
  <c r="Z320" i="3" s="1"/>
  <c r="U108" i="3"/>
  <c r="Z108" i="3" s="1"/>
  <c r="Z407" i="3"/>
  <c r="Z142" i="3"/>
  <c r="Z229" i="3"/>
  <c r="U425" i="3"/>
  <c r="Z425" i="3" s="1"/>
  <c r="Z118" i="3"/>
  <c r="Z314" i="3"/>
  <c r="U147" i="3"/>
  <c r="Z147" i="3" s="1"/>
  <c r="U343" i="3"/>
  <c r="Z343" i="3" s="1"/>
  <c r="Z36" i="3"/>
  <c r="X36" i="3"/>
  <c r="Y36" i="3"/>
  <c r="U232" i="3"/>
  <c r="Z232" i="3" s="1"/>
  <c r="U428" i="3"/>
  <c r="Z428" i="3" s="1"/>
  <c r="Z95" i="3"/>
  <c r="U21" i="3"/>
  <c r="Y21" i="3" s="1"/>
  <c r="Z435" i="3"/>
  <c r="W444" i="3"/>
  <c r="Z25" i="3"/>
  <c r="Z350" i="3"/>
  <c r="Z374" i="3"/>
  <c r="X41" i="3"/>
  <c r="Z158" i="3"/>
  <c r="Z91" i="3"/>
  <c r="Z113" i="3"/>
  <c r="Z11" i="3"/>
  <c r="Z127" i="3"/>
  <c r="X290" i="3"/>
  <c r="W290" i="3"/>
  <c r="X166" i="3"/>
  <c r="W329" i="3"/>
  <c r="X130" i="3"/>
  <c r="W206" i="3"/>
  <c r="X84" i="3"/>
  <c r="W301" i="3"/>
  <c r="W376" i="3"/>
  <c r="X334" i="3"/>
  <c r="Y236" i="3"/>
  <c r="Y329" i="3"/>
  <c r="W228" i="3"/>
  <c r="X199" i="3"/>
  <c r="W409" i="3"/>
  <c r="X339" i="3"/>
  <c r="X143" i="3"/>
  <c r="W127" i="3"/>
  <c r="X82" i="3"/>
  <c r="W82" i="3"/>
  <c r="Y446" i="3"/>
  <c r="Y465" i="3"/>
  <c r="X465" i="3"/>
  <c r="X206" i="3"/>
  <c r="X376" i="3"/>
  <c r="Y334" i="3"/>
  <c r="W233" i="3"/>
  <c r="Y228" i="3"/>
  <c r="W172" i="3"/>
  <c r="X409" i="3"/>
  <c r="Y339" i="3"/>
  <c r="Y127" i="3"/>
  <c r="W464" i="3"/>
  <c r="X303" i="3"/>
  <c r="Y291" i="3"/>
  <c r="X310" i="3"/>
  <c r="W163" i="3"/>
  <c r="W323" i="3"/>
  <c r="W155" i="3"/>
  <c r="Y98" i="3"/>
  <c r="Y468" i="3"/>
  <c r="X468" i="3"/>
  <c r="X323" i="3"/>
  <c r="X329" i="3"/>
  <c r="Y155" i="3"/>
  <c r="Y464" i="3"/>
  <c r="X446" i="3"/>
  <c r="Y301" i="3"/>
  <c r="W217" i="3"/>
  <c r="W354" i="3"/>
  <c r="W270" i="3"/>
  <c r="Y409" i="3"/>
  <c r="Y121" i="3"/>
  <c r="W166" i="3"/>
  <c r="X236" i="3"/>
  <c r="Y273" i="3"/>
  <c r="Y376" i="3"/>
  <c r="Y103" i="3"/>
  <c r="X217" i="3"/>
  <c r="Y242" i="3"/>
  <c r="X354" i="3"/>
  <c r="Y270" i="3"/>
  <c r="X141" i="3"/>
  <c r="X309" i="3"/>
  <c r="X165" i="3"/>
  <c r="W165" i="3"/>
  <c r="X163" i="3"/>
  <c r="W117" i="3"/>
  <c r="W122" i="3"/>
  <c r="X314" i="3"/>
  <c r="Y321" i="3"/>
  <c r="W321" i="3"/>
  <c r="Y97" i="3"/>
  <c r="W97" i="3"/>
  <c r="Y133" i="3"/>
  <c r="W230" i="3"/>
  <c r="W205" i="3"/>
  <c r="X283" i="3"/>
  <c r="Y336" i="3"/>
  <c r="X101" i="3"/>
  <c r="Y86" i="3"/>
  <c r="W441" i="3"/>
  <c r="W269" i="3"/>
  <c r="Y207" i="3"/>
  <c r="Y310" i="3"/>
  <c r="X207" i="3"/>
  <c r="X336" i="3"/>
  <c r="X273" i="3"/>
  <c r="X244" i="3"/>
  <c r="X269" i="3"/>
  <c r="Y206" i="3"/>
  <c r="Y249" i="3"/>
  <c r="X249" i="3"/>
  <c r="X486" i="3"/>
  <c r="W486" i="3"/>
  <c r="W487" i="3"/>
  <c r="X122" i="3"/>
  <c r="X471" i="3"/>
  <c r="W196" i="3"/>
  <c r="W314" i="3"/>
  <c r="Y272" i="3"/>
  <c r="X415" i="3"/>
  <c r="W133" i="3"/>
  <c r="Y401" i="3"/>
  <c r="W357" i="3"/>
  <c r="X230" i="3"/>
  <c r="X205" i="3"/>
  <c r="W286" i="3"/>
  <c r="X211" i="3"/>
  <c r="X324" i="3"/>
  <c r="X282" i="3"/>
  <c r="W86" i="3"/>
  <c r="W239" i="3"/>
  <c r="W199" i="3"/>
  <c r="X102" i="3"/>
  <c r="W102" i="3"/>
  <c r="X487" i="3"/>
  <c r="Y471" i="3"/>
  <c r="W294" i="3"/>
  <c r="X196" i="3"/>
  <c r="Y244" i="3"/>
  <c r="W209" i="3"/>
  <c r="W208" i="3"/>
  <c r="X124" i="3"/>
  <c r="Y415" i="3"/>
  <c r="W177" i="3"/>
  <c r="X133" i="3"/>
  <c r="Y357" i="3"/>
  <c r="Y205" i="3"/>
  <c r="X286" i="3"/>
  <c r="W495" i="3"/>
  <c r="W215" i="3"/>
  <c r="W145" i="3"/>
  <c r="W256" i="3"/>
  <c r="W142" i="3"/>
  <c r="X381" i="3"/>
  <c r="W297" i="3"/>
  <c r="Y185" i="3"/>
  <c r="W393" i="3"/>
  <c r="Y211" i="3"/>
  <c r="X478" i="3"/>
  <c r="Y324" i="3"/>
  <c r="Y282" i="3"/>
  <c r="W435" i="3"/>
  <c r="X239" i="3"/>
  <c r="X291" i="3"/>
  <c r="Y201" i="3"/>
  <c r="Y290" i="3"/>
  <c r="X248" i="3"/>
  <c r="W406" i="3"/>
  <c r="Y406" i="3"/>
  <c r="X294" i="3"/>
  <c r="Y196" i="3"/>
  <c r="X447" i="3"/>
  <c r="X405" i="3"/>
  <c r="W251" i="3"/>
  <c r="X209" i="3"/>
  <c r="W125" i="3"/>
  <c r="Y83" i="3"/>
  <c r="W83" i="3"/>
  <c r="X208" i="3"/>
  <c r="Y124" i="3"/>
  <c r="X177" i="3"/>
  <c r="X495" i="3"/>
  <c r="Y215" i="3"/>
  <c r="Y145" i="3"/>
  <c r="Y256" i="3"/>
  <c r="W200" i="3"/>
  <c r="Y115" i="3"/>
  <c r="W213" i="3"/>
  <c r="Y142" i="3"/>
  <c r="X297" i="3"/>
  <c r="X350" i="3"/>
  <c r="X393" i="3"/>
  <c r="W211" i="3"/>
  <c r="Y478" i="3"/>
  <c r="X435" i="3"/>
  <c r="Y239" i="3"/>
  <c r="W114" i="3"/>
  <c r="W346" i="3"/>
  <c r="W416" i="3"/>
  <c r="Y248" i="3"/>
  <c r="Y294" i="3"/>
  <c r="W238" i="3"/>
  <c r="Y349" i="3"/>
  <c r="X145" i="3"/>
  <c r="N426" i="1" l="1"/>
  <c r="M427" i="1"/>
  <c r="N187" i="1"/>
  <c r="N185" i="1"/>
  <c r="N182" i="1"/>
  <c r="W58" i="3"/>
  <c r="Z49" i="3"/>
  <c r="Y71" i="3"/>
  <c r="G17" i="3"/>
  <c r="G18" i="3" s="1"/>
  <c r="Y61" i="3"/>
  <c r="Z58" i="3"/>
  <c r="Z54" i="3"/>
  <c r="X54" i="3"/>
  <c r="Y81" i="3"/>
  <c r="Z53" i="3"/>
  <c r="W54" i="3"/>
  <c r="Z80" i="3"/>
  <c r="W56" i="3"/>
  <c r="Y73" i="3"/>
  <c r="Y67" i="3"/>
  <c r="X56" i="3"/>
  <c r="Y76" i="3"/>
  <c r="Z61" i="3"/>
  <c r="Z56" i="3"/>
  <c r="Z57" i="3"/>
  <c r="W67" i="3"/>
  <c r="Y66" i="3"/>
  <c r="Y53" i="3"/>
  <c r="X58" i="3"/>
  <c r="Z73" i="3"/>
  <c r="W69" i="3"/>
  <c r="X73" i="3"/>
  <c r="Z85" i="3"/>
  <c r="X55" i="3"/>
  <c r="Y80" i="3"/>
  <c r="W53" i="3"/>
  <c r="Z50" i="3"/>
  <c r="Y57" i="3"/>
  <c r="Y70" i="3"/>
  <c r="W71" i="3"/>
  <c r="X52" i="3"/>
  <c r="X66" i="3"/>
  <c r="X71" i="3"/>
  <c r="X69" i="3"/>
  <c r="X78" i="3"/>
  <c r="Y77" i="3"/>
  <c r="X70" i="3"/>
  <c r="Z64" i="3"/>
  <c r="W77" i="3"/>
  <c r="Z78" i="3"/>
  <c r="Z69" i="3"/>
  <c r="Z87" i="3"/>
  <c r="Z70" i="3"/>
  <c r="X64" i="3"/>
  <c r="X77" i="3"/>
  <c r="Y55" i="3"/>
  <c r="Y64" i="3"/>
  <c r="Y51" i="3"/>
  <c r="X76" i="3"/>
  <c r="Z72" i="3"/>
  <c r="W55" i="3"/>
  <c r="Z88" i="3"/>
  <c r="X75" i="3"/>
  <c r="W51" i="3"/>
  <c r="Z67" i="3"/>
  <c r="W75" i="3"/>
  <c r="Y78" i="3"/>
  <c r="Y75" i="3"/>
  <c r="X51" i="3"/>
  <c r="Y52" i="3"/>
  <c r="Z76" i="3"/>
  <c r="W66" i="3"/>
  <c r="Z89" i="3"/>
  <c r="W61" i="3"/>
  <c r="W72" i="3"/>
  <c r="Y72" i="3"/>
  <c r="Y50" i="3"/>
  <c r="Z81" i="3"/>
  <c r="X57" i="3"/>
  <c r="X49" i="3"/>
  <c r="Y49" i="3"/>
  <c r="Z20" i="3"/>
  <c r="V489" i="3"/>
  <c r="V244" i="3"/>
  <c r="X39" i="3"/>
  <c r="Y14" i="3"/>
  <c r="Y17" i="3"/>
  <c r="Z458" i="3"/>
  <c r="X7" i="3"/>
  <c r="Z5" i="3"/>
  <c r="Z6" i="3"/>
  <c r="X17" i="3"/>
  <c r="W7" i="3"/>
  <c r="Y9" i="3"/>
  <c r="Y225" i="3"/>
  <c r="X458" i="3"/>
  <c r="X279" i="3"/>
  <c r="W20" i="3"/>
  <c r="X6" i="3"/>
  <c r="Z46" i="3"/>
  <c r="Z47" i="3"/>
  <c r="Y7" i="3"/>
  <c r="Z17" i="3"/>
  <c r="Y463" i="3"/>
  <c r="Z27" i="3"/>
  <c r="X20" i="3"/>
  <c r="W109" i="3"/>
  <c r="X14" i="3"/>
  <c r="Z39" i="3"/>
  <c r="Z43" i="3"/>
  <c r="Z48" i="3"/>
  <c r="W42" i="3"/>
  <c r="W48" i="3"/>
  <c r="Y42" i="3"/>
  <c r="Y5" i="3"/>
  <c r="W458" i="3"/>
  <c r="Y367" i="3"/>
  <c r="Y46" i="3"/>
  <c r="W21" i="3"/>
  <c r="Z42" i="3"/>
  <c r="Y10" i="3"/>
  <c r="W43" i="3"/>
  <c r="W50" i="3"/>
  <c r="X46" i="3"/>
  <c r="W10" i="3"/>
  <c r="X43" i="3"/>
  <c r="W52" i="3"/>
  <c r="X48" i="3"/>
  <c r="Y195" i="3"/>
  <c r="Y501" i="3"/>
  <c r="Z195" i="3"/>
  <c r="W23" i="3"/>
  <c r="X44" i="3"/>
  <c r="W225" i="3"/>
  <c r="X10" i="3"/>
  <c r="W9" i="3"/>
  <c r="Z29" i="3"/>
  <c r="Y26" i="3"/>
  <c r="X29" i="3"/>
  <c r="Z44" i="3"/>
  <c r="Y30" i="3"/>
  <c r="W30" i="3"/>
  <c r="X33" i="3"/>
  <c r="X9" i="3"/>
  <c r="Z21" i="3"/>
  <c r="Z33" i="3"/>
  <c r="Z30" i="3"/>
  <c r="X26" i="3"/>
  <c r="Y33" i="3"/>
  <c r="W39" i="3"/>
  <c r="Y29" i="3"/>
  <c r="X23" i="3"/>
  <c r="W26" i="3"/>
  <c r="Z23" i="3"/>
  <c r="X47" i="3"/>
  <c r="Y44" i="3"/>
  <c r="Y27" i="3"/>
  <c r="Y6" i="3"/>
  <c r="W5" i="3"/>
  <c r="X27" i="3"/>
  <c r="W14" i="3"/>
  <c r="X21" i="3"/>
  <c r="Y47" i="3"/>
  <c r="W382" i="3"/>
  <c r="W276" i="3"/>
  <c r="Z136" i="3"/>
  <c r="V449" i="3"/>
  <c r="W325" i="3"/>
  <c r="V290" i="3"/>
  <c r="V122" i="3"/>
  <c r="W417" i="3"/>
  <c r="V427" i="3"/>
  <c r="Z501" i="3"/>
  <c r="Z451" i="3"/>
  <c r="X257" i="3"/>
  <c r="V356" i="3"/>
  <c r="X109" i="3"/>
  <c r="Y482" i="3"/>
  <c r="X195" i="3"/>
  <c r="Y226" i="3"/>
  <c r="Y295" i="3"/>
  <c r="W482" i="3"/>
  <c r="W394" i="3"/>
  <c r="Y237" i="3"/>
  <c r="V294" i="3"/>
  <c r="X275" i="3"/>
  <c r="W255" i="3"/>
  <c r="Z483" i="3"/>
  <c r="W182" i="3"/>
  <c r="Y182" i="3"/>
  <c r="V464" i="3"/>
  <c r="V310" i="3"/>
  <c r="V409" i="3"/>
  <c r="V164" i="3"/>
  <c r="V201" i="3"/>
  <c r="Z182" i="3"/>
  <c r="Z427" i="3"/>
  <c r="V354" i="3"/>
  <c r="Z109" i="3"/>
  <c r="Y459" i="3"/>
  <c r="Z247" i="3"/>
  <c r="X455" i="3"/>
  <c r="X483" i="3"/>
  <c r="Z149" i="3"/>
  <c r="Z351" i="3"/>
  <c r="X341" i="3"/>
  <c r="Y245" i="3"/>
  <c r="Z245" i="3"/>
  <c r="Z359" i="3"/>
  <c r="X352" i="3"/>
  <c r="W451" i="3"/>
  <c r="X224" i="3"/>
  <c r="W499" i="3"/>
  <c r="X361" i="3"/>
  <c r="W481" i="3"/>
  <c r="W184" i="3"/>
  <c r="V256" i="3"/>
  <c r="W191" i="3"/>
  <c r="Z499" i="3"/>
  <c r="X338" i="3"/>
  <c r="V5" i="3"/>
  <c r="Y327" i="3"/>
  <c r="X237" i="3"/>
  <c r="W430" i="3"/>
  <c r="V238" i="3"/>
  <c r="Z289" i="3"/>
  <c r="Z361" i="3"/>
  <c r="Y135" i="3"/>
  <c r="V156" i="3"/>
  <c r="Z237" i="3"/>
  <c r="Y382" i="3"/>
  <c r="Y156" i="3"/>
  <c r="Y110" i="3"/>
  <c r="X135" i="3"/>
  <c r="X387" i="3"/>
  <c r="W231" i="3"/>
  <c r="X225" i="3"/>
  <c r="W245" i="3"/>
  <c r="Y481" i="3"/>
  <c r="W361" i="3"/>
  <c r="X501" i="3"/>
  <c r="Z335" i="3"/>
  <c r="Y85" i="3"/>
  <c r="Y390" i="3"/>
  <c r="Y285" i="3"/>
  <c r="Y312" i="3"/>
  <c r="Z295" i="3"/>
  <c r="Y342" i="3"/>
  <c r="Y161" i="3"/>
  <c r="Z312" i="3"/>
  <c r="Z356" i="3"/>
  <c r="W418" i="3"/>
  <c r="X462" i="3"/>
  <c r="Z231" i="3"/>
  <c r="Z485" i="3"/>
  <c r="Z402" i="3"/>
  <c r="Y371" i="3"/>
  <c r="V475" i="3"/>
  <c r="Z426" i="3"/>
  <c r="Z327" i="3"/>
  <c r="X271" i="3"/>
  <c r="Z371" i="3"/>
  <c r="W390" i="3"/>
  <c r="Z463" i="3"/>
  <c r="Z494" i="3"/>
  <c r="Z135" i="3"/>
  <c r="Y352" i="3"/>
  <c r="Y499" i="3"/>
  <c r="W246" i="3"/>
  <c r="Y474" i="3"/>
  <c r="Z262" i="3"/>
  <c r="V202" i="3"/>
  <c r="W110" i="3"/>
  <c r="W136" i="3"/>
  <c r="X327" i="3"/>
  <c r="Y231" i="3"/>
  <c r="W351" i="3"/>
  <c r="Z438" i="3"/>
  <c r="Z462" i="3"/>
  <c r="Z184" i="3"/>
  <c r="Y431" i="3"/>
  <c r="X463" i="3"/>
  <c r="W360" i="3"/>
  <c r="X136" i="3"/>
  <c r="W462" i="3"/>
  <c r="W438" i="3"/>
  <c r="W137" i="3"/>
  <c r="W353" i="3"/>
  <c r="Y396" i="3"/>
  <c r="X186" i="3"/>
  <c r="Z224" i="3"/>
  <c r="W159" i="3"/>
  <c r="W341" i="3"/>
  <c r="X470" i="3"/>
  <c r="X396" i="3"/>
  <c r="W368" i="3"/>
  <c r="X170" i="3"/>
  <c r="W338" i="3"/>
  <c r="X500" i="3"/>
  <c r="Y197" i="3"/>
  <c r="X402" i="3"/>
  <c r="Z353" i="3"/>
  <c r="Y402" i="3"/>
  <c r="Y274" i="3"/>
  <c r="Z340" i="3"/>
  <c r="W197" i="3"/>
  <c r="W459" i="3"/>
  <c r="Y186" i="3"/>
  <c r="Z157" i="3"/>
  <c r="Y311" i="3"/>
  <c r="Y368" i="3"/>
  <c r="Z442" i="3"/>
  <c r="Y170" i="3"/>
  <c r="Y246" i="3"/>
  <c r="X360" i="3"/>
  <c r="Z360" i="3"/>
  <c r="Z197" i="3"/>
  <c r="X417" i="3"/>
  <c r="X482" i="3"/>
  <c r="Y322" i="3"/>
  <c r="X359" i="3"/>
  <c r="W81" i="3"/>
  <c r="Z137" i="3"/>
  <c r="X311" i="3"/>
  <c r="Y470" i="3"/>
  <c r="Z246" i="3"/>
  <c r="W260" i="3"/>
  <c r="X322" i="3"/>
  <c r="X353" i="3"/>
  <c r="W224" i="3"/>
  <c r="Y359" i="3"/>
  <c r="X80" i="3"/>
  <c r="X184" i="3"/>
  <c r="Z110" i="3"/>
  <c r="Z341" i="3"/>
  <c r="Z500" i="3"/>
  <c r="X342" i="3"/>
  <c r="Y325" i="3"/>
  <c r="Z338" i="3"/>
  <c r="X312" i="3"/>
  <c r="Z352" i="3"/>
  <c r="W340" i="3"/>
  <c r="W218" i="3"/>
  <c r="X274" i="3"/>
  <c r="Z313" i="3"/>
  <c r="W500" i="3"/>
  <c r="W367" i="3"/>
  <c r="X325" i="3"/>
  <c r="X438" i="3"/>
  <c r="Y137" i="3"/>
  <c r="Z391" i="3"/>
  <c r="W470" i="3"/>
  <c r="W396" i="3"/>
  <c r="X459" i="3"/>
  <c r="Y391" i="3"/>
  <c r="X100" i="3"/>
  <c r="Y100" i="3"/>
  <c r="Y240" i="3"/>
  <c r="X473" i="3"/>
  <c r="Z100" i="3"/>
  <c r="Y264" i="3"/>
  <c r="X264" i="3"/>
  <c r="W264" i="3"/>
  <c r="W432" i="3"/>
  <c r="Y432" i="3"/>
  <c r="W144" i="3"/>
  <c r="Y330" i="3"/>
  <c r="X451" i="3"/>
  <c r="Z257" i="3"/>
  <c r="X161" i="3"/>
  <c r="Y485" i="3"/>
  <c r="X432" i="3"/>
  <c r="Y279" i="3"/>
  <c r="Y419" i="3"/>
  <c r="Z316" i="3"/>
  <c r="Y146" i="3"/>
  <c r="X191" i="3"/>
  <c r="Y167" i="3"/>
  <c r="X247" i="3"/>
  <c r="Z328" i="3"/>
  <c r="W100" i="3"/>
  <c r="Z390" i="3"/>
  <c r="X85" i="3"/>
  <c r="X391" i="3"/>
  <c r="W419" i="3"/>
  <c r="W186" i="3"/>
  <c r="Z264" i="3"/>
  <c r="X262" i="3"/>
  <c r="X134" i="3"/>
  <c r="Z107" i="3"/>
  <c r="Z260" i="3"/>
  <c r="Z437" i="3"/>
  <c r="Y417" i="3"/>
  <c r="W295" i="3"/>
  <c r="Y437" i="3"/>
  <c r="Y157" i="3"/>
  <c r="W157" i="3"/>
  <c r="W247" i="3"/>
  <c r="X351" i="3"/>
  <c r="X375" i="3"/>
  <c r="W389" i="3"/>
  <c r="Y389" i="3"/>
  <c r="X389" i="3"/>
  <c r="Z419" i="3"/>
  <c r="W328" i="3"/>
  <c r="W262" i="3"/>
  <c r="X240" i="3"/>
  <c r="W167" i="3"/>
  <c r="X284" i="3"/>
  <c r="X260" i="3"/>
  <c r="W437" i="3"/>
  <c r="Z322" i="3"/>
  <c r="Y275" i="3"/>
  <c r="W275" i="3"/>
  <c r="X494" i="3"/>
  <c r="V165" i="3"/>
  <c r="Z375" i="3"/>
  <c r="V44" i="3"/>
  <c r="W274" i="3"/>
  <c r="W335" i="3"/>
  <c r="Z170" i="3"/>
  <c r="Z279" i="3"/>
  <c r="X306" i="3"/>
  <c r="Y88" i="3"/>
  <c r="W156" i="3"/>
  <c r="X367" i="3"/>
  <c r="V339" i="3"/>
  <c r="Y144" i="3"/>
  <c r="Z337" i="3"/>
  <c r="W450" i="3"/>
  <c r="Y375" i="3"/>
  <c r="Z481" i="3"/>
  <c r="Z342" i="3"/>
  <c r="V442" i="3"/>
  <c r="Y335" i="3"/>
  <c r="X175" i="3"/>
  <c r="W483" i="3"/>
  <c r="Y494" i="3"/>
  <c r="X328" i="3"/>
  <c r="Z167" i="3"/>
  <c r="W149" i="3"/>
  <c r="Y306" i="3"/>
  <c r="W306" i="3"/>
  <c r="X88" i="3"/>
  <c r="W226" i="3"/>
  <c r="Y493" i="3"/>
  <c r="X394" i="3"/>
  <c r="X340" i="3"/>
  <c r="V172" i="3"/>
  <c r="X474" i="3"/>
  <c r="W474" i="3"/>
  <c r="Y257" i="3"/>
  <c r="Y442" i="3"/>
  <c r="Y418" i="3"/>
  <c r="X418" i="3"/>
  <c r="W485" i="3"/>
  <c r="W497" i="3"/>
  <c r="X497" i="3"/>
  <c r="Y497" i="3"/>
  <c r="X258" i="3"/>
  <c r="Y258" i="3"/>
  <c r="W258" i="3"/>
  <c r="W105" i="3"/>
  <c r="X105" i="3"/>
  <c r="Z421" i="3"/>
  <c r="V170" i="3"/>
  <c r="Z132" i="3"/>
  <c r="W423" i="3"/>
  <c r="V46" i="3"/>
  <c r="V321" i="3"/>
  <c r="V84" i="3"/>
  <c r="Z497" i="3"/>
  <c r="Z234" i="3"/>
  <c r="V254" i="3"/>
  <c r="W174" i="3"/>
  <c r="X174" i="3"/>
  <c r="Y356" i="3"/>
  <c r="W356" i="3"/>
  <c r="V146" i="3"/>
  <c r="V431" i="3"/>
  <c r="W189" i="3"/>
  <c r="V252" i="3"/>
  <c r="V393" i="3"/>
  <c r="V261" i="3"/>
  <c r="V124" i="3"/>
  <c r="W284" i="3"/>
  <c r="X369" i="3"/>
  <c r="W369" i="3"/>
  <c r="Y369" i="3"/>
  <c r="Y234" i="3"/>
  <c r="X498" i="3"/>
  <c r="Y498" i="3"/>
  <c r="W498" i="3"/>
  <c r="X368" i="3"/>
  <c r="V274" i="3"/>
  <c r="V399" i="3"/>
  <c r="V262" i="3"/>
  <c r="Y450" i="3"/>
  <c r="X373" i="3"/>
  <c r="Y398" i="3"/>
  <c r="W398" i="3"/>
  <c r="X398" i="3"/>
  <c r="X422" i="3"/>
  <c r="Y370" i="3"/>
  <c r="W370" i="3"/>
  <c r="X370" i="3"/>
  <c r="Z394" i="3"/>
  <c r="W373" i="3"/>
  <c r="X160" i="3"/>
  <c r="W160" i="3"/>
  <c r="V233" i="3"/>
  <c r="V344" i="3"/>
  <c r="Y456" i="3"/>
  <c r="Z456" i="3"/>
  <c r="V437" i="3"/>
  <c r="V61" i="3"/>
  <c r="Y105" i="3"/>
  <c r="W439" i="3"/>
  <c r="V67" i="3"/>
  <c r="Z366" i="3"/>
  <c r="Z146" i="3"/>
  <c r="Z423" i="3"/>
  <c r="W431" i="3"/>
  <c r="W414" i="3"/>
  <c r="X414" i="3"/>
  <c r="Y414" i="3"/>
  <c r="Y345" i="3"/>
  <c r="W345" i="3"/>
  <c r="Y151" i="3"/>
  <c r="X151" i="3"/>
  <c r="W151" i="3"/>
  <c r="Z345" i="3"/>
  <c r="X234" i="3"/>
  <c r="Z278" i="3"/>
  <c r="W203" i="3"/>
  <c r="X203" i="3"/>
  <c r="Y203" i="3"/>
  <c r="V184" i="3"/>
  <c r="V206" i="3"/>
  <c r="V149" i="3"/>
  <c r="V352" i="3"/>
  <c r="Z439" i="3"/>
  <c r="V216" i="3"/>
  <c r="V401" i="3"/>
  <c r="Y218" i="3"/>
  <c r="X218" i="3"/>
  <c r="X345" i="3"/>
  <c r="V112" i="3"/>
  <c r="Y412" i="3"/>
  <c r="X412" i="3"/>
  <c r="V133" i="3"/>
  <c r="Z175" i="3"/>
  <c r="V423" i="3"/>
  <c r="V346" i="3"/>
  <c r="X298" i="3"/>
  <c r="X252" i="3"/>
  <c r="V213" i="3"/>
  <c r="V417" i="3"/>
  <c r="V297" i="3"/>
  <c r="V486" i="3"/>
  <c r="V286" i="3"/>
  <c r="V236" i="3"/>
  <c r="V270" i="3"/>
  <c r="V351" i="3"/>
  <c r="V338" i="3"/>
  <c r="Z369" i="3"/>
  <c r="Z498" i="3"/>
  <c r="Y387" i="3"/>
  <c r="V316" i="3"/>
  <c r="Y385" i="3"/>
  <c r="X450" i="3"/>
  <c r="X385" i="3"/>
  <c r="X330" i="3"/>
  <c r="V474" i="3"/>
  <c r="Y289" i="3"/>
  <c r="W289" i="3"/>
  <c r="Z398" i="3"/>
  <c r="Z422" i="3"/>
  <c r="Z144" i="3"/>
  <c r="Z174" i="3"/>
  <c r="Z373" i="3"/>
  <c r="Z160" i="3"/>
  <c r="V145" i="3"/>
  <c r="Y149" i="3"/>
  <c r="W161" i="3"/>
  <c r="Z156" i="3"/>
  <c r="V451" i="3"/>
  <c r="X431" i="3"/>
  <c r="W235" i="3"/>
  <c r="Y235" i="3"/>
  <c r="X235" i="3"/>
  <c r="Y355" i="3"/>
  <c r="X355" i="3"/>
  <c r="W355" i="3"/>
  <c r="Y168" i="3"/>
  <c r="W168" i="3"/>
  <c r="X168" i="3"/>
  <c r="V298" i="3"/>
  <c r="V86" i="3"/>
  <c r="V426" i="3"/>
  <c r="Z467" i="3"/>
  <c r="Z252" i="3"/>
  <c r="W358" i="3"/>
  <c r="Y358" i="3"/>
  <c r="X358" i="3"/>
  <c r="V197" i="3"/>
  <c r="X148" i="3"/>
  <c r="W148" i="3"/>
  <c r="V421" i="3"/>
  <c r="Z240" i="3"/>
  <c r="Z226" i="3"/>
  <c r="X484" i="3"/>
  <c r="Y484" i="3"/>
  <c r="W484" i="3"/>
  <c r="X192" i="3"/>
  <c r="Y192" i="3"/>
  <c r="W192" i="3"/>
  <c r="V478" i="3"/>
  <c r="V387" i="3"/>
  <c r="V341" i="3"/>
  <c r="V161" i="3"/>
  <c r="V189" i="3"/>
  <c r="V257" i="3"/>
  <c r="V366" i="3"/>
  <c r="V215" i="3"/>
  <c r="V323" i="3"/>
  <c r="V231" i="3"/>
  <c r="V132" i="3"/>
  <c r="V100" i="3"/>
  <c r="Y496" i="3"/>
  <c r="X496" i="3"/>
  <c r="W496" i="3"/>
  <c r="Y87" i="3"/>
  <c r="W87" i="3"/>
  <c r="Z311" i="3"/>
  <c r="W176" i="3"/>
  <c r="X176" i="3"/>
  <c r="Y176" i="3"/>
  <c r="V239" i="3"/>
  <c r="Y162" i="3"/>
  <c r="W162" i="3"/>
  <c r="X162" i="3"/>
  <c r="Z284" i="3"/>
  <c r="X430" i="3"/>
  <c r="Y430" i="3"/>
  <c r="X255" i="3"/>
  <c r="V385" i="3"/>
  <c r="Z255" i="3"/>
  <c r="V272" i="3"/>
  <c r="Z148" i="3"/>
  <c r="X285" i="3"/>
  <c r="W330" i="3"/>
  <c r="V473" i="3"/>
  <c r="V30" i="3"/>
  <c r="X288" i="3"/>
  <c r="W288" i="3"/>
  <c r="Y288" i="3"/>
  <c r="X189" i="3"/>
  <c r="Y271" i="3"/>
  <c r="Z387" i="3"/>
  <c r="V43" i="3"/>
  <c r="V368" i="3"/>
  <c r="Y363" i="3"/>
  <c r="V207" i="3"/>
  <c r="Z276" i="3"/>
  <c r="W493" i="3"/>
  <c r="V50" i="3"/>
  <c r="V457" i="3"/>
  <c r="V243" i="3"/>
  <c r="Y428" i="3"/>
  <c r="X428" i="3"/>
  <c r="W428" i="3"/>
  <c r="Y344" i="3"/>
  <c r="W344" i="3"/>
  <c r="X344" i="3"/>
  <c r="V481" i="3"/>
  <c r="V269" i="3"/>
  <c r="V255" i="3"/>
  <c r="V66" i="3"/>
  <c r="W298" i="3"/>
  <c r="V47" i="3"/>
  <c r="X453" i="3"/>
  <c r="V471" i="3"/>
  <c r="X362" i="3"/>
  <c r="W362" i="3"/>
  <c r="V166" i="3"/>
  <c r="V357" i="3"/>
  <c r="V327" i="3"/>
  <c r="V309" i="3"/>
  <c r="V300" i="3"/>
  <c r="X400" i="3"/>
  <c r="W400" i="3"/>
  <c r="Y400" i="3"/>
  <c r="Y90" i="3"/>
  <c r="X90" i="3"/>
  <c r="W90" i="3"/>
  <c r="Y178" i="3"/>
  <c r="X178" i="3"/>
  <c r="W178" i="3"/>
  <c r="W413" i="3"/>
  <c r="Y413" i="3"/>
  <c r="X413" i="3"/>
  <c r="V115" i="3"/>
  <c r="V205" i="3"/>
  <c r="W412" i="3"/>
  <c r="Y259" i="3"/>
  <c r="V125" i="3"/>
  <c r="Z191" i="3"/>
  <c r="Y134" i="3"/>
  <c r="W134" i="3"/>
  <c r="W473" i="3"/>
  <c r="Y473" i="3"/>
  <c r="W107" i="3"/>
  <c r="X107" i="3"/>
  <c r="Z271" i="3"/>
  <c r="V85" i="3"/>
  <c r="X276" i="3"/>
  <c r="W363" i="3"/>
  <c r="V246" i="3"/>
  <c r="X456" i="3"/>
  <c r="V450" i="3"/>
  <c r="V163" i="3"/>
  <c r="Y422" i="3"/>
  <c r="V276" i="3"/>
  <c r="X132" i="3"/>
  <c r="V134" i="3"/>
  <c r="V363" i="3"/>
  <c r="V167" i="3"/>
  <c r="V453" i="3"/>
  <c r="V273" i="3"/>
  <c r="V328" i="3"/>
  <c r="V117" i="3"/>
  <c r="Y132" i="3"/>
  <c r="V217" i="3"/>
  <c r="V82" i="3"/>
  <c r="X187" i="3"/>
  <c r="W187" i="3"/>
  <c r="Y187" i="3"/>
  <c r="V367" i="3"/>
  <c r="V271" i="3"/>
  <c r="V337" i="3"/>
  <c r="X337" i="3"/>
  <c r="W337" i="3"/>
  <c r="V144" i="3"/>
  <c r="V278" i="3"/>
  <c r="V333" i="3"/>
  <c r="V191" i="3"/>
  <c r="Z259" i="3"/>
  <c r="Y174" i="3"/>
  <c r="Y316" i="3"/>
  <c r="X316" i="3"/>
  <c r="Y92" i="3"/>
  <c r="W92" i="3"/>
  <c r="X92" i="3"/>
  <c r="Z285" i="3"/>
  <c r="V75" i="3"/>
  <c r="V102" i="3"/>
  <c r="X442" i="3"/>
  <c r="Z453" i="3"/>
  <c r="Z363" i="3"/>
  <c r="V64" i="3"/>
  <c r="X371" i="3"/>
  <c r="Y366" i="3"/>
  <c r="W315" i="3"/>
  <c r="X315" i="3"/>
  <c r="Y315" i="3"/>
  <c r="X302" i="3"/>
  <c r="Y302" i="3"/>
  <c r="W302" i="3"/>
  <c r="Z362" i="3"/>
  <c r="V406" i="3"/>
  <c r="V487" i="3"/>
  <c r="V211" i="3"/>
  <c r="Y372" i="3"/>
  <c r="X372" i="3"/>
  <c r="W372" i="3"/>
  <c r="V131" i="3"/>
  <c r="V177" i="3"/>
  <c r="V199" i="3"/>
  <c r="Y388" i="3"/>
  <c r="X388" i="3"/>
  <c r="W388" i="3"/>
  <c r="V373" i="3"/>
  <c r="V240" i="3"/>
  <c r="V174" i="3"/>
  <c r="V416" i="3"/>
  <c r="V314" i="3"/>
  <c r="V249" i="3"/>
  <c r="W108" i="3"/>
  <c r="X108" i="3"/>
  <c r="Y108" i="3"/>
  <c r="X96" i="3"/>
  <c r="W96" i="3"/>
  <c r="Y96" i="3"/>
  <c r="W397" i="3"/>
  <c r="X397" i="3"/>
  <c r="Y397" i="3"/>
  <c r="W469" i="3"/>
  <c r="Y469" i="3"/>
  <c r="X469" i="3"/>
  <c r="Z298" i="3"/>
  <c r="V293" i="3"/>
  <c r="V313" i="3"/>
  <c r="Z385" i="3"/>
  <c r="V295" i="3"/>
  <c r="W252" i="3"/>
  <c r="V114" i="3"/>
  <c r="V73" i="3"/>
  <c r="X439" i="3"/>
  <c r="V71" i="3"/>
  <c r="Y429" i="3"/>
  <c r="X429" i="3"/>
  <c r="W429" i="3"/>
  <c r="W467" i="3"/>
  <c r="Y467" i="3"/>
  <c r="V126" i="3"/>
  <c r="V155" i="3"/>
  <c r="Z302" i="3"/>
  <c r="Z344" i="3"/>
  <c r="V226" i="3"/>
  <c r="W232" i="3"/>
  <c r="Y232" i="3"/>
  <c r="X232" i="3"/>
  <c r="Y277" i="3"/>
  <c r="X277" i="3"/>
  <c r="W277" i="3"/>
  <c r="X106" i="3"/>
  <c r="Y106" i="3"/>
  <c r="W106" i="3"/>
  <c r="V495" i="3"/>
  <c r="V80" i="3"/>
  <c r="V394" i="3"/>
  <c r="X386" i="3"/>
  <c r="W386" i="3"/>
  <c r="Y386" i="3"/>
  <c r="V382" i="3"/>
  <c r="V103" i="3"/>
  <c r="V334" i="3"/>
  <c r="Y287" i="3"/>
  <c r="W287" i="3"/>
  <c r="V329" i="3"/>
  <c r="V436" i="3"/>
  <c r="Z455" i="3"/>
  <c r="V422" i="3"/>
  <c r="X259" i="3"/>
  <c r="X120" i="3"/>
  <c r="W120" i="3"/>
  <c r="X313" i="3"/>
  <c r="W421" i="3"/>
  <c r="X89" i="3"/>
  <c r="W319" i="3"/>
  <c r="Y319" i="3"/>
  <c r="X319" i="3"/>
  <c r="Z189" i="3"/>
  <c r="Y175" i="3"/>
  <c r="Y423" i="3"/>
  <c r="Y150" i="3"/>
  <c r="W150" i="3"/>
  <c r="X150" i="3"/>
  <c r="Y440" i="3"/>
  <c r="X440" i="3"/>
  <c r="W440" i="3"/>
  <c r="X147" i="3"/>
  <c r="W147" i="3"/>
  <c r="Y147" i="3"/>
  <c r="Z414" i="3"/>
  <c r="X425" i="3"/>
  <c r="W425" i="3"/>
  <c r="Y425" i="3"/>
  <c r="V52" i="3"/>
  <c r="V307" i="3"/>
  <c r="V353" i="3"/>
  <c r="V379" i="3"/>
  <c r="V16" i="3"/>
  <c r="V87" i="3"/>
  <c r="V472" i="3"/>
  <c r="V384" i="3"/>
  <c r="V219" i="3"/>
  <c r="V179" i="3"/>
  <c r="V11" i="3"/>
  <c r="V220" i="3"/>
  <c r="V169" i="3"/>
  <c r="V281" i="3"/>
  <c r="V141" i="3"/>
  <c r="V267" i="3"/>
  <c r="V491" i="3"/>
  <c r="V411" i="3"/>
  <c r="V482" i="3"/>
  <c r="V42" i="3"/>
  <c r="V36" i="3"/>
  <c r="V128" i="3"/>
  <c r="V8" i="3"/>
  <c r="V408" i="3"/>
  <c r="V253" i="3"/>
  <c r="V332" i="3"/>
  <c r="V225" i="3"/>
  <c r="V130" i="3"/>
  <c r="V424" i="3"/>
  <c r="V468" i="3"/>
  <c r="V119" i="3"/>
  <c r="V483" i="3"/>
  <c r="V317" i="3"/>
  <c r="V81" i="3"/>
  <c r="V63" i="3"/>
  <c r="V190" i="3"/>
  <c r="V250" i="3"/>
  <c r="V123" i="3"/>
  <c r="V212" i="3"/>
  <c r="V57" i="3"/>
  <c r="V227" i="3"/>
  <c r="V381" i="3"/>
  <c r="V94" i="3"/>
  <c r="V74" i="3"/>
  <c r="V19" i="3"/>
  <c r="V56" i="3"/>
  <c r="V25" i="3"/>
  <c r="V17" i="3"/>
  <c r="V127" i="3"/>
  <c r="V463" i="3"/>
  <c r="V171" i="3"/>
  <c r="V157" i="3"/>
  <c r="V229" i="3"/>
  <c r="V392" i="3"/>
  <c r="V496" i="3"/>
  <c r="V39" i="3"/>
  <c r="V325" i="3"/>
  <c r="V228" i="3"/>
  <c r="V454" i="3"/>
  <c r="V121" i="3"/>
  <c r="V194" i="3"/>
  <c r="V429" i="3"/>
  <c r="V265" i="3"/>
  <c r="V447" i="3"/>
  <c r="V378" i="3"/>
  <c r="V95" i="3"/>
  <c r="V499" i="3"/>
  <c r="V150" i="3"/>
  <c r="V162" i="3"/>
  <c r="V277" i="3"/>
  <c r="V178" i="3"/>
  <c r="V497" i="3"/>
  <c r="V168" i="3"/>
  <c r="V304" i="3"/>
  <c r="V234" i="3"/>
  <c r="V3" i="3"/>
  <c r="V18" i="3"/>
  <c r="V242" i="3"/>
  <c r="V104" i="3"/>
  <c r="V96" i="3"/>
  <c r="V41" i="3"/>
  <c r="V111" i="3"/>
  <c r="V153" i="3"/>
  <c r="V335" i="3"/>
  <c r="V391" i="3"/>
  <c r="V90" i="3"/>
  <c r="V154" i="3"/>
  <c r="V210" i="3"/>
  <c r="V266" i="3"/>
  <c r="V322" i="3"/>
  <c r="V414" i="3"/>
  <c r="V176" i="3"/>
  <c r="V460" i="3"/>
  <c r="V284" i="3"/>
  <c r="V230" i="3"/>
  <c r="V428" i="3"/>
  <c r="V445" i="3"/>
  <c r="V247" i="3"/>
  <c r="V419" i="3"/>
  <c r="V350" i="3"/>
  <c r="V232" i="3"/>
  <c r="V37" i="3"/>
  <c r="V137" i="3"/>
  <c r="V407" i="3"/>
  <c r="V452" i="3"/>
  <c r="V60" i="3"/>
  <c r="V118" i="3"/>
  <c r="V208" i="3"/>
  <c r="V343" i="3"/>
  <c r="V279" i="3"/>
  <c r="V89" i="3"/>
  <c r="V98" i="3"/>
  <c r="V65" i="3"/>
  <c r="V458" i="3"/>
  <c r="V193" i="3"/>
  <c r="V38" i="3"/>
  <c r="V59" i="3"/>
  <c r="V355" i="3"/>
  <c r="V26" i="3"/>
  <c r="V292" i="3"/>
  <c r="V13" i="3"/>
  <c r="V224" i="3"/>
  <c r="V443" i="3"/>
  <c r="V15" i="3"/>
  <c r="V480" i="3"/>
  <c r="V285" i="3"/>
  <c r="V9" i="3"/>
  <c r="V6" i="3"/>
  <c r="V69" i="3"/>
  <c r="V462" i="3"/>
  <c r="V493" i="3"/>
  <c r="V187" i="3"/>
  <c r="V77" i="3"/>
  <c r="V45" i="3"/>
  <c r="V32" i="3"/>
  <c r="V135" i="3"/>
  <c r="V188" i="3"/>
  <c r="V348" i="3"/>
  <c r="V258" i="3"/>
  <c r="V110" i="3"/>
  <c r="V440" i="3"/>
  <c r="V203" i="3"/>
  <c r="V479" i="3"/>
  <c r="V372" i="3"/>
  <c r="V360" i="3"/>
  <c r="V374" i="3"/>
  <c r="V361" i="3"/>
  <c r="V404" i="3"/>
  <c r="V107" i="3"/>
  <c r="V461" i="3"/>
  <c r="V24" i="3"/>
  <c r="V311" i="3"/>
  <c r="V158" i="3"/>
  <c r="V425" i="3"/>
  <c r="V49" i="3"/>
  <c r="V275" i="3"/>
  <c r="V138" i="3"/>
  <c r="V222" i="3"/>
  <c r="V55" i="3"/>
  <c r="V223" i="3"/>
  <c r="V349" i="3"/>
  <c r="V204" i="3"/>
  <c r="V305" i="3"/>
  <c r="V388" i="3"/>
  <c r="V280" i="3"/>
  <c r="V218" i="3"/>
  <c r="V245" i="3"/>
  <c r="V319" i="3"/>
  <c r="V34" i="3"/>
  <c r="V413" i="3"/>
  <c r="V22" i="3"/>
  <c r="V365" i="3"/>
  <c r="V4" i="3"/>
  <c r="V268" i="3"/>
  <c r="V101" i="3"/>
  <c r="V395" i="3"/>
  <c r="V283" i="3"/>
  <c r="V200" i="3"/>
  <c r="V494" i="3"/>
  <c r="V70" i="3"/>
  <c r="V40" i="3"/>
  <c r="V264" i="3"/>
  <c r="V306" i="3"/>
  <c r="V76" i="3"/>
  <c r="V83" i="3"/>
  <c r="V139" i="3"/>
  <c r="V420" i="3"/>
  <c r="V92" i="3"/>
  <c r="V10" i="3"/>
  <c r="V109" i="3"/>
  <c r="V390" i="3"/>
  <c r="V488" i="3"/>
  <c r="V12" i="3"/>
  <c r="V198" i="3"/>
  <c r="V315" i="3"/>
  <c r="V383" i="3"/>
  <c r="V444" i="3"/>
  <c r="V214" i="3"/>
  <c r="V410" i="3"/>
  <c r="V259" i="3"/>
  <c r="V93" i="3"/>
  <c r="V370" i="3"/>
  <c r="V7" i="3"/>
  <c r="V386" i="3"/>
  <c r="V318" i="3"/>
  <c r="V263" i="3"/>
  <c r="V97" i="3"/>
  <c r="V182" i="3"/>
  <c r="V288" i="3"/>
  <c r="V498" i="3"/>
  <c r="V375" i="3"/>
  <c r="V418" i="3"/>
  <c r="V14" i="3"/>
  <c r="V152" i="3"/>
  <c r="V490" i="3"/>
  <c r="V192" i="3"/>
  <c r="V500" i="3"/>
  <c r="V389" i="3"/>
  <c r="V359" i="3"/>
  <c r="V140" i="3"/>
  <c r="V120" i="3"/>
  <c r="V501" i="3"/>
  <c r="V369" i="3"/>
  <c r="V492" i="3"/>
  <c r="V29" i="3"/>
  <c r="V62" i="3"/>
  <c r="V23" i="3"/>
  <c r="V248" i="3"/>
  <c r="V221" i="3"/>
  <c r="V403" i="3"/>
  <c r="V54" i="3"/>
  <c r="V308" i="3"/>
  <c r="V402" i="3"/>
  <c r="V331" i="3"/>
  <c r="V345" i="3"/>
  <c r="V320" i="3"/>
  <c r="V484" i="3"/>
  <c r="V58" i="3"/>
  <c r="V397" i="3"/>
  <c r="V79" i="3"/>
  <c r="V237" i="3"/>
  <c r="V433" i="3"/>
  <c r="V502" i="3"/>
  <c r="V68" i="3"/>
  <c r="V147" i="3"/>
  <c r="V303" i="3"/>
  <c r="V485" i="3"/>
  <c r="V326" i="3"/>
  <c r="V287" i="3"/>
  <c r="V347" i="3"/>
  <c r="V358" i="3"/>
  <c r="V195" i="3"/>
  <c r="V180" i="3"/>
  <c r="V160" i="3"/>
  <c r="V116" i="3"/>
  <c r="V108" i="3"/>
  <c r="V28" i="3"/>
  <c r="V181" i="3"/>
  <c r="V400" i="3"/>
  <c r="V136" i="3"/>
  <c r="V159" i="3"/>
  <c r="V467" i="3"/>
  <c r="V88" i="3"/>
  <c r="V21" i="3"/>
  <c r="V78" i="3"/>
  <c r="V302" i="3"/>
  <c r="V72" i="3"/>
  <c r="V31" i="3"/>
  <c r="V289" i="3"/>
  <c r="V432" i="3"/>
  <c r="V299" i="3"/>
  <c r="V105" i="3"/>
  <c r="V20" i="3"/>
  <c r="V296" i="3"/>
  <c r="V186" i="3"/>
  <c r="V260" i="3"/>
  <c r="V430" i="3"/>
  <c r="V99" i="3"/>
  <c r="V477" i="3"/>
  <c r="V142" i="3"/>
  <c r="V312" i="3"/>
  <c r="V438" i="3"/>
  <c r="V398" i="3"/>
  <c r="V469" i="3"/>
  <c r="V27" i="3"/>
  <c r="V35" i="3"/>
  <c r="V476" i="3"/>
  <c r="V53" i="3"/>
  <c r="V183" i="3"/>
  <c r="V412" i="3"/>
  <c r="V48" i="3"/>
  <c r="V151" i="3"/>
  <c r="V129" i="3"/>
  <c r="V106" i="3"/>
  <c r="V91" i="3"/>
  <c r="V33" i="3"/>
  <c r="V434" i="3"/>
  <c r="V371" i="3"/>
  <c r="V175" i="3"/>
  <c r="V148" i="3"/>
  <c r="Y278" i="3"/>
  <c r="V470" i="3"/>
  <c r="Z168" i="3"/>
  <c r="V455" i="3"/>
  <c r="V185" i="3"/>
  <c r="V173" i="3"/>
  <c r="W472" i="3"/>
  <c r="Y472" i="3"/>
  <c r="X472" i="3"/>
  <c r="V330" i="3"/>
  <c r="W380" i="3"/>
  <c r="Y380" i="3"/>
  <c r="X380" i="3"/>
  <c r="V396" i="3"/>
  <c r="V342" i="3"/>
  <c r="V340" i="3"/>
  <c r="V459" i="3"/>
  <c r="V465" i="3"/>
  <c r="Z372" i="3"/>
  <c r="Y159" i="3"/>
  <c r="X159" i="3"/>
  <c r="V405" i="3"/>
  <c r="V113" i="3"/>
  <c r="W453" i="3"/>
  <c r="V435" i="3"/>
  <c r="V209" i="3"/>
  <c r="W427" i="3"/>
  <c r="X104" i="3"/>
  <c r="Y104" i="3"/>
  <c r="W104" i="3"/>
  <c r="V282" i="3"/>
  <c r="V291" i="3"/>
  <c r="V251" i="3"/>
  <c r="V301" i="3"/>
  <c r="W204" i="3"/>
  <c r="Y204" i="3"/>
  <c r="Z386" i="3"/>
  <c r="V448" i="3"/>
  <c r="V324" i="3"/>
  <c r="V241" i="3"/>
  <c r="V415" i="3"/>
  <c r="Y455" i="3"/>
  <c r="X366" i="3"/>
  <c r="V362" i="3"/>
  <c r="V143" i="3"/>
  <c r="X427" i="3"/>
  <c r="V446" i="3"/>
  <c r="V380" i="3"/>
  <c r="X146" i="3"/>
  <c r="Y343" i="3"/>
  <c r="W343" i="3"/>
  <c r="X343" i="3"/>
  <c r="Y320" i="3"/>
  <c r="W320" i="3"/>
  <c r="X320" i="3"/>
  <c r="X287" i="3"/>
  <c r="Z204" i="3"/>
  <c r="W190" i="3"/>
  <c r="Y190" i="3"/>
  <c r="X190" i="3"/>
  <c r="Z440" i="3"/>
  <c r="W278" i="3"/>
  <c r="V441" i="3"/>
  <c r="Y421" i="3"/>
  <c r="V336" i="3"/>
  <c r="Z493" i="3"/>
  <c r="V466" i="3"/>
  <c r="W426" i="3"/>
  <c r="X426" i="3"/>
  <c r="Z382" i="3"/>
  <c r="Z120" i="3"/>
  <c r="Y313" i="3"/>
  <c r="V235" i="3"/>
  <c r="X399" i="3"/>
  <c r="W399" i="3"/>
  <c r="Y399" i="3"/>
  <c r="Y89" i="3"/>
  <c r="Z319" i="3"/>
  <c r="X356" i="3"/>
  <c r="V456" i="3"/>
  <c r="V376" i="3"/>
  <c r="V364" i="3"/>
  <c r="V196" i="3"/>
  <c r="V439" i="3"/>
  <c r="V51" i="3"/>
  <c r="M428" i="1" l="1"/>
  <c r="N427" i="1"/>
  <c r="G20" i="3"/>
  <c r="I18" i="3"/>
  <c r="N428" i="1" l="1"/>
  <c r="M429" i="1"/>
  <c r="H181" i="1"/>
  <c r="P181" i="1"/>
  <c r="P180" i="1"/>
  <c r="O180" i="1"/>
  <c r="P177" i="1"/>
  <c r="O177" i="1"/>
  <c r="P176" i="1"/>
  <c r="O176" i="1"/>
  <c r="P175" i="1"/>
  <c r="O175" i="1"/>
  <c r="P174" i="1"/>
  <c r="O174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4" i="1"/>
  <c r="O154" i="1"/>
  <c r="O151" i="1"/>
  <c r="P152" i="1"/>
  <c r="O152" i="1"/>
  <c r="P155" i="1"/>
  <c r="O155" i="1"/>
  <c r="P153" i="1"/>
  <c r="O153" i="1"/>
  <c r="P151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50" i="1"/>
  <c r="O150" i="1"/>
  <c r="P149" i="1"/>
  <c r="O149" i="1"/>
  <c r="P148" i="1"/>
  <c r="O148" i="1"/>
  <c r="P147" i="1"/>
  <c r="O147" i="1"/>
  <c r="P146" i="1"/>
  <c r="O146" i="1"/>
  <c r="P140" i="1"/>
  <c r="H140" i="1"/>
  <c r="O140" i="1" s="1"/>
  <c r="H139" i="1"/>
  <c r="O139" i="1" s="1"/>
  <c r="O141" i="1"/>
  <c r="P145" i="1"/>
  <c r="O145" i="1"/>
  <c r="P144" i="1"/>
  <c r="O144" i="1"/>
  <c r="P143" i="1"/>
  <c r="O143" i="1"/>
  <c r="P142" i="1"/>
  <c r="O142" i="1"/>
  <c r="P141" i="1"/>
  <c r="P139" i="1"/>
  <c r="P138" i="1"/>
  <c r="O138" i="1"/>
  <c r="P137" i="1"/>
  <c r="O137" i="1"/>
  <c r="P136" i="1"/>
  <c r="O136" i="1"/>
  <c r="P127" i="1"/>
  <c r="O127" i="1"/>
  <c r="P126" i="1"/>
  <c r="O126" i="1"/>
  <c r="P125" i="1"/>
  <c r="O125" i="1"/>
  <c r="P124" i="1"/>
  <c r="O124" i="1"/>
  <c r="P123" i="1"/>
  <c r="O123" i="1"/>
  <c r="N429" i="1" l="1"/>
  <c r="M430" i="1"/>
  <c r="O181" i="1"/>
  <c r="Q168" i="1"/>
  <c r="R168" i="1" s="1"/>
  <c r="Q177" i="1"/>
  <c r="R177" i="1" s="1"/>
  <c r="S177" i="1" s="1"/>
  <c r="U177" i="1" s="1"/>
  <c r="Q123" i="1"/>
  <c r="R123" i="1" s="1"/>
  <c r="Q134" i="1"/>
  <c r="R134" i="1" s="1"/>
  <c r="Q153" i="1"/>
  <c r="R153" i="1" s="1"/>
  <c r="S153" i="1" s="1"/>
  <c r="U153" i="1" s="1"/>
  <c r="Q163" i="1"/>
  <c r="R163" i="1" s="1"/>
  <c r="Q149" i="1"/>
  <c r="R149" i="1" s="1"/>
  <c r="S149" i="1" s="1"/>
  <c r="U149" i="1" s="1"/>
  <c r="Q169" i="1"/>
  <c r="R169" i="1" s="1"/>
  <c r="Q124" i="1"/>
  <c r="S124" i="1" s="1"/>
  <c r="U124" i="1" s="1"/>
  <c r="Q158" i="1"/>
  <c r="R158" i="1" s="1"/>
  <c r="Q145" i="1"/>
  <c r="S145" i="1" s="1"/>
  <c r="U145" i="1" s="1"/>
  <c r="Q132" i="1"/>
  <c r="R132" i="1" s="1"/>
  <c r="S132" i="1" s="1"/>
  <c r="U132" i="1" s="1"/>
  <c r="Q161" i="1"/>
  <c r="R161" i="1" s="1"/>
  <c r="Q180" i="1"/>
  <c r="R180" i="1" s="1"/>
  <c r="S180" i="1" s="1"/>
  <c r="U180" i="1" s="1"/>
  <c r="Q164" i="1"/>
  <c r="R164" i="1" s="1"/>
  <c r="Q142" i="1"/>
  <c r="R142" i="1" s="1"/>
  <c r="Q125" i="1"/>
  <c r="R125" i="1" s="1"/>
  <c r="Q147" i="1"/>
  <c r="R147" i="1" s="1"/>
  <c r="Q167" i="1"/>
  <c r="R167" i="1" s="1"/>
  <c r="S167" i="1" s="1"/>
  <c r="U167" i="1" s="1"/>
  <c r="Q137" i="1"/>
  <c r="R137" i="1" s="1"/>
  <c r="S137" i="1" s="1"/>
  <c r="U137" i="1" s="1"/>
  <c r="Q139" i="1"/>
  <c r="R139" i="1" s="1"/>
  <c r="Q136" i="1"/>
  <c r="Q159" i="1"/>
  <c r="R159" i="1" s="1"/>
  <c r="Q176" i="1"/>
  <c r="R176" i="1" s="1"/>
  <c r="Q148" i="1"/>
  <c r="R148" i="1" s="1"/>
  <c r="Q133" i="1"/>
  <c r="R133" i="1" s="1"/>
  <c r="Q151" i="1"/>
  <c r="R151" i="1" s="1"/>
  <c r="Q162" i="1"/>
  <c r="R162" i="1" s="1"/>
  <c r="S162" i="1" s="1"/>
  <c r="U162" i="1" s="1"/>
  <c r="Q140" i="1"/>
  <c r="R140" i="1" s="1"/>
  <c r="S140" i="1" s="1"/>
  <c r="U140" i="1" s="1"/>
  <c r="Q165" i="1"/>
  <c r="R165" i="1" s="1"/>
  <c r="S165" i="1" s="1"/>
  <c r="U165" i="1" s="1"/>
  <c r="Q141" i="1"/>
  <c r="R141" i="1" s="1"/>
  <c r="Q128" i="1"/>
  <c r="R128" i="1" s="1"/>
  <c r="Q174" i="1"/>
  <c r="R174" i="1" s="1"/>
  <c r="S174" i="1" s="1"/>
  <c r="U174" i="1" s="1"/>
  <c r="Q160" i="1"/>
  <c r="R160" i="1" s="1"/>
  <c r="Q166" i="1"/>
  <c r="R166" i="1" s="1"/>
  <c r="Q175" i="1"/>
  <c r="R175" i="1" s="1"/>
  <c r="Q170" i="1"/>
  <c r="R170" i="1" s="1"/>
  <c r="Q181" i="1"/>
  <c r="Q157" i="1"/>
  <c r="R157" i="1" s="1"/>
  <c r="Q156" i="1"/>
  <c r="R156" i="1" s="1"/>
  <c r="Q154" i="1"/>
  <c r="R154" i="1" s="1"/>
  <c r="Q152" i="1"/>
  <c r="R152" i="1" s="1"/>
  <c r="Q155" i="1"/>
  <c r="R155" i="1" s="1"/>
  <c r="Q130" i="1"/>
  <c r="R130" i="1" s="1"/>
  <c r="Q129" i="1"/>
  <c r="R129" i="1" s="1"/>
  <c r="Q135" i="1"/>
  <c r="R135" i="1" s="1"/>
  <c r="Q131" i="1"/>
  <c r="R131" i="1" s="1"/>
  <c r="Q146" i="1"/>
  <c r="R146" i="1" s="1"/>
  <c r="Q150" i="1"/>
  <c r="R150" i="1" s="1"/>
  <c r="Q144" i="1"/>
  <c r="R144" i="1" s="1"/>
  <c r="Q143" i="1"/>
  <c r="R143" i="1" s="1"/>
  <c r="Q138" i="1"/>
  <c r="R138" i="1" s="1"/>
  <c r="Q127" i="1"/>
  <c r="R127" i="1" s="1"/>
  <c r="Q126" i="1"/>
  <c r="R126" i="1" s="1"/>
  <c r="N430" i="1" l="1"/>
  <c r="M431" i="1"/>
  <c r="R181" i="1"/>
  <c r="S147" i="1"/>
  <c r="U147" i="1" s="1"/>
  <c r="S148" i="1"/>
  <c r="U148" i="1" s="1"/>
  <c r="S176" i="1"/>
  <c r="U176" i="1" s="1"/>
  <c r="S139" i="1"/>
  <c r="U139" i="1" s="1"/>
  <c r="S163" i="1"/>
  <c r="U163" i="1" s="1"/>
  <c r="S161" i="1"/>
  <c r="U161" i="1" s="1"/>
  <c r="S159" i="1"/>
  <c r="U159" i="1" s="1"/>
  <c r="S169" i="1"/>
  <c r="U169" i="1" s="1"/>
  <c r="S164" i="1"/>
  <c r="U164" i="1" s="1"/>
  <c r="S134" i="1"/>
  <c r="U134" i="1" s="1"/>
  <c r="S141" i="1"/>
  <c r="U141" i="1" s="1"/>
  <c r="S133" i="1"/>
  <c r="U133" i="1" s="1"/>
  <c r="S142" i="1"/>
  <c r="U142" i="1" s="1"/>
  <c r="S123" i="1"/>
  <c r="U123" i="1" s="1"/>
  <c r="N153" i="1"/>
  <c r="N137" i="1"/>
  <c r="N165" i="1"/>
  <c r="N167" i="1"/>
  <c r="N180" i="1"/>
  <c r="N124" i="1"/>
  <c r="N177" i="1"/>
  <c r="N162" i="1"/>
  <c r="N132" i="1"/>
  <c r="N149" i="1"/>
  <c r="N140" i="1"/>
  <c r="N145" i="1"/>
  <c r="N174" i="1"/>
  <c r="S168" i="1"/>
  <c r="U168" i="1" s="1"/>
  <c r="S158" i="1"/>
  <c r="S151" i="1"/>
  <c r="U151" i="1" s="1"/>
  <c r="S128" i="1"/>
  <c r="U128" i="1" s="1"/>
  <c r="S136" i="1"/>
  <c r="U136" i="1" s="1"/>
  <c r="S125" i="1"/>
  <c r="U125" i="1" s="1"/>
  <c r="N431" i="1" l="1"/>
  <c r="M432" i="1"/>
  <c r="U158" i="1"/>
  <c r="N148" i="1"/>
  <c r="N169" i="1"/>
  <c r="N147" i="1"/>
  <c r="N159" i="1"/>
  <c r="N123" i="1"/>
  <c r="N139" i="1"/>
  <c r="N136" i="1"/>
  <c r="N176" i="1"/>
  <c r="N133" i="1"/>
  <c r="N151" i="1"/>
  <c r="N163" i="1"/>
  <c r="N125" i="1"/>
  <c r="N134" i="1"/>
  <c r="N164" i="1"/>
  <c r="S146" i="1"/>
  <c r="U146" i="1" s="1"/>
  <c r="S181" i="1"/>
  <c r="U181" i="1" s="1"/>
  <c r="N158" i="1"/>
  <c r="S175" i="1"/>
  <c r="U175" i="1" s="1"/>
  <c r="N168" i="1"/>
  <c r="S130" i="1"/>
  <c r="U130" i="1" s="1"/>
  <c r="N142" i="1"/>
  <c r="S143" i="1"/>
  <c r="U143" i="1" s="1"/>
  <c r="N128" i="1"/>
  <c r="S126" i="1"/>
  <c r="S152" i="1"/>
  <c r="U152" i="1" s="1"/>
  <c r="N141" i="1"/>
  <c r="S157" i="1"/>
  <c r="U157" i="1" s="1"/>
  <c r="N161" i="1"/>
  <c r="S160" i="1"/>
  <c r="U160" i="1" s="1"/>
  <c r="S170" i="1"/>
  <c r="U170" i="1" s="1"/>
  <c r="S166" i="1"/>
  <c r="U166" i="1" s="1"/>
  <c r="S156" i="1"/>
  <c r="U156" i="1" s="1"/>
  <c r="S154" i="1"/>
  <c r="U154" i="1" s="1"/>
  <c r="S155" i="1"/>
  <c r="U155" i="1" s="1"/>
  <c r="S135" i="1"/>
  <c r="S129" i="1"/>
  <c r="S131" i="1"/>
  <c r="U131" i="1" s="1"/>
  <c r="S150" i="1"/>
  <c r="U150" i="1" s="1"/>
  <c r="S144" i="1"/>
  <c r="U144" i="1" s="1"/>
  <c r="S138" i="1"/>
  <c r="U138" i="1" s="1"/>
  <c r="S127" i="1"/>
  <c r="U127" i="1" s="1"/>
  <c r="N432" i="1" l="1"/>
  <c r="M433" i="1"/>
  <c r="U126" i="1"/>
  <c r="U129" i="1"/>
  <c r="U135" i="1"/>
  <c r="N150" i="1"/>
  <c r="N152" i="1"/>
  <c r="N129" i="1"/>
  <c r="N181" i="1"/>
  <c r="N143" i="1"/>
  <c r="N166" i="1"/>
  <c r="N130" i="1"/>
  <c r="N175" i="1"/>
  <c r="N157" i="1"/>
  <c r="N126" i="1"/>
  <c r="N170" i="1"/>
  <c r="N135" i="1"/>
  <c r="N160" i="1"/>
  <c r="N156" i="1"/>
  <c r="N131" i="1"/>
  <c r="N127" i="1"/>
  <c r="N138" i="1"/>
  <c r="N144" i="1"/>
  <c r="N154" i="1"/>
  <c r="N155" i="1"/>
  <c r="N146" i="1"/>
  <c r="P117" i="1"/>
  <c r="O117" i="1"/>
  <c r="P116" i="1"/>
  <c r="O116" i="1"/>
  <c r="P115" i="1"/>
  <c r="O115" i="1"/>
  <c r="P114" i="1"/>
  <c r="O114" i="1"/>
  <c r="P113" i="1"/>
  <c r="O113" i="1"/>
  <c r="N433" i="1" l="1"/>
  <c r="M434" i="1"/>
  <c r="Q113" i="1"/>
  <c r="R113" i="1" s="1"/>
  <c r="Q116" i="1"/>
  <c r="R116" i="1" s="1"/>
  <c r="Q115" i="1"/>
  <c r="R115" i="1" s="1"/>
  <c r="Q114" i="1"/>
  <c r="R114" i="1" s="1"/>
  <c r="Q117" i="1"/>
  <c r="R117" i="1" s="1"/>
  <c r="M435" i="1" l="1"/>
  <c r="N434" i="1"/>
  <c r="S113" i="1"/>
  <c r="U113" i="1" s="1"/>
  <c r="S116" i="1"/>
  <c r="N435" i="1" l="1"/>
  <c r="M436" i="1"/>
  <c r="N113" i="1"/>
  <c r="S114" i="1"/>
  <c r="U114" i="1" s="1"/>
  <c r="S117" i="1"/>
  <c r="U117" i="1" s="1"/>
  <c r="U116" i="1"/>
  <c r="N116" i="1"/>
  <c r="S115" i="1"/>
  <c r="U115" i="1" s="1"/>
  <c r="N436" i="1" l="1"/>
  <c r="M437" i="1"/>
  <c r="N115" i="1"/>
  <c r="N114" i="1"/>
  <c r="N117" i="1"/>
  <c r="O105" i="1"/>
  <c r="P105" i="1"/>
  <c r="O106" i="1"/>
  <c r="P106" i="1"/>
  <c r="O107" i="1"/>
  <c r="P107" i="1"/>
  <c r="O108" i="1"/>
  <c r="P108" i="1"/>
  <c r="O110" i="1"/>
  <c r="P110" i="1"/>
  <c r="O111" i="1"/>
  <c r="P111" i="1"/>
  <c r="O112" i="1"/>
  <c r="P112" i="1"/>
  <c r="O118" i="1"/>
  <c r="P118" i="1"/>
  <c r="O119" i="1"/>
  <c r="P119" i="1"/>
  <c r="O120" i="1"/>
  <c r="P120" i="1"/>
  <c r="O121" i="1"/>
  <c r="P121" i="1"/>
  <c r="O122" i="1"/>
  <c r="P122" i="1"/>
  <c r="P104" i="1"/>
  <c r="O104" i="1"/>
  <c r="P103" i="1"/>
  <c r="O103" i="1"/>
  <c r="P102" i="1"/>
  <c r="O102" i="1"/>
  <c r="P101" i="1"/>
  <c r="O101" i="1"/>
  <c r="Q2" i="1"/>
  <c r="H71" i="1"/>
  <c r="H70" i="1"/>
  <c r="H69" i="1"/>
  <c r="H68" i="1"/>
  <c r="H67" i="1"/>
  <c r="H66" i="1"/>
  <c r="H65" i="1"/>
  <c r="H64" i="1"/>
  <c r="H63" i="1"/>
  <c r="G71" i="1"/>
  <c r="G70" i="1"/>
  <c r="G69" i="1"/>
  <c r="G68" i="1"/>
  <c r="G67" i="1"/>
  <c r="G66" i="1"/>
  <c r="G65" i="1"/>
  <c r="G64" i="1"/>
  <c r="G63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O98" i="1"/>
  <c r="P98" i="1"/>
  <c r="O99" i="1"/>
  <c r="P99" i="1"/>
  <c r="O100" i="1"/>
  <c r="P100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50" i="1"/>
  <c r="O50" i="1"/>
  <c r="P49" i="1"/>
  <c r="O49" i="1"/>
  <c r="P48" i="1"/>
  <c r="O48" i="1"/>
  <c r="P47" i="1"/>
  <c r="O47" i="1"/>
  <c r="P46" i="1"/>
  <c r="O46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5" i="1"/>
  <c r="O35" i="1"/>
  <c r="P34" i="1"/>
  <c r="O34" i="1"/>
  <c r="P33" i="1"/>
  <c r="O33" i="1"/>
  <c r="M438" i="1" l="1"/>
  <c r="N437" i="1"/>
  <c r="Q97" i="1"/>
  <c r="R97" i="1" s="1"/>
  <c r="S97" i="1" s="1"/>
  <c r="U97" i="1" s="1"/>
  <c r="Q47" i="1"/>
  <c r="R47" i="1" s="1"/>
  <c r="S47" i="1" s="1"/>
  <c r="U47" i="1" s="1"/>
  <c r="Q87" i="1"/>
  <c r="R87" i="1" s="1"/>
  <c r="S87" i="1" s="1"/>
  <c r="U87" i="1" s="1"/>
  <c r="Q77" i="1"/>
  <c r="R77" i="1" s="1"/>
  <c r="S77" i="1" s="1"/>
  <c r="U77" i="1" s="1"/>
  <c r="Q121" i="1"/>
  <c r="R121" i="1" s="1"/>
  <c r="S121" i="1" s="1"/>
  <c r="U121" i="1" s="1"/>
  <c r="Q95" i="1"/>
  <c r="R95" i="1" s="1"/>
  <c r="Q118" i="1"/>
  <c r="R118" i="1" s="1"/>
  <c r="Q41" i="1"/>
  <c r="R41" i="1" s="1"/>
  <c r="S41" i="1" s="1"/>
  <c r="U41" i="1" s="1"/>
  <c r="Q43" i="1"/>
  <c r="R43" i="1" s="1"/>
  <c r="Q79" i="1"/>
  <c r="R79" i="1" s="1"/>
  <c r="Q90" i="1"/>
  <c r="R90" i="1" s="1"/>
  <c r="S90" i="1" s="1"/>
  <c r="U90" i="1" s="1"/>
  <c r="Q110" i="1"/>
  <c r="R110" i="1" s="1"/>
  <c r="Q38" i="1"/>
  <c r="R38" i="1" s="1"/>
  <c r="Q49" i="1"/>
  <c r="R49" i="1" s="1"/>
  <c r="Q85" i="1"/>
  <c r="R85" i="1" s="1"/>
  <c r="S85" i="1" s="1"/>
  <c r="U85" i="1" s="1"/>
  <c r="Q101" i="1"/>
  <c r="Q106" i="1"/>
  <c r="R106" i="1" s="1"/>
  <c r="S106" i="1" s="1"/>
  <c r="U106" i="1" s="1"/>
  <c r="Q99" i="1"/>
  <c r="R99" i="1" s="1"/>
  <c r="S99" i="1" s="1"/>
  <c r="U99" i="1" s="1"/>
  <c r="Q39" i="1"/>
  <c r="R39" i="1" s="1"/>
  <c r="Q94" i="1"/>
  <c r="R94" i="1" s="1"/>
  <c r="S94" i="1" s="1"/>
  <c r="U94" i="1" s="1"/>
  <c r="Q92" i="1"/>
  <c r="R92" i="1" s="1"/>
  <c r="Q112" i="1"/>
  <c r="R112" i="1" s="1"/>
  <c r="Q76" i="1"/>
  <c r="Q93" i="1"/>
  <c r="R93" i="1" s="1"/>
  <c r="Q108" i="1"/>
  <c r="R108" i="1" s="1"/>
  <c r="S108" i="1" s="1"/>
  <c r="U108" i="1" s="1"/>
  <c r="Q81" i="1"/>
  <c r="R81" i="1" s="1"/>
  <c r="S81" i="1" s="1"/>
  <c r="U81" i="1" s="1"/>
  <c r="Q88" i="1"/>
  <c r="R88" i="1" s="1"/>
  <c r="Q105" i="1"/>
  <c r="R105" i="1" s="1"/>
  <c r="S105" i="1" s="1"/>
  <c r="U105" i="1" s="1"/>
  <c r="Q83" i="1"/>
  <c r="S83" i="1" s="1"/>
  <c r="U83" i="1" s="1"/>
  <c r="Q103" i="1"/>
  <c r="R103" i="1" s="1"/>
  <c r="Q122" i="1"/>
  <c r="Q111" i="1"/>
  <c r="R111" i="1" s="1"/>
  <c r="Q120" i="1"/>
  <c r="R120" i="1" s="1"/>
  <c r="Q107" i="1"/>
  <c r="R107" i="1" s="1"/>
  <c r="Q119" i="1"/>
  <c r="R2" i="1"/>
  <c r="P2" i="1"/>
  <c r="Q102" i="1"/>
  <c r="R102" i="1" s="1"/>
  <c r="Q104" i="1"/>
  <c r="R104" i="1" s="1"/>
  <c r="Q98" i="1"/>
  <c r="R98" i="1" s="1"/>
  <c r="Q91" i="1"/>
  <c r="R91" i="1" s="1"/>
  <c r="Q84" i="1"/>
  <c r="R84" i="1" s="1"/>
  <c r="Q96" i="1"/>
  <c r="R96" i="1" s="1"/>
  <c r="Q89" i="1"/>
  <c r="R89" i="1" s="1"/>
  <c r="Q100" i="1"/>
  <c r="Q86" i="1"/>
  <c r="R86" i="1" s="1"/>
  <c r="Q75" i="1"/>
  <c r="R75" i="1" s="1"/>
  <c r="Q78" i="1"/>
  <c r="R78" i="1" s="1"/>
  <c r="Q80" i="1"/>
  <c r="R80" i="1" s="1"/>
  <c r="Q82" i="1"/>
  <c r="R82" i="1" s="1"/>
  <c r="Q74" i="1"/>
  <c r="R74" i="1" s="1"/>
  <c r="Q73" i="1"/>
  <c r="R73" i="1" s="1"/>
  <c r="Q72" i="1"/>
  <c r="Q46" i="1"/>
  <c r="R46" i="1" s="1"/>
  <c r="Q48" i="1"/>
  <c r="R48" i="1" s="1"/>
  <c r="Q50" i="1"/>
  <c r="R50" i="1" s="1"/>
  <c r="Q42" i="1"/>
  <c r="R42" i="1" s="1"/>
  <c r="Q37" i="1"/>
  <c r="R37" i="1" s="1"/>
  <c r="Q44" i="1"/>
  <c r="R44" i="1" s="1"/>
  <c r="Q40" i="1"/>
  <c r="R40" i="1" s="1"/>
  <c r="Q34" i="1"/>
  <c r="Q35" i="1"/>
  <c r="Q33" i="1"/>
  <c r="N438" i="1" l="1"/>
  <c r="M439" i="1"/>
  <c r="S49" i="1"/>
  <c r="U49" i="1" s="1"/>
  <c r="S95" i="1"/>
  <c r="S79" i="1"/>
  <c r="U79" i="1" s="1"/>
  <c r="S76" i="1"/>
  <c r="U76" i="1" s="1"/>
  <c r="S110" i="1"/>
  <c r="U110" i="1" s="1"/>
  <c r="S92" i="1"/>
  <c r="U92" i="1" s="1"/>
  <c r="S118" i="1"/>
  <c r="U118" i="1" s="1"/>
  <c r="S101" i="1"/>
  <c r="U101" i="1" s="1"/>
  <c r="S88" i="1"/>
  <c r="U88" i="1" s="1"/>
  <c r="S38" i="1"/>
  <c r="U38" i="1" s="1"/>
  <c r="N81" i="1"/>
  <c r="N99" i="1"/>
  <c r="N87" i="1"/>
  <c r="S103" i="1"/>
  <c r="U103" i="1" s="1"/>
  <c r="N121" i="1"/>
  <c r="N108" i="1"/>
  <c r="N90" i="1"/>
  <c r="N106" i="1"/>
  <c r="N47" i="1"/>
  <c r="N83" i="1"/>
  <c r="N85" i="1"/>
  <c r="N77" i="1"/>
  <c r="N94" i="1"/>
  <c r="N41" i="1"/>
  <c r="N97" i="1"/>
  <c r="N105" i="1"/>
  <c r="S122" i="1"/>
  <c r="U122" i="1" s="1"/>
  <c r="S112" i="1"/>
  <c r="U112" i="1" s="1"/>
  <c r="S93" i="1"/>
  <c r="S43" i="1"/>
  <c r="S39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6" i="1"/>
  <c r="P45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4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45" i="1"/>
  <c r="O36" i="1"/>
  <c r="O32" i="1"/>
  <c r="O31" i="1"/>
  <c r="O30" i="1"/>
  <c r="O29" i="1"/>
  <c r="O28" i="1"/>
  <c r="O27" i="1"/>
  <c r="O26" i="1"/>
  <c r="O25" i="1"/>
  <c r="O24" i="1"/>
  <c r="O23" i="1"/>
  <c r="O22" i="1"/>
  <c r="O5" i="1"/>
  <c r="O6" i="1"/>
  <c r="O7" i="1"/>
  <c r="O4" i="1"/>
  <c r="O20" i="1"/>
  <c r="O21" i="1"/>
  <c r="O19" i="1"/>
  <c r="O18" i="1"/>
  <c r="O17" i="1"/>
  <c r="O16" i="1"/>
  <c r="O15" i="1"/>
  <c r="O14" i="1"/>
  <c r="O13" i="1"/>
  <c r="O12" i="1"/>
  <c r="O11" i="1"/>
  <c r="O10" i="1"/>
  <c r="O9" i="1"/>
  <c r="O8" i="1"/>
  <c r="N439" i="1" l="1"/>
  <c r="M440" i="1"/>
  <c r="U95" i="1"/>
  <c r="N95" i="1"/>
  <c r="N118" i="1"/>
  <c r="N76" i="1"/>
  <c r="N110" i="1"/>
  <c r="N79" i="1"/>
  <c r="N49" i="1"/>
  <c r="N38" i="1"/>
  <c r="N101" i="1"/>
  <c r="N88" i="1"/>
  <c r="N103" i="1"/>
  <c r="Q59" i="1"/>
  <c r="R59" i="1" s="1"/>
  <c r="U43" i="1"/>
  <c r="N43" i="1"/>
  <c r="Q58" i="1"/>
  <c r="Q28" i="1"/>
  <c r="R28" i="1" s="1"/>
  <c r="S28" i="1" s="1"/>
  <c r="U28" i="1" s="1"/>
  <c r="S84" i="1"/>
  <c r="U84" i="1" s="1"/>
  <c r="S46" i="1"/>
  <c r="U46" i="1" s="1"/>
  <c r="S48" i="1"/>
  <c r="U48" i="1" s="1"/>
  <c r="S96" i="1"/>
  <c r="U96" i="1" s="1"/>
  <c r="Q55" i="1"/>
  <c r="R55" i="1" s="1"/>
  <c r="S55" i="1" s="1"/>
  <c r="S74" i="1"/>
  <c r="U74" i="1" s="1"/>
  <c r="U93" i="1"/>
  <c r="N93" i="1"/>
  <c r="Q24" i="1"/>
  <c r="R24" i="1" s="1"/>
  <c r="S102" i="1"/>
  <c r="U102" i="1" s="1"/>
  <c r="S72" i="1"/>
  <c r="Q22" i="1"/>
  <c r="R22" i="1" s="1"/>
  <c r="S33" i="1"/>
  <c r="U33" i="1" s="1"/>
  <c r="S75" i="1"/>
  <c r="U75" i="1" s="1"/>
  <c r="S120" i="1"/>
  <c r="U120" i="1" s="1"/>
  <c r="S34" i="1"/>
  <c r="U34" i="1" s="1"/>
  <c r="S107" i="1"/>
  <c r="U107" i="1" s="1"/>
  <c r="N112" i="1"/>
  <c r="Q45" i="1"/>
  <c r="R45" i="1" s="1"/>
  <c r="Q20" i="1"/>
  <c r="R20" i="1" s="1"/>
  <c r="Q6" i="1"/>
  <c r="R6" i="1" s="1"/>
  <c r="S6" i="1" s="1"/>
  <c r="U39" i="1"/>
  <c r="N39" i="1"/>
  <c r="S42" i="1"/>
  <c r="U42" i="1" s="1"/>
  <c r="S82" i="1"/>
  <c r="U82" i="1" s="1"/>
  <c r="Q62" i="1"/>
  <c r="R62" i="1" s="1"/>
  <c r="S98" i="1"/>
  <c r="U98" i="1" s="1"/>
  <c r="N122" i="1"/>
  <c r="S89" i="1"/>
  <c r="U89" i="1" s="1"/>
  <c r="N92" i="1"/>
  <c r="S40" i="1"/>
  <c r="U40" i="1" s="1"/>
  <c r="S91" i="1"/>
  <c r="U91" i="1" s="1"/>
  <c r="S119" i="1"/>
  <c r="U119" i="1" s="1"/>
  <c r="S111" i="1"/>
  <c r="U111" i="1" s="1"/>
  <c r="S104" i="1"/>
  <c r="U104" i="1" s="1"/>
  <c r="S100" i="1"/>
  <c r="U100" i="1" s="1"/>
  <c r="S86" i="1"/>
  <c r="U86" i="1" s="1"/>
  <c r="S80" i="1"/>
  <c r="U80" i="1" s="1"/>
  <c r="S78" i="1"/>
  <c r="U78" i="1" s="1"/>
  <c r="S73" i="1"/>
  <c r="U73" i="1" s="1"/>
  <c r="S50" i="1"/>
  <c r="U50" i="1" s="1"/>
  <c r="S37" i="1"/>
  <c r="U37" i="1" s="1"/>
  <c r="S44" i="1"/>
  <c r="U44" i="1" s="1"/>
  <c r="S35" i="1"/>
  <c r="U35" i="1" s="1"/>
  <c r="Q64" i="1"/>
  <c r="R64" i="1" s="1"/>
  <c r="S64" i="1" s="1"/>
  <c r="U64" i="1" s="1"/>
  <c r="Q65" i="1"/>
  <c r="R65" i="1" s="1"/>
  <c r="Q66" i="1"/>
  <c r="R66" i="1" s="1"/>
  <c r="S66" i="1" s="1"/>
  <c r="Q67" i="1"/>
  <c r="R67" i="1" s="1"/>
  <c r="S67" i="1" s="1"/>
  <c r="U67" i="1" s="1"/>
  <c r="Q68" i="1"/>
  <c r="R68" i="1" s="1"/>
  <c r="S68" i="1" s="1"/>
  <c r="U68" i="1" s="1"/>
  <c r="Q69" i="1"/>
  <c r="R69" i="1" s="1"/>
  <c r="Q70" i="1"/>
  <c r="R70" i="1" s="1"/>
  <c r="S70" i="1" s="1"/>
  <c r="U70" i="1" s="1"/>
  <c r="Q71" i="1"/>
  <c r="R71" i="1" s="1"/>
  <c r="Q61" i="1"/>
  <c r="R61" i="1" s="1"/>
  <c r="Q54" i="1"/>
  <c r="R54" i="1" s="1"/>
  <c r="S54" i="1" s="1"/>
  <c r="U54" i="1" s="1"/>
  <c r="Q56" i="1"/>
  <c r="R56" i="1" s="1"/>
  <c r="S56" i="1" s="1"/>
  <c r="U56" i="1" s="1"/>
  <c r="Q51" i="1"/>
  <c r="Q57" i="1"/>
  <c r="R57" i="1" s="1"/>
  <c r="S57" i="1" s="1"/>
  <c r="U57" i="1" s="1"/>
  <c r="Q29" i="1"/>
  <c r="R29" i="1" s="1"/>
  <c r="Q31" i="1"/>
  <c r="R31" i="1" s="1"/>
  <c r="S31" i="1" s="1"/>
  <c r="U31" i="1" s="1"/>
  <c r="Q32" i="1"/>
  <c r="S32" i="1" s="1"/>
  <c r="U32" i="1" s="1"/>
  <c r="Q36" i="1"/>
  <c r="R36" i="1" s="1"/>
  <c r="S36" i="1" s="1"/>
  <c r="U36" i="1" s="1"/>
  <c r="Q23" i="1"/>
  <c r="R23" i="1" s="1"/>
  <c r="S23" i="1" s="1"/>
  <c r="U23" i="1" s="1"/>
  <c r="Q25" i="1"/>
  <c r="R25" i="1" s="1"/>
  <c r="Q26" i="1"/>
  <c r="R26" i="1" s="1"/>
  <c r="S26" i="1" s="1"/>
  <c r="U26" i="1" s="1"/>
  <c r="Q4" i="1"/>
  <c r="R4" i="1" s="1"/>
  <c r="Q7" i="1"/>
  <c r="S7" i="1" s="1"/>
  <c r="U7" i="1" s="1"/>
  <c r="Q5" i="1"/>
  <c r="R5" i="1" s="1"/>
  <c r="Q21" i="1"/>
  <c r="R21" i="1" s="1"/>
  <c r="S21" i="1" s="1"/>
  <c r="U21" i="1" s="1"/>
  <c r="N440" i="1" l="1"/>
  <c r="M441" i="1"/>
  <c r="U6" i="1"/>
  <c r="U66" i="1"/>
  <c r="U55" i="1"/>
  <c r="U72" i="1"/>
  <c r="N84" i="1"/>
  <c r="N72" i="1"/>
  <c r="N55" i="1"/>
  <c r="N40" i="1"/>
  <c r="N98" i="1"/>
  <c r="N6" i="1"/>
  <c r="S45" i="1"/>
  <c r="U45" i="1" s="1"/>
  <c r="N82" i="1"/>
  <c r="N68" i="1"/>
  <c r="N46" i="1"/>
  <c r="N89" i="1"/>
  <c r="N31" i="1"/>
  <c r="N74" i="1"/>
  <c r="N23" i="1"/>
  <c r="N26" i="1"/>
  <c r="N57" i="1"/>
  <c r="N54" i="1"/>
  <c r="N21" i="1"/>
  <c r="N28" i="1"/>
  <c r="N91" i="1"/>
  <c r="N42" i="1"/>
  <c r="N75" i="1"/>
  <c r="N96" i="1"/>
  <c r="N56" i="1"/>
  <c r="N111" i="1"/>
  <c r="N120" i="1"/>
  <c r="N35" i="1"/>
  <c r="N86" i="1"/>
  <c r="N44" i="1"/>
  <c r="N64" i="1"/>
  <c r="N33" i="1"/>
  <c r="N67" i="1"/>
  <c r="N100" i="1"/>
  <c r="N107" i="1"/>
  <c r="N102" i="1"/>
  <c r="N119" i="1"/>
  <c r="N78" i="1"/>
  <c r="N73" i="1"/>
  <c r="N70" i="1"/>
  <c r="N37" i="1"/>
  <c r="N80" i="1"/>
  <c r="N34" i="1"/>
  <c r="N48" i="1"/>
  <c r="N66" i="1"/>
  <c r="N50" i="1"/>
  <c r="N32" i="1"/>
  <c r="N7" i="1"/>
  <c r="N104" i="1"/>
  <c r="N36" i="1"/>
  <c r="Q52" i="1"/>
  <c r="Q53" i="1"/>
  <c r="R53" i="1" s="1"/>
  <c r="S24" i="1"/>
  <c r="N24" i="1" s="1"/>
  <c r="Q60" i="1"/>
  <c r="S22" i="1"/>
  <c r="U22" i="1" s="1"/>
  <c r="Q63" i="1"/>
  <c r="R63" i="1" s="1"/>
  <c r="Q19" i="1"/>
  <c r="R19" i="1" s="1"/>
  <c r="Q30" i="1"/>
  <c r="R30" i="1" s="1"/>
  <c r="S65" i="1"/>
  <c r="U65" i="1" s="1"/>
  <c r="S62" i="1"/>
  <c r="U62" i="1" s="1"/>
  <c r="S59" i="1"/>
  <c r="U59" i="1" s="1"/>
  <c r="S58" i="1"/>
  <c r="S25" i="1"/>
  <c r="U25" i="1" s="1"/>
  <c r="S5" i="1"/>
  <c r="Q27" i="1"/>
  <c r="R27" i="1" s="1"/>
  <c r="S20" i="1"/>
  <c r="U20" i="1" s="1"/>
  <c r="M442" i="1" l="1"/>
  <c r="N441" i="1"/>
  <c r="U58" i="1"/>
  <c r="N45" i="1"/>
  <c r="N25" i="1"/>
  <c r="N62" i="1"/>
  <c r="N58" i="1"/>
  <c r="S61" i="1"/>
  <c r="U61" i="1" s="1"/>
  <c r="N65" i="1"/>
  <c r="N22" i="1"/>
  <c r="N20" i="1"/>
  <c r="U5" i="1"/>
  <c r="N5" i="1"/>
  <c r="N59" i="1"/>
  <c r="U24" i="1"/>
  <c r="S52" i="1"/>
  <c r="N52" i="1" s="1"/>
  <c r="S29" i="1"/>
  <c r="N29" i="1" s="1"/>
  <c r="S51" i="1"/>
  <c r="N51" i="1" s="1"/>
  <c r="S4" i="1"/>
  <c r="S69" i="1"/>
  <c r="U69" i="1" s="1"/>
  <c r="S71" i="1"/>
  <c r="U71" i="1" s="1"/>
  <c r="N442" i="1" l="1"/>
  <c r="M443" i="1"/>
  <c r="U4" i="1"/>
  <c r="N61" i="1"/>
  <c r="N69" i="1"/>
  <c r="S60" i="1"/>
  <c r="U60" i="1" s="1"/>
  <c r="N4" i="1"/>
  <c r="N71" i="1"/>
  <c r="U51" i="1"/>
  <c r="U29" i="1"/>
  <c r="U52" i="1"/>
  <c r="S19" i="1"/>
  <c r="U19" i="1" s="1"/>
  <c r="S53" i="1"/>
  <c r="U53" i="1" s="1"/>
  <c r="S27" i="1"/>
  <c r="U27" i="1" s="1"/>
  <c r="S30" i="1"/>
  <c r="U30" i="1" s="1"/>
  <c r="S63" i="1"/>
  <c r="U63" i="1" s="1"/>
  <c r="N443" i="1" l="1"/>
  <c r="M444" i="1"/>
  <c r="N60" i="1"/>
  <c r="N63" i="1"/>
  <c r="N30" i="1"/>
  <c r="N27" i="1"/>
  <c r="N19" i="1"/>
  <c r="N53" i="1"/>
  <c r="Q17" i="1"/>
  <c r="R17" i="1" s="1"/>
  <c r="Q10" i="1"/>
  <c r="R10" i="1" s="1"/>
  <c r="Q11" i="1"/>
  <c r="R11" i="1" s="1"/>
  <c r="Q12" i="1"/>
  <c r="R12" i="1" s="1"/>
  <c r="Q13" i="1"/>
  <c r="R13" i="1" s="1"/>
  <c r="Q16" i="1"/>
  <c r="R16" i="1" s="1"/>
  <c r="Q14" i="1"/>
  <c r="R14" i="1" s="1"/>
  <c r="Q15" i="1"/>
  <c r="R15" i="1" s="1"/>
  <c r="N444" i="1" l="1"/>
  <c r="M445" i="1"/>
  <c r="S14" i="1"/>
  <c r="U14" i="1" s="1"/>
  <c r="S16" i="1"/>
  <c r="U16" i="1" s="1"/>
  <c r="S12" i="1"/>
  <c r="U12" i="1" s="1"/>
  <c r="S11" i="1"/>
  <c r="U11" i="1" s="1"/>
  <c r="S10" i="1"/>
  <c r="U10" i="1" s="1"/>
  <c r="S17" i="1"/>
  <c r="U17" i="1" s="1"/>
  <c r="Q8" i="1"/>
  <c r="R8" i="1" s="1"/>
  <c r="Q9" i="1"/>
  <c r="R9" i="1" s="1"/>
  <c r="Q18" i="1"/>
  <c r="R18" i="1" s="1"/>
  <c r="N445" i="1" l="1"/>
  <c r="M446" i="1"/>
  <c r="N10" i="1"/>
  <c r="N17" i="1"/>
  <c r="N12" i="1"/>
  <c r="N16" i="1"/>
  <c r="N11" i="1"/>
  <c r="N14" i="1"/>
  <c r="S13" i="1"/>
  <c r="U13" i="1" s="1"/>
  <c r="S15" i="1"/>
  <c r="U15" i="1" s="1"/>
  <c r="S18" i="1"/>
  <c r="U18" i="1" s="1"/>
  <c r="S9" i="1"/>
  <c r="U9" i="1" s="1"/>
  <c r="M447" i="1" l="1"/>
  <c r="N446" i="1"/>
  <c r="N9" i="1"/>
  <c r="N13" i="1"/>
  <c r="N18" i="1"/>
  <c r="N15" i="1"/>
  <c r="S8" i="1"/>
  <c r="N8" i="1" s="1"/>
  <c r="N447" i="1" l="1"/>
  <c r="M448" i="1"/>
  <c r="U8" i="1"/>
  <c r="G21" i="3"/>
  <c r="M449" i="1" l="1"/>
  <c r="N448" i="1"/>
  <c r="N449" i="1" l="1"/>
  <c r="M450" i="1"/>
  <c r="N450" i="1" l="1"/>
  <c r="M451" i="1"/>
  <c r="N451" i="1" l="1"/>
  <c r="M452" i="1"/>
  <c r="N452" i="1" l="1"/>
  <c r="M453" i="1"/>
  <c r="N453" i="1" l="1"/>
  <c r="M454" i="1"/>
  <c r="N454" i="1" l="1"/>
  <c r="M455" i="1"/>
  <c r="M456" i="1" l="1"/>
  <c r="N455" i="1"/>
  <c r="N456" i="1" l="1"/>
  <c r="M457" i="1"/>
  <c r="N457" i="1" l="1"/>
  <c r="M458" i="1"/>
  <c r="N458" i="1" l="1"/>
  <c r="M459" i="1"/>
  <c r="N459" i="1" l="1"/>
  <c r="M460" i="1"/>
  <c r="N460" i="1" l="1"/>
  <c r="M461" i="1"/>
  <c r="M462" i="1" l="1"/>
  <c r="N461" i="1"/>
  <c r="M463" i="1" l="1"/>
  <c r="N462" i="1"/>
  <c r="N463" i="1" l="1"/>
  <c r="M464" i="1"/>
  <c r="M465" i="1" l="1"/>
  <c r="N464" i="1"/>
  <c r="N465" i="1" l="1"/>
  <c r="M466" i="1"/>
  <c r="M467" i="1" l="1"/>
  <c r="N466" i="1"/>
  <c r="M468" i="1" l="1"/>
  <c r="N467" i="1"/>
  <c r="N468" i="1" l="1"/>
  <c r="M469" i="1"/>
  <c r="M470" i="1" l="1"/>
  <c r="N469" i="1"/>
  <c r="N470" i="1" l="1"/>
  <c r="M471" i="1"/>
  <c r="N471" i="1" l="1"/>
  <c r="M472" i="1"/>
  <c r="N472" i="1" l="1"/>
  <c r="M473" i="1"/>
  <c r="N473" i="1" l="1"/>
  <c r="M474" i="1"/>
  <c r="N474" i="1" l="1"/>
  <c r="M475" i="1"/>
  <c r="M476" i="1" l="1"/>
  <c r="N475" i="1"/>
  <c r="M477" i="1" l="1"/>
  <c r="N476" i="1"/>
  <c r="N477" i="1" l="1"/>
  <c r="M478" i="1"/>
  <c r="N478" i="1" l="1"/>
  <c r="M479" i="1"/>
  <c r="N479" i="1" l="1"/>
  <c r="M480" i="1"/>
  <c r="N480" i="1" l="1"/>
  <c r="M481" i="1"/>
  <c r="M482" i="1" l="1"/>
  <c r="N481" i="1"/>
  <c r="N482" i="1" l="1"/>
  <c r="M483" i="1"/>
  <c r="M484" i="1" l="1"/>
  <c r="N483" i="1"/>
  <c r="N484" i="1" l="1"/>
  <c r="M485" i="1"/>
  <c r="N485" i="1" l="1"/>
  <c r="M486" i="1"/>
  <c r="N486" i="1" l="1"/>
  <c r="M487" i="1"/>
  <c r="N487" i="1" l="1"/>
  <c r="M488" i="1"/>
  <c r="N488" i="1" l="1"/>
  <c r="M489" i="1"/>
  <c r="N489" i="1" l="1"/>
  <c r="M490" i="1"/>
  <c r="M491" i="1" l="1"/>
  <c r="N490" i="1"/>
  <c r="N491" i="1" l="1"/>
  <c r="M492" i="1"/>
  <c r="N492" i="1" l="1"/>
  <c r="M493" i="1"/>
  <c r="N493" i="1" l="1"/>
  <c r="M494" i="1"/>
  <c r="N494" i="1" l="1"/>
  <c r="M495" i="1"/>
  <c r="M496" i="1" l="1"/>
  <c r="N495" i="1"/>
  <c r="N496" i="1" l="1"/>
  <c r="M497" i="1"/>
  <c r="M498" i="1" l="1"/>
  <c r="N497" i="1"/>
  <c r="M499" i="1" l="1"/>
  <c r="N498" i="1"/>
  <c r="N499" i="1" l="1"/>
  <c r="M500" i="1"/>
  <c r="M501" i="1" l="1"/>
  <c r="N500" i="1"/>
  <c r="N501" i="1" l="1"/>
  <c r="M502" i="1"/>
  <c r="N502" i="1" l="1"/>
  <c r="M503" i="1"/>
  <c r="N503" i="1" l="1"/>
  <c r="M504" i="1"/>
  <c r="M505" i="1" l="1"/>
  <c r="N504" i="1"/>
  <c r="M506" i="1" l="1"/>
  <c r="N505" i="1"/>
  <c r="N506" i="1" l="1"/>
  <c r="M507" i="1"/>
  <c r="M508" i="1" l="1"/>
  <c r="N507" i="1"/>
  <c r="N508" i="1" l="1"/>
  <c r="M509" i="1"/>
  <c r="M510" i="1" l="1"/>
  <c r="N509" i="1"/>
  <c r="N510" i="1" l="1"/>
  <c r="M511" i="1"/>
  <c r="M512" i="1" l="1"/>
  <c r="N511" i="1"/>
  <c r="N512" i="1" l="1"/>
  <c r="M513" i="1"/>
  <c r="N513" i="1" l="1"/>
  <c r="M514" i="1"/>
  <c r="N514" i="1" l="1"/>
  <c r="M515" i="1"/>
  <c r="N515" i="1" l="1"/>
  <c r="M516" i="1"/>
  <c r="M517" i="1" l="1"/>
  <c r="N516" i="1"/>
  <c r="M518" i="1" l="1"/>
  <c r="N517" i="1"/>
  <c r="M519" i="1" l="1"/>
  <c r="N518" i="1"/>
  <c r="N519" i="1" l="1"/>
  <c r="M520" i="1"/>
  <c r="N520" i="1" l="1"/>
  <c r="M521" i="1"/>
  <c r="N521" i="1" l="1"/>
  <c r="M522" i="1"/>
  <c r="N522" i="1" l="1"/>
  <c r="M523" i="1"/>
  <c r="N523" i="1" l="1"/>
  <c r="M524" i="1"/>
  <c r="M525" i="1" l="1"/>
  <c r="N524" i="1"/>
  <c r="M526" i="1" l="1"/>
  <c r="N525" i="1"/>
  <c r="N526" i="1" l="1"/>
  <c r="M527" i="1"/>
  <c r="N527" i="1" l="1"/>
  <c r="M528" i="1"/>
  <c r="N528" i="1" l="1"/>
  <c r="M529" i="1"/>
  <c r="N529" i="1" l="1"/>
  <c r="M530" i="1"/>
  <c r="N530" i="1" l="1"/>
  <c r="M531" i="1"/>
  <c r="N531" i="1" l="1"/>
  <c r="M532" i="1"/>
  <c r="M533" i="1" l="1"/>
  <c r="N532" i="1"/>
  <c r="N533" i="1" l="1"/>
  <c r="M534" i="1"/>
  <c r="N534" i="1" l="1"/>
  <c r="M535" i="1"/>
  <c r="N535" i="1" l="1"/>
  <c r="M536" i="1"/>
  <c r="M537" i="1" l="1"/>
  <c r="N536" i="1"/>
  <c r="N537" i="1" l="1"/>
  <c r="M538" i="1"/>
  <c r="N538" i="1" l="1"/>
  <c r="M539" i="1"/>
  <c r="M540" i="1" l="1"/>
  <c r="N539" i="1"/>
  <c r="N540" i="1" l="1"/>
  <c r="M541" i="1"/>
  <c r="N541" i="1" l="1"/>
  <c r="M542" i="1"/>
  <c r="N542" i="1" l="1"/>
  <c r="M543" i="1"/>
  <c r="N543" i="1" l="1"/>
  <c r="M544" i="1"/>
  <c r="M545" i="1" l="1"/>
  <c r="N544" i="1"/>
  <c r="N545" i="1" l="1"/>
  <c r="M546" i="1"/>
  <c r="M547" i="1" l="1"/>
  <c r="N546" i="1"/>
  <c r="N547" i="1" l="1"/>
  <c r="M548" i="1"/>
  <c r="N548" i="1" l="1"/>
  <c r="M549" i="1"/>
  <c r="M550" i="1" l="1"/>
  <c r="N549" i="1"/>
  <c r="M551" i="1" l="1"/>
  <c r="N550" i="1"/>
  <c r="N551" i="1" l="1"/>
  <c r="M552" i="1"/>
  <c r="N552" i="1" l="1"/>
  <c r="M553" i="1"/>
  <c r="M554" i="1" l="1"/>
  <c r="N553" i="1"/>
  <c r="N554" i="1" l="1"/>
  <c r="M555" i="1"/>
  <c r="N555" i="1" l="1"/>
  <c r="M556" i="1"/>
  <c r="N556" i="1" l="1"/>
  <c r="M557" i="1"/>
  <c r="N557" i="1" l="1"/>
  <c r="M558" i="1"/>
  <c r="N558" i="1" l="1"/>
  <c r="M559" i="1"/>
  <c r="N559" i="1" l="1"/>
  <c r="M560" i="1"/>
  <c r="M561" i="1" l="1"/>
  <c r="N560" i="1"/>
  <c r="N561" i="1" l="1"/>
  <c r="M562" i="1"/>
  <c r="N562" i="1" l="1"/>
  <c r="M563" i="1"/>
  <c r="N563" i="1" l="1"/>
  <c r="M564" i="1"/>
  <c r="N564" i="1" l="1"/>
  <c r="M565" i="1"/>
  <c r="N565" i="1" l="1"/>
  <c r="M566" i="1"/>
  <c r="N566" i="1" l="1"/>
  <c r="M567" i="1"/>
  <c r="M568" i="1" l="1"/>
  <c r="N567" i="1"/>
  <c r="N568" i="1" l="1"/>
  <c r="M569" i="1"/>
  <c r="N569" i="1" l="1"/>
  <c r="M570" i="1"/>
  <c r="N570" i="1" l="1"/>
  <c r="M571" i="1"/>
  <c r="N571" i="1" l="1"/>
  <c r="M572" i="1"/>
  <c r="M573" i="1" l="1"/>
  <c r="N572" i="1"/>
  <c r="N573" i="1" l="1"/>
  <c r="M574" i="1"/>
  <c r="M575" i="1" l="1"/>
  <c r="N574" i="1"/>
  <c r="N575" i="1" l="1"/>
  <c r="M576" i="1"/>
  <c r="N576" i="1" l="1"/>
  <c r="M577" i="1"/>
  <c r="M578" i="1" l="1"/>
  <c r="N577" i="1"/>
  <c r="N578" i="1" l="1"/>
  <c r="M579" i="1"/>
  <c r="M580" i="1" l="1"/>
  <c r="N579" i="1"/>
  <c r="N580" i="1" l="1"/>
  <c r="M581" i="1"/>
  <c r="M582" i="1" l="1"/>
  <c r="N581" i="1"/>
  <c r="N582" i="1" l="1"/>
  <c r="M583" i="1"/>
  <c r="M584" i="1" l="1"/>
  <c r="N583" i="1"/>
  <c r="N584" i="1" l="1"/>
  <c r="M585" i="1"/>
  <c r="N585" i="1" l="1"/>
  <c r="M586" i="1"/>
  <c r="N586" i="1" l="1"/>
  <c r="M587" i="1"/>
  <c r="N587" i="1" l="1"/>
  <c r="M588" i="1"/>
  <c r="N588" i="1" l="1"/>
  <c r="M589" i="1"/>
  <c r="N589" i="1" l="1"/>
  <c r="M590" i="1"/>
  <c r="N590" i="1" l="1"/>
  <c r="M591" i="1"/>
  <c r="M592" i="1" l="1"/>
  <c r="N591" i="1"/>
  <c r="M593" i="1" l="1"/>
  <c r="N592" i="1"/>
  <c r="N593" i="1" l="1"/>
  <c r="M594" i="1"/>
  <c r="M595" i="1" l="1"/>
  <c r="N594" i="1"/>
  <c r="M596" i="1" l="1"/>
  <c r="N595" i="1"/>
  <c r="N596" i="1" l="1"/>
  <c r="M597" i="1"/>
  <c r="N597" i="1" l="1"/>
  <c r="M598" i="1"/>
  <c r="M599" i="1" l="1"/>
  <c r="N598" i="1"/>
  <c r="M600" i="1" l="1"/>
  <c r="N599" i="1"/>
  <c r="N600" i="1" l="1"/>
  <c r="M601" i="1"/>
  <c r="N601" i="1" l="1"/>
  <c r="M602" i="1"/>
  <c r="M603" i="1" l="1"/>
  <c r="N602" i="1"/>
  <c r="N603" i="1" l="1"/>
  <c r="M604" i="1"/>
  <c r="M605" i="1" l="1"/>
  <c r="N604" i="1"/>
  <c r="N605" i="1" l="1"/>
  <c r="M606" i="1"/>
  <c r="N606" i="1" l="1"/>
  <c r="M607" i="1"/>
  <c r="N607" i="1" l="1"/>
  <c r="M608" i="1"/>
  <c r="M609" i="1" l="1"/>
  <c r="N608" i="1"/>
  <c r="N609" i="1" l="1"/>
  <c r="M610" i="1"/>
  <c r="N610" i="1" l="1"/>
  <c r="M611" i="1"/>
  <c r="N611" i="1" l="1"/>
  <c r="M612" i="1"/>
  <c r="M613" i="1" l="1"/>
  <c r="N612" i="1"/>
  <c r="N613" i="1" l="1"/>
  <c r="M614" i="1"/>
  <c r="N614" i="1" l="1"/>
  <c r="M615" i="1"/>
  <c r="N615" i="1" l="1"/>
  <c r="M616" i="1"/>
  <c r="N616" i="1" l="1"/>
  <c r="M617" i="1"/>
  <c r="M618" i="1" l="1"/>
  <c r="N617" i="1"/>
  <c r="N618" i="1" l="1"/>
  <c r="M619" i="1"/>
  <c r="N619" i="1" l="1"/>
  <c r="M620" i="1"/>
  <c r="N620" i="1" l="1"/>
  <c r="M621" i="1"/>
  <c r="N621" i="1" l="1"/>
  <c r="M622" i="1"/>
  <c r="N622" i="1" l="1"/>
  <c r="M623" i="1"/>
  <c r="N623" i="1" l="1"/>
  <c r="M624" i="1"/>
  <c r="N624" i="1" l="1"/>
  <c r="M625" i="1"/>
  <c r="M626" i="1" l="1"/>
  <c r="N625" i="1"/>
  <c r="M627" i="1" l="1"/>
  <c r="N626" i="1"/>
  <c r="M628" i="1" l="1"/>
  <c r="N627" i="1"/>
  <c r="N628" i="1" l="1"/>
  <c r="M629" i="1"/>
  <c r="M630" i="1" l="1"/>
  <c r="N629" i="1"/>
  <c r="M631" i="1" l="1"/>
  <c r="N630" i="1"/>
  <c r="M632" i="1" l="1"/>
  <c r="N631" i="1"/>
  <c r="M633" i="1" l="1"/>
  <c r="N632" i="1"/>
  <c r="M634" i="1" l="1"/>
  <c r="N633" i="1"/>
  <c r="M635" i="1" l="1"/>
  <c r="N634" i="1"/>
  <c r="N635" i="1" l="1"/>
  <c r="M636" i="1"/>
  <c r="M637" i="1" l="1"/>
  <c r="N636" i="1"/>
  <c r="N637" i="1" l="1"/>
  <c r="M638" i="1"/>
  <c r="N638" i="1" l="1"/>
  <c r="M639" i="1"/>
  <c r="N639" i="1" l="1"/>
  <c r="M640" i="1"/>
  <c r="M641" i="1" l="1"/>
  <c r="N640" i="1"/>
  <c r="M642" i="1" l="1"/>
  <c r="N641" i="1"/>
  <c r="N642" i="1" l="1"/>
  <c r="M643" i="1"/>
  <c r="N643" i="1" l="1"/>
  <c r="M644" i="1"/>
  <c r="N644" i="1" l="1"/>
  <c r="M645" i="1"/>
  <c r="N645" i="1" l="1"/>
  <c r="M646" i="1"/>
  <c r="M647" i="1" l="1"/>
  <c r="N646" i="1"/>
  <c r="M648" i="1" l="1"/>
  <c r="N647" i="1"/>
  <c r="N648" i="1" l="1"/>
  <c r="M649" i="1"/>
  <c r="N649" i="1" l="1"/>
  <c r="M650" i="1"/>
  <c r="N650" i="1" l="1"/>
  <c r="M651" i="1"/>
  <c r="M652" i="1" l="1"/>
  <c r="N651" i="1"/>
  <c r="M653" i="1" l="1"/>
  <c r="N652" i="1"/>
  <c r="N653" i="1" l="1"/>
  <c r="M654" i="1"/>
  <c r="M655" i="1" l="1"/>
  <c r="N654" i="1"/>
  <c r="N655" i="1" l="1"/>
  <c r="M656" i="1"/>
  <c r="N656" i="1" l="1"/>
  <c r="M657" i="1"/>
  <c r="M658" i="1" l="1"/>
  <c r="N657" i="1"/>
  <c r="M659" i="1" l="1"/>
  <c r="N658" i="1"/>
  <c r="N659" i="1" l="1"/>
  <c r="M660" i="1"/>
  <c r="N660" i="1" l="1"/>
  <c r="M661" i="1"/>
  <c r="M662" i="1" l="1"/>
  <c r="N661" i="1"/>
  <c r="N662" i="1" l="1"/>
  <c r="M663" i="1"/>
  <c r="N663" i="1" l="1"/>
  <c r="M664" i="1"/>
  <c r="N664" i="1" l="1"/>
  <c r="M665" i="1"/>
  <c r="M666" i="1" l="1"/>
  <c r="N665" i="1"/>
  <c r="M667" i="1" l="1"/>
  <c r="N666" i="1"/>
  <c r="M668" i="1" l="1"/>
  <c r="N667" i="1"/>
  <c r="M669" i="1" l="1"/>
  <c r="N668" i="1"/>
  <c r="N669" i="1" l="1"/>
  <c r="M670" i="1"/>
  <c r="N670" i="1" l="1"/>
  <c r="M671" i="1"/>
  <c r="N671" i="1" l="1"/>
  <c r="M672" i="1"/>
  <c r="M673" i="1" l="1"/>
  <c r="N672" i="1"/>
  <c r="N673" i="1" l="1"/>
  <c r="M674" i="1"/>
  <c r="N674" i="1" l="1"/>
  <c r="M675" i="1"/>
  <c r="M676" i="1" l="1"/>
  <c r="N675" i="1"/>
  <c r="N676" i="1" l="1"/>
  <c r="M677" i="1"/>
  <c r="N677" i="1" l="1"/>
  <c r="M678" i="1"/>
  <c r="N678" i="1" l="1"/>
  <c r="M679" i="1"/>
  <c r="M680" i="1" l="1"/>
  <c r="N679" i="1"/>
  <c r="M681" i="1" l="1"/>
  <c r="N680" i="1"/>
  <c r="N681" i="1" l="1"/>
  <c r="M682" i="1"/>
  <c r="M683" i="1" l="1"/>
  <c r="N682" i="1"/>
  <c r="N683" i="1" l="1"/>
  <c r="M684" i="1"/>
  <c r="N684" i="1" l="1"/>
  <c r="M685" i="1"/>
  <c r="M686" i="1" l="1"/>
  <c r="N685" i="1"/>
  <c r="M687" i="1" l="1"/>
  <c r="N686" i="1"/>
  <c r="N687" i="1" l="1"/>
  <c r="M688" i="1"/>
  <c r="N688" i="1" l="1"/>
  <c r="M689" i="1"/>
  <c r="M690" i="1" l="1"/>
  <c r="N689" i="1"/>
  <c r="N690" i="1" l="1"/>
  <c r="M691" i="1"/>
  <c r="N691" i="1" l="1"/>
  <c r="M692" i="1"/>
  <c r="N692" i="1" l="1"/>
  <c r="M693" i="1"/>
  <c r="M694" i="1" l="1"/>
  <c r="N693" i="1"/>
  <c r="N694" i="1" l="1"/>
  <c r="M695" i="1"/>
  <c r="M696" i="1" l="1"/>
  <c r="N695" i="1"/>
  <c r="M697" i="1" l="1"/>
  <c r="N696" i="1"/>
  <c r="N697" i="1" l="1"/>
  <c r="M698" i="1"/>
  <c r="N698" i="1" l="1"/>
  <c r="M699" i="1"/>
  <c r="M700" i="1" l="1"/>
  <c r="N699" i="1"/>
  <c r="M701" i="1" l="1"/>
  <c r="N700" i="1"/>
  <c r="M702" i="1" l="1"/>
  <c r="N701" i="1"/>
  <c r="N702" i="1" l="1"/>
  <c r="M703" i="1"/>
  <c r="M704" i="1" l="1"/>
  <c r="N703" i="1"/>
  <c r="N704" i="1" l="1"/>
  <c r="M705" i="1"/>
  <c r="N705" i="1" l="1"/>
  <c r="M706" i="1"/>
  <c r="N706" i="1" l="1"/>
  <c r="M707" i="1"/>
  <c r="M708" i="1" l="1"/>
  <c r="N707" i="1"/>
  <c r="N708" i="1" l="1"/>
  <c r="M709" i="1"/>
  <c r="M710" i="1" l="1"/>
  <c r="N709" i="1"/>
  <c r="M711" i="1" l="1"/>
  <c r="N710" i="1"/>
  <c r="N711" i="1" l="1"/>
  <c r="M712" i="1"/>
  <c r="N712" i="1" l="1"/>
  <c r="M713" i="1"/>
  <c r="N713" i="1" l="1"/>
  <c r="M714" i="1"/>
  <c r="M715" i="1" l="1"/>
  <c r="N714" i="1"/>
  <c r="N715" i="1" l="1"/>
  <c r="M716" i="1"/>
  <c r="N716" i="1" l="1"/>
  <c r="M717" i="1"/>
  <c r="M718" i="1" l="1"/>
  <c r="N717" i="1"/>
  <c r="N718" i="1" l="1"/>
  <c r="M719" i="1"/>
  <c r="N719" i="1" l="1"/>
  <c r="M720" i="1"/>
  <c r="N720" i="1" l="1"/>
  <c r="M721" i="1"/>
  <c r="M722" i="1" l="1"/>
  <c r="N721" i="1"/>
  <c r="M723" i="1" l="1"/>
  <c r="N722" i="1"/>
  <c r="N723" i="1" l="1"/>
  <c r="M724" i="1"/>
  <c r="M725" i="1" l="1"/>
  <c r="N724" i="1"/>
  <c r="N725" i="1" l="1"/>
  <c r="M726" i="1"/>
  <c r="N726" i="1" l="1"/>
  <c r="M727" i="1"/>
  <c r="N727" i="1" l="1"/>
  <c r="M728" i="1"/>
  <c r="M729" i="1" l="1"/>
  <c r="N728" i="1"/>
  <c r="N729" i="1" l="1"/>
  <c r="M730" i="1"/>
  <c r="N730" i="1" l="1"/>
  <c r="M731" i="1"/>
  <c r="M732" i="1" l="1"/>
  <c r="N731" i="1"/>
  <c r="N732" i="1" l="1"/>
  <c r="M733" i="1"/>
  <c r="N733" i="1" l="1"/>
  <c r="M734" i="1"/>
  <c r="N734" i="1" l="1"/>
  <c r="M735" i="1"/>
  <c r="M736" i="1" l="1"/>
  <c r="N735" i="1"/>
  <c r="N736" i="1" l="1"/>
  <c r="M737" i="1"/>
  <c r="N737" i="1" l="1"/>
  <c r="M738" i="1"/>
  <c r="N738" i="1" l="1"/>
  <c r="M739" i="1"/>
  <c r="N739" i="1" l="1"/>
  <c r="M740" i="1"/>
  <c r="N740" i="1" l="1"/>
  <c r="M741" i="1"/>
  <c r="N741" i="1" l="1"/>
  <c r="M742" i="1"/>
  <c r="M743" i="1" l="1"/>
  <c r="N742" i="1"/>
  <c r="N743" i="1" l="1"/>
  <c r="M744" i="1"/>
  <c r="N744" i="1" l="1"/>
  <c r="M745" i="1"/>
  <c r="M746" i="1" l="1"/>
  <c r="N745" i="1"/>
  <c r="N746" i="1" l="1"/>
  <c r="M747" i="1"/>
  <c r="N747" i="1" l="1"/>
  <c r="M748" i="1"/>
  <c r="N748" i="1" l="1"/>
  <c r="M749" i="1"/>
  <c r="M750" i="1" l="1"/>
  <c r="N749" i="1"/>
  <c r="M751" i="1" l="1"/>
  <c r="N750" i="1"/>
  <c r="N751" i="1" l="1"/>
  <c r="M752" i="1"/>
  <c r="M753" i="1" l="1"/>
  <c r="N752" i="1"/>
  <c r="N753" i="1" l="1"/>
  <c r="M754" i="1"/>
  <c r="N754" i="1" l="1"/>
  <c r="M755" i="1"/>
  <c r="M756" i="1" l="1"/>
  <c r="N755" i="1"/>
  <c r="M757" i="1" l="1"/>
  <c r="N756" i="1"/>
  <c r="N757" i="1" l="1"/>
  <c r="M758" i="1"/>
  <c r="N758" i="1" l="1"/>
  <c r="M759" i="1"/>
  <c r="M760" i="1" l="1"/>
  <c r="N759" i="1"/>
  <c r="N760" i="1" l="1"/>
  <c r="M761" i="1"/>
  <c r="N761" i="1" l="1"/>
  <c r="M762" i="1"/>
  <c r="N762" i="1" l="1"/>
  <c r="M763" i="1"/>
  <c r="M764" i="1" l="1"/>
  <c r="N763" i="1"/>
  <c r="M765" i="1" l="1"/>
  <c r="N764" i="1"/>
  <c r="M766" i="1" l="1"/>
  <c r="N765" i="1"/>
  <c r="M767" i="1" l="1"/>
  <c r="N766" i="1"/>
  <c r="N767" i="1" l="1"/>
  <c r="M768" i="1"/>
  <c r="N768" i="1" l="1"/>
  <c r="M769" i="1"/>
  <c r="M770" i="1" l="1"/>
  <c r="N769" i="1"/>
  <c r="M771" i="1" l="1"/>
  <c r="N770" i="1"/>
  <c r="M772" i="1" l="1"/>
  <c r="N771" i="1"/>
  <c r="N772" i="1" l="1"/>
  <c r="M773" i="1"/>
  <c r="M774" i="1" l="1"/>
  <c r="N773" i="1"/>
  <c r="N774" i="1" l="1"/>
  <c r="M775" i="1"/>
  <c r="N775" i="1" l="1"/>
  <c r="M776" i="1"/>
  <c r="N776" i="1" l="1"/>
  <c r="M777" i="1"/>
  <c r="M778" i="1" l="1"/>
  <c r="N777" i="1"/>
  <c r="M779" i="1" l="1"/>
  <c r="N778" i="1"/>
  <c r="N779" i="1" l="1"/>
  <c r="M780" i="1"/>
  <c r="M781" i="1" l="1"/>
  <c r="N780" i="1"/>
  <c r="N781" i="1" l="1"/>
  <c r="M782" i="1"/>
  <c r="N782" i="1" l="1"/>
  <c r="M783" i="1"/>
  <c r="M784" i="1" l="1"/>
  <c r="N783" i="1"/>
  <c r="M785" i="1" l="1"/>
  <c r="N784" i="1"/>
  <c r="M786" i="1" l="1"/>
  <c r="N785" i="1"/>
  <c r="N786" i="1" l="1"/>
  <c r="M787" i="1"/>
  <c r="M788" i="1" l="1"/>
  <c r="N787" i="1"/>
  <c r="N788" i="1" l="1"/>
  <c r="M789" i="1"/>
  <c r="N789" i="1" l="1"/>
  <c r="M790" i="1"/>
  <c r="M791" i="1" l="1"/>
  <c r="N790" i="1"/>
  <c r="M792" i="1" l="1"/>
  <c r="N791" i="1"/>
  <c r="M793" i="1" l="1"/>
  <c r="N792" i="1"/>
  <c r="N793" i="1" l="1"/>
  <c r="M794" i="1"/>
  <c r="M795" i="1" l="1"/>
  <c r="N794" i="1"/>
  <c r="N795" i="1" l="1"/>
  <c r="M796" i="1"/>
  <c r="N796" i="1" l="1"/>
  <c r="M797" i="1"/>
  <c r="M798" i="1" l="1"/>
  <c r="N797" i="1"/>
  <c r="M799" i="1" l="1"/>
  <c r="N798" i="1"/>
  <c r="N799" i="1" l="1"/>
  <c r="M800" i="1"/>
  <c r="N800" i="1" l="1"/>
  <c r="M801" i="1"/>
  <c r="M802" i="1" l="1"/>
  <c r="N801" i="1"/>
  <c r="N802" i="1" l="1"/>
  <c r="M803" i="1"/>
  <c r="N803" i="1" l="1"/>
  <c r="M804" i="1"/>
  <c r="N804" i="1" l="1"/>
  <c r="M805" i="1"/>
  <c r="M806" i="1" l="1"/>
  <c r="N805" i="1"/>
  <c r="N806" i="1" l="1"/>
  <c r="M807" i="1"/>
  <c r="N807" i="1" l="1"/>
  <c r="M808" i="1"/>
  <c r="M809" i="1" l="1"/>
  <c r="N808" i="1"/>
  <c r="N809" i="1" l="1"/>
  <c r="M810" i="1"/>
  <c r="N810" i="1" l="1"/>
  <c r="M811" i="1"/>
  <c r="N811" i="1" l="1"/>
  <c r="M812" i="1"/>
  <c r="M813" i="1" l="1"/>
  <c r="N812" i="1"/>
  <c r="N813" i="1" l="1"/>
  <c r="M814" i="1"/>
  <c r="M815" i="1" l="1"/>
  <c r="N814" i="1"/>
  <c r="M816" i="1" l="1"/>
  <c r="N815" i="1"/>
  <c r="N816" i="1" l="1"/>
  <c r="M817" i="1"/>
  <c r="N817" i="1" l="1"/>
  <c r="M818" i="1"/>
  <c r="N818" i="1" l="1"/>
  <c r="M819" i="1"/>
  <c r="M820" i="1" l="1"/>
  <c r="N819" i="1"/>
  <c r="N820" i="1" l="1"/>
  <c r="M821" i="1"/>
  <c r="N821" i="1" l="1"/>
  <c r="M822" i="1"/>
  <c r="M823" i="1" l="1"/>
  <c r="N822" i="1"/>
  <c r="N823" i="1" l="1"/>
  <c r="M824" i="1"/>
  <c r="N824" i="1" l="1"/>
  <c r="M825" i="1"/>
  <c r="N825" i="1" l="1"/>
  <c r="M826" i="1"/>
  <c r="M827" i="1" l="1"/>
  <c r="N826" i="1"/>
  <c r="N827" i="1" l="1"/>
  <c r="M828" i="1"/>
  <c r="N828" i="1" l="1"/>
  <c r="M829" i="1"/>
  <c r="M830" i="1" l="1"/>
  <c r="N829" i="1"/>
  <c r="N830" i="1" l="1"/>
  <c r="M831" i="1"/>
  <c r="N831" i="1" l="1"/>
  <c r="M832" i="1"/>
  <c r="M833" i="1" l="1"/>
  <c r="N832" i="1"/>
  <c r="M834" i="1" l="1"/>
  <c r="N833" i="1"/>
  <c r="N834" i="1" l="1"/>
  <c r="M835" i="1"/>
  <c r="N835" i="1" l="1"/>
  <c r="M836" i="1"/>
  <c r="M837" i="1" l="1"/>
  <c r="N836" i="1"/>
  <c r="N837" i="1" l="1"/>
  <c r="M838" i="1"/>
  <c r="N838" i="1" l="1"/>
  <c r="M839" i="1"/>
  <c r="N839" i="1" l="1"/>
  <c r="M840" i="1"/>
  <c r="M841" i="1" l="1"/>
  <c r="N840" i="1"/>
  <c r="N841" i="1" l="1"/>
  <c r="M842" i="1"/>
  <c r="N842" i="1" l="1"/>
  <c r="M843" i="1"/>
  <c r="M844" i="1" l="1"/>
  <c r="N843" i="1"/>
  <c r="N844" i="1" l="1"/>
  <c r="M845" i="1"/>
  <c r="N845" i="1" l="1"/>
  <c r="M846" i="1"/>
  <c r="M847" i="1" l="1"/>
  <c r="N846" i="1"/>
  <c r="M848" i="1" l="1"/>
  <c r="N847" i="1"/>
  <c r="M849" i="1" l="1"/>
  <c r="N848" i="1"/>
  <c r="N849" i="1" l="1"/>
  <c r="M850" i="1"/>
  <c r="M851" i="1" l="1"/>
  <c r="N850" i="1"/>
  <c r="N851" i="1" l="1"/>
  <c r="M852" i="1"/>
  <c r="N852" i="1" l="1"/>
  <c r="M853" i="1"/>
  <c r="N853" i="1" l="1"/>
  <c r="M854" i="1"/>
  <c r="M855" i="1" l="1"/>
  <c r="N854" i="1"/>
  <c r="N855" i="1" l="1"/>
  <c r="M856" i="1"/>
  <c r="M857" i="1" l="1"/>
  <c r="N856" i="1"/>
  <c r="M858" i="1" l="1"/>
  <c r="N857" i="1"/>
  <c r="N858" i="1" l="1"/>
  <c r="M859" i="1"/>
  <c r="N859" i="1" l="1"/>
  <c r="M860" i="1"/>
  <c r="N860" i="1" l="1"/>
  <c r="M861" i="1"/>
  <c r="M862" i="1" l="1"/>
  <c r="N862" i="1" s="1"/>
  <c r="N86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<sst xmlns="http://schemas.openxmlformats.org/spreadsheetml/2006/main" count="5619" uniqueCount="1837">
  <si>
    <t>Givvy</t>
  </si>
  <si>
    <t>kenjay_cards</t>
  </si>
  <si>
    <t>Price</t>
  </si>
  <si>
    <t>Shipping</t>
  </si>
  <si>
    <t>Tax</t>
  </si>
  <si>
    <t>Hoot2000</t>
  </si>
  <si>
    <t>WhatNot Total</t>
  </si>
  <si>
    <t>Adjusted Total</t>
  </si>
  <si>
    <t>Adjusted Tax</t>
  </si>
  <si>
    <t>Adjusted Price/Shipping</t>
  </si>
  <si>
    <t>Jokic</t>
  </si>
  <si>
    <t>Luka</t>
  </si>
  <si>
    <t>Tanner346</t>
  </si>
  <si>
    <t>Chet</t>
  </si>
  <si>
    <t>Cade</t>
  </si>
  <si>
    <t>Murray</t>
  </si>
  <si>
    <t>Reaves</t>
  </si>
  <si>
    <t>Ant</t>
  </si>
  <si>
    <t>Adjusted Shipping</t>
  </si>
  <si>
    <t>Wemby</t>
  </si>
  <si>
    <t>Lebron</t>
  </si>
  <si>
    <t>Player</t>
  </si>
  <si>
    <t>Capital_Sports</t>
  </si>
  <si>
    <t>NorCal_Collector</t>
  </si>
  <si>
    <t>Tasrelics</t>
  </si>
  <si>
    <t>djbsports</t>
  </si>
  <si>
    <t>iceball</t>
  </si>
  <si>
    <t>jrtcardsandcollectibles</t>
  </si>
  <si>
    <t>cardboardbeast</t>
  </si>
  <si>
    <t>plymouthsportscards</t>
  </si>
  <si>
    <t>grizzkid</t>
  </si>
  <si>
    <t>gogreen_sportscards</t>
  </si>
  <si>
    <t>hotmamajamacards</t>
  </si>
  <si>
    <t>https://www.whatnot.com/order/A2VyUVWvtd6f5zu7wQpMgK</t>
  </si>
  <si>
    <t>CONCAT</t>
  </si>
  <si>
    <t>TEXT</t>
  </si>
  <si>
    <t>Link</t>
  </si>
  <si>
    <t>https://www.whatnot.com/order/7TdKSNvxiGa3Bt8dCiKKbe</t>
  </si>
  <si>
    <t>https://www.whatnot.com/order/UfG2uFVzbc3XCQZDoAnZnQ</t>
  </si>
  <si>
    <t>https://www.whatnot.com/order/JieocTtxhoCCzfkGLnBz49</t>
  </si>
  <si>
    <t>https://www.whatnot.com/order/YdoZr7RTzDToYz6PByf22R</t>
  </si>
  <si>
    <t>https://www.whatnot.com/order/fsZrqS9c5o3n2dqHjHqttF</t>
  </si>
  <si>
    <t>https://www.whatnot.com/order/XWP5KdeeCdt8TKjdVmH5ek</t>
  </si>
  <si>
    <t>https://www.whatnot.com/order/hQVu9JLwFefwSJcu3QwY6E</t>
  </si>
  <si>
    <t>https://www.whatnot.com/order/HWhpJLX6J4h4DZZVCaeVYr</t>
  </si>
  <si>
    <t>https://www.whatnot.com/order/o3mHoMSnpC2X8C3j6r4tiK</t>
  </si>
  <si>
    <t>https://www.whatnot.com/order/3bymbw4YA5kuEYFfvvyWw2</t>
  </si>
  <si>
    <t>https://www.whatnot.com/order/Hqs3wb8GAkuyHj9LA3xEdv</t>
  </si>
  <si>
    <t>https://www.whatnot.com/order/ATFJnWBvkv75frTYPbgk5o</t>
  </si>
  <si>
    <t>https://www.whatnot.com/order/R4eDqBQtSQwNRiU33sZje5</t>
  </si>
  <si>
    <t>https://www.whatnot.com/order/6QdgQ3vUdPh6pHE5WaqAmr</t>
  </si>
  <si>
    <t>Value</t>
  </si>
  <si>
    <t>Variance</t>
  </si>
  <si>
    <t>https://www.whatnot.com/order/Wurw4zw2wFBAE84zbwVyWp</t>
  </si>
  <si>
    <t>https://www.whatnot.com/order/3hBZtxnc5D7aSBGh5GQwZ2</t>
  </si>
  <si>
    <t>https://www.whatnot.com/order/cJNMnCPndL2PTYmXUShR4H</t>
  </si>
  <si>
    <t>https://www.whatnot.com/order/MBKbDgY5r4SpwfRrdpBamt</t>
  </si>
  <si>
    <t>https://www.whatnot.com/order/gS3Pko5Lnk9cRAzYzXbJeF</t>
  </si>
  <si>
    <t>MVP</t>
  </si>
  <si>
    <t>RC</t>
  </si>
  <si>
    <t>SGA</t>
  </si>
  <si>
    <t>x</t>
  </si>
  <si>
    <t>Durant</t>
  </si>
  <si>
    <t>Curry</t>
  </si>
  <si>
    <t>Embiid</t>
  </si>
  <si>
    <t>Antetokounmpo</t>
  </si>
  <si>
    <t>Harden</t>
  </si>
  <si>
    <t>Nash</t>
  </si>
  <si>
    <t>Duncan</t>
  </si>
  <si>
    <t>Kobe</t>
  </si>
  <si>
    <t>Shaq</t>
  </si>
  <si>
    <t>Garnett</t>
  </si>
  <si>
    <t>Dirk</t>
  </si>
  <si>
    <t>Iverson</t>
  </si>
  <si>
    <t>Westbrook</t>
  </si>
  <si>
    <t>Irving</t>
  </si>
  <si>
    <t>Brown</t>
  </si>
  <si>
    <t>Tatum</t>
  </si>
  <si>
    <t>Leonard</t>
  </si>
  <si>
    <t>Cunningham</t>
  </si>
  <si>
    <t>Wade</t>
  </si>
  <si>
    <t>Doncic</t>
  </si>
  <si>
    <t>https://www.whatnot.com/order/3L3ttnP3dWr4gppLFyVTfw</t>
  </si>
  <si>
    <t>https://www.whatnot.com/order/iCNDrAZ6Wd9xsmW5GPkgEJ</t>
  </si>
  <si>
    <t>https://www.whatnot.com/order/WpUhCqurDhocnQw9kQLniM</t>
  </si>
  <si>
    <t>https://www.whatnot.com/order/84EtWmjxZp84PtP5CNdWys</t>
  </si>
  <si>
    <t>https://www.whatnot.com/order/jhwwvPX5xZkZWVs8CGhFXe</t>
  </si>
  <si>
    <t>https://www.whatnot.com/order/ZQa92YACdaqMGpqFzdMcVG</t>
  </si>
  <si>
    <t>https://www.whatnot.com/order/9ki7HURGVDFpQYLubozunU</t>
  </si>
  <si>
    <t>https://www.whatnot.com/order/27RrZ5UcQbAp2yynBpazpE</t>
  </si>
  <si>
    <t>https://www.whatnot.com/order/9Nw32iaBQX4B786bgpSBCs</t>
  </si>
  <si>
    <t>https://www.whatnot.com/order/N3ommW2GZtgbdFUhrqPhaC</t>
  </si>
  <si>
    <t>https://www.whatnot.com/order/8DwoNWn73teh8obUuAY5eP</t>
  </si>
  <si>
    <t>https://www.whatnot.com/order/ezSKfFW6zDG5UWaRKJYAXA</t>
  </si>
  <si>
    <t>https://www.whatnot.com/order/Xz3tx8zp8BHqHykj7qkN3x</t>
  </si>
  <si>
    <t>https://www.whatnot.com/order/THjJHwGpnJ2cNFaSnvcckW</t>
  </si>
  <si>
    <t>https://www.whatnot.com/order/EifBu6qeaD4paxGVjbK2N2</t>
  </si>
  <si>
    <t>https://www.whatnot.com/order/jUyUBmgt9rDM2xSirWQMVK</t>
  </si>
  <si>
    <t>https://www.whatnot.com/order/o8pD2uRJ2uJBZu72TvBaqn</t>
  </si>
  <si>
    <t>https://www.whatnot.com/order/V5Gh7hYUvoJshqsMYA2fjj</t>
  </si>
  <si>
    <t>https://www.whatnot.com/order/PPztzz2oNPCFrGQKEtGeKP</t>
  </si>
  <si>
    <t>https://www.whatnot.com/order/CyF3nZr4GRuqeEQwgYCVcq</t>
  </si>
  <si>
    <t>https://www.whatnot.com/order/mjPJ8grwnTa5xjehNNp2Qq</t>
  </si>
  <si>
    <t>https://www.whatnot.com/order/76LD29BivfBZrNXYeJq5xV</t>
  </si>
  <si>
    <t>https://www.whatnot.com/order/4QyCs9xsuozDF4z5kAMs7r</t>
  </si>
  <si>
    <t>https://www.whatnot.com/order/m4fEeiDTAEFP5LnXvHdGVx</t>
  </si>
  <si>
    <t>https://www.whatnot.com/order/7eozouSEnosHtokHHfAAYH</t>
  </si>
  <si>
    <t>1. Panini America (Dominant NBA licensee 2009-10 through 2024-25)</t>
  </si>
  <si>
    <t>Flagship / Main Lines:</t>
  </si>
  <si>
    <t>Prizm</t>
  </si>
  <si>
    <t>Donruss (including Rated Rookies)</t>
  </si>
  <si>
    <t>Donruss Optic (chrome version of Donruss)</t>
  </si>
  <si>
    <t>Retail / Accessible:</t>
  </si>
  <si>
    <t>NBA Hoops</t>
  </si>
  <si>
    <t>Mosaic</t>
  </si>
  <si>
    <t>Mid-Tier / Popular:</t>
  </si>
  <si>
    <t>Select</t>
  </si>
  <si>
    <t>Revolution</t>
  </si>
  <si>
    <t>Status</t>
  </si>
  <si>
    <t>Threads</t>
  </si>
  <si>
    <t>Premium / High-End:</t>
  </si>
  <si>
    <t>National Treasures</t>
  </si>
  <si>
    <t>Immaculate</t>
  </si>
  <si>
    <t>Flawless</t>
  </si>
  <si>
    <t>Court Kings</t>
  </si>
  <si>
    <t>Cornerstones</t>
  </si>
  <si>
    <t>Certified</t>
  </si>
  <si>
    <t>Contenders (including Rookie Tickets)</t>
  </si>
  <si>
    <t>Other Notable:</t>
  </si>
  <si>
    <t>Chronicles (multi-brand mix)</t>
  </si>
  <si>
    <t>Phoenix</t>
  </si>
  <si>
    <t>Grand Reserve, etc.</t>
  </si>
  <si>
    <t>2. Topps (Pre-2009 licensee; regained exclusive NBA license starting 2025-26 via Fanatics)</t>
  </si>
  <si>
    <t>Flagship:</t>
  </si>
  <si>
    <t>Topps (base set)</t>
  </si>
  <si>
    <t>Topps Chrome</t>
  </si>
  <si>
    <t>Premium / Chrome Lines:</t>
  </si>
  <si>
    <t>Bowman (prospect/rookie focus)</t>
  </si>
  <si>
    <t>Finest</t>
  </si>
  <si>
    <t>Stadium Club</t>
  </si>
  <si>
    <t>3. Upper Deck (Major pre-Panini licensee, 1990s–2009)</t>
  </si>
  <si>
    <t>Key Historical Brands:</t>
  </si>
  <si>
    <t>Upper Deck (base)</t>
  </si>
  <si>
    <t>SP Authentic</t>
  </si>
  <si>
    <t>Exquisite Collection (high-end)</t>
  </si>
  <si>
    <t>Ultimate Collection</t>
  </si>
  <si>
    <t>Other Lines:</t>
  </si>
  <si>
    <t>Collectors Choice</t>
  </si>
  <si>
    <t>Metal</t>
  </si>
  <si>
    <t>Star Rookies (earlier)</t>
  </si>
  <si>
    <t>4. Other / Secondary Manufacturers</t>
  </si>
  <si>
    <t>Leaf (often unlicensed or player-exclusive deals)</t>
  </si>
  <si>
    <t>Fleer (historical brand, now under Topps/Fanatics influence)</t>
  </si>
  <si>
    <t>SkyBox (1990s–early 2000s, now largely dormant)</t>
  </si>
  <si>
    <t>Bowman (primarily under Topps)</t>
  </si>
  <si>
    <t>product-name</t>
  </si>
  <si>
    <t>console-name</t>
  </si>
  <si>
    <t>price-in-pennies</t>
  </si>
  <si>
    <t>include-string</t>
  </si>
  <si>
    <t>condition-string</t>
  </si>
  <si>
    <t>sku</t>
  </si>
  <si>
    <t>notes</t>
  </si>
  <si>
    <t>cost-basis-in-pennies</t>
  </si>
  <si>
    <t>quantity</t>
  </si>
  <si>
    <t>date-entered</t>
  </si>
  <si>
    <t>date-purchased</t>
  </si>
  <si>
    <t>grading-company</t>
  </si>
  <si>
    <t>grading-cert-id</t>
  </si>
  <si>
    <t>folder</t>
  </si>
  <si>
    <t>Scottie Pippen [w/ Coating] #1</t>
  </si>
  <si>
    <t>Basketball Cards 1997 Finest</t>
  </si>
  <si>
    <t>Ungraded</t>
  </si>
  <si>
    <t>Normal wear</t>
  </si>
  <si>
    <t>Chris Webber #135</t>
  </si>
  <si>
    <t>Basketball Cards 1996 Upper Deck</t>
  </si>
  <si>
    <t>Cade Cunningham #22</t>
  </si>
  <si>
    <t>Basketball Cards 2021 Panini Prizm Emergent</t>
  </si>
  <si>
    <t>"https://www.whatnot.com/order/JieocTtxhoCCzfkGLnBz49_x000D_
$3.00 + $0.45 (Shared Shipping) + $0.35 Tax = Total of $3.78"</t>
  </si>
  <si>
    <t>Michael Jordan #VP5</t>
  </si>
  <si>
    <t>Basketball Cards 1997 Upper Deck Holojam</t>
  </si>
  <si>
    <t>Rasheed Wallace #134</t>
  </si>
  <si>
    <t>Basketball Cards 1995 Upper Deck</t>
  </si>
  <si>
    <t>Stephon Marbury #74</t>
  </si>
  <si>
    <t>Michael Jordan #AT3</t>
  </si>
  <si>
    <t>Basketball Cards 1997 Upper Deck Jordan Air Time</t>
  </si>
  <si>
    <t>Cooper Flagg #251</t>
  </si>
  <si>
    <t>Basketball Cards 2025 Topps Chrome</t>
  </si>
  <si>
    <t>Shaquille O'Neal #61</t>
  </si>
  <si>
    <t>Tracy McGrady #82</t>
  </si>
  <si>
    <t>Basketball Cards 1998 Upper Deck Black Diamond</t>
  </si>
  <si>
    <t>Clyde Drexler #15</t>
  </si>
  <si>
    <t>Basketball Cards 1994 Fleer All Stars</t>
  </si>
  <si>
    <t>Michael Jordan #23</t>
  </si>
  <si>
    <t>Basketball Cards 1997 Metal Universe</t>
  </si>
  <si>
    <t>Stephon Marbury #69</t>
  </si>
  <si>
    <t>Basketball Cards 1996 Skybox Premium</t>
  </si>
  <si>
    <t>Michael Jordan #13</t>
  </si>
  <si>
    <t>Kobe Bryant #52</t>
  </si>
  <si>
    <t>Basketball Cards 1996 Ultra</t>
  </si>
  <si>
    <t>Kevin Garnett #251</t>
  </si>
  <si>
    <t>Shawn Kemp #CU5</t>
  </si>
  <si>
    <t>Basketball Cards 1996 Skybox Premium Close Ups</t>
  </si>
  <si>
    <t>Jason Williams #2-55</t>
  </si>
  <si>
    <t>Basketball Cards 1999 Flair Showcase</t>
  </si>
  <si>
    <t>Jerry Stackhouse #133</t>
  </si>
  <si>
    <t>Jamal Murray #9</t>
  </si>
  <si>
    <t>Basketball Cards 2022 Panini Contenders Suite Shots</t>
  </si>
  <si>
    <t>"https://www.whatnot.com/order/XWP5KdeeCdt8TKjdVmH5ek_x000D_
$1.00 + $0.45 (Shared Shipping) + $0.12 Tax = Total of $1.26"</t>
  </si>
  <si>
    <t>Luka Doncic [Blue Prizm] #12</t>
  </si>
  <si>
    <t>Basketball Cards 2021 Panini Select</t>
  </si>
  <si>
    <t>"https://www.whatnot.com/order/A2VyUVWvtd6f5zu7wQpMgK_x000D_
$4.00 + $0.45 (Shared Shipping) + $0.47 Tax = Total of $5.04"</t>
  </si>
  <si>
    <t>Shaquille O'Neal #55</t>
  </si>
  <si>
    <t>Allen Iverson #60</t>
  </si>
  <si>
    <t>Basketball Cards 1999 SP Authentic</t>
  </si>
  <si>
    <t>Antonio McDyess #135</t>
  </si>
  <si>
    <t>Ray Allen #136</t>
  </si>
  <si>
    <t>Basketball Cards 1996 Fleer Metal</t>
  </si>
  <si>
    <t>Kobe Bryant #55</t>
  </si>
  <si>
    <t>Chris Webber #92</t>
  </si>
  <si>
    <t>Allen Iverson #66</t>
  </si>
  <si>
    <t>Basketball Cards 1996 Collector's Choice</t>
  </si>
  <si>
    <t>Shaquille O'Neal #474</t>
  </si>
  <si>
    <t>Basketball Cards 1992 Upper Deck</t>
  </si>
  <si>
    <t>Michael Jordan #11</t>
  </si>
  <si>
    <t>Shaquille O'Neal #100</t>
  </si>
  <si>
    <t>Basketball Cards 1994 Upper Deck</t>
  </si>
  <si>
    <t>Anfernee Hardaway #305</t>
  </si>
  <si>
    <t>Basketball Cards 1993 Ultra</t>
  </si>
  <si>
    <t>Kobe Bryant #46</t>
  </si>
  <si>
    <t>Jason Williams [Row 3] #55</t>
  </si>
  <si>
    <t>Basketball Cards 1998 Flair Showcase</t>
  </si>
  <si>
    <t>Grant Hill #11</t>
  </si>
  <si>
    <t>Basketball Cards 1997 Ultra Star Power Plus</t>
  </si>
  <si>
    <t>Chris Webber #108</t>
  </si>
  <si>
    <t>Scottie Pippen #14</t>
  </si>
  <si>
    <t>Basketball Cards 1996 Metal Cyber Metal</t>
  </si>
  <si>
    <t>Kobe Bryant #R10</t>
  </si>
  <si>
    <t>Basketball Cards 1996 Upper Deck Rookie Exclusives</t>
  </si>
  <si>
    <t>Shaquille O'Neal #1</t>
  </si>
  <si>
    <t>Basketball Cards 1997 Ultra 98 Greats</t>
  </si>
  <si>
    <t>Shawn Kemp #279</t>
  </si>
  <si>
    <t>Basketball Cards 1990 Hoops</t>
  </si>
  <si>
    <t>Stephon Marbury #9</t>
  </si>
  <si>
    <t>Allen Iverson #216</t>
  </si>
  <si>
    <t>Nikola Jokic #GT-9</t>
  </si>
  <si>
    <t>Basketball Cards 2025 Topps Chrome Go Time</t>
  </si>
  <si>
    <t>https://www.whatnot.com/order/cJNMnCPndL2PTYmXUShR4H_x000D_
$1.00 + $0.36 (Shared Shipping) + $0.14 Tax = Total of $1.50</t>
  </si>
  <si>
    <t>Reggie Miller [Triple] #42</t>
  </si>
  <si>
    <t>Scottie Pippen #7</t>
  </si>
  <si>
    <t>Basketball Cards 1993 Ultra Inside Outside</t>
  </si>
  <si>
    <t>Gary Payton #103</t>
  </si>
  <si>
    <t>Basketball Cards 1995 Metal</t>
  </si>
  <si>
    <t>Jason Williams #EG2</t>
  </si>
  <si>
    <t>Basketball Cards 1999 Stadium Club Chrome Eyes of the Game</t>
  </si>
  <si>
    <t>Stephon Marbury #KS4</t>
  </si>
  <si>
    <t>Basketball Cards 1998 Topps Kick Start</t>
  </si>
  <si>
    <t>Michael Jordan #16</t>
  </si>
  <si>
    <t>Luka Doncic #4</t>
  </si>
  <si>
    <t>Basketball Cards 2021 Panini Donruss Optic Splash</t>
  </si>
  <si>
    <t>"https://www.whatnot.com/order/UfG2uFVzbc3XCQZDoAnZnQ_x000D_
$4.00 + $0.45 (Shared Shipping) + $0.47 Tax = Total of $5.04"</t>
  </si>
  <si>
    <t>John Stockton #19</t>
  </si>
  <si>
    <t>Luka Doncic #177</t>
  </si>
  <si>
    <t>Basketball Cards 2018 Panini Donruss Optic</t>
  </si>
  <si>
    <t>Allen Iverson #236</t>
  </si>
  <si>
    <t>Mark Jackson #205</t>
  </si>
  <si>
    <t>Michael vs. Magic #333</t>
  </si>
  <si>
    <t>Basketball Cards 1991 Skybox</t>
  </si>
  <si>
    <t>Shaquille O'Neal [Double] #45</t>
  </si>
  <si>
    <t>Michael Jordan #CA10</t>
  </si>
  <si>
    <t>Basketball Cards 1996 Collector's Choice Jordan Cut Above</t>
  </si>
  <si>
    <t>Michael Jordan #44</t>
  </si>
  <si>
    <t>Basketball Cards 1991 Upper Deck</t>
  </si>
  <si>
    <t>Michael Jordan #5</t>
  </si>
  <si>
    <t>Charles Barkley #16</t>
  </si>
  <si>
    <t>Basketball Cards 1997 Metal Universe Silver Slam</t>
  </si>
  <si>
    <t>Gary Payton #17</t>
  </si>
  <si>
    <t>Basketball Cards 1995 Upper Deck Electric Court</t>
  </si>
  <si>
    <t>Michael Jordan #CA1</t>
  </si>
  <si>
    <t>Kevin Garnett [Game  Dated] #75</t>
  </si>
  <si>
    <t>Basketball Cards 1997 Upper Deck</t>
  </si>
  <si>
    <t>Michael Jordan #CA7</t>
  </si>
  <si>
    <t>Patrick Ewing #2</t>
  </si>
  <si>
    <t>Basketball Cards 1994 Ultra Power in the Key</t>
  </si>
  <si>
    <t>Michael Jordan #CA4</t>
  </si>
  <si>
    <t>David Robinson #18</t>
  </si>
  <si>
    <t>Basketball Cards 1996 Skybox Premium Intimidators</t>
  </si>
  <si>
    <t>Michael Jordan #6</t>
  </si>
  <si>
    <t>Allen Iverson #350</t>
  </si>
  <si>
    <t>Jason Williams #NC17</t>
  </si>
  <si>
    <t>Basketball Cards 1998 Stadium Club Never Compromise</t>
  </si>
  <si>
    <t>Jason Kidd #408</t>
  </si>
  <si>
    <t>Basketball Cards 1994 Collector's Choice</t>
  </si>
  <si>
    <t>Eddie Jones #4</t>
  </si>
  <si>
    <t>Basketball Cards 1994 Ultra All Rookies</t>
  </si>
  <si>
    <t>Gary Payton #10</t>
  </si>
  <si>
    <t>Earvin Johnson #578</t>
  </si>
  <si>
    <t>Basketball Cards 1991 Hoops</t>
  </si>
  <si>
    <t>Vince Carter #14</t>
  </si>
  <si>
    <t>Basketball Cards 1998 Ultra World Premiere</t>
  </si>
  <si>
    <t>Basketball Cards 1997 Ultra</t>
  </si>
  <si>
    <t>Ruben Patterson #115</t>
  </si>
  <si>
    <t>Shareef Abdur-Rahim #135</t>
  </si>
  <si>
    <t>Jason Williams #232</t>
  </si>
  <si>
    <t>Basketball Cards 1998 Finest</t>
  </si>
  <si>
    <t>Antawn Jamison #197</t>
  </si>
  <si>
    <t>Basketball Cards 1998 Stadium Club</t>
  </si>
  <si>
    <t>Michael Jordan [Double] #6</t>
  </si>
  <si>
    <t>Basketball Cards 2025 Topps</t>
  </si>
  <si>
    <t>"https://www.whatnot.com/order/R4eDqBQtSQwNRiU33sZje5_x000D_
$3.00 + $1.14 (Shared Shipping) + $0.42 Tax = Total of $4.56"</t>
  </si>
  <si>
    <t>Michael Jordan #10</t>
  </si>
  <si>
    <t>Marcus Camby #253</t>
  </si>
  <si>
    <t>Michael Jordan #128</t>
  </si>
  <si>
    <t>Michael Jordan #199</t>
  </si>
  <si>
    <t>Basketball Cards 1993 Topps</t>
  </si>
  <si>
    <t>Jerry Stackhouse #9</t>
  </si>
  <si>
    <t>Basketball Cards 1996 Metal Molten Metal</t>
  </si>
  <si>
    <t>Jason Kidd #66</t>
  </si>
  <si>
    <t>Basketball Cards 1998 SP Authentic</t>
  </si>
  <si>
    <t>Chris Webber #53</t>
  </si>
  <si>
    <t>Magic Johnson #32</t>
  </si>
  <si>
    <t>Basketball Cards 1992 Stadium Club</t>
  </si>
  <si>
    <t>Charles Barkley #1</t>
  </si>
  <si>
    <t>Steve Francis #118</t>
  </si>
  <si>
    <t>Basketball Cards 1999 Topps NBA Tipoff</t>
  </si>
  <si>
    <t>Marcus Camby #C26</t>
  </si>
  <si>
    <t>Basketball Cards 1996 Collector's Choice Crash the Game</t>
  </si>
  <si>
    <t>"https://www.whatnot.com/order/fsZrqS9c5o3n2dqHjHqttF_x000D_
$1.00 + $0.45 (Shared Shipping) + $0.12 Tax = Total of $1.26"</t>
  </si>
  <si>
    <t>Michael Finley #FB11</t>
  </si>
  <si>
    <t>Basketball Cards 1996 Upper Deck Fast Break Connection</t>
  </si>
  <si>
    <t>Kevin Garnett #167</t>
  </si>
  <si>
    <t>Shareef Abdur-Rahim #122</t>
  </si>
  <si>
    <t>VJ Edgecombe #H163</t>
  </si>
  <si>
    <t>Basketball Cards 2025 Topps Holiday</t>
  </si>
  <si>
    <t>"https://www.whatnot.com/order/6QdgQ3vUdPh6pHE5WaqAmr_x000D_
$0.00 + $1.14 (Shared Shipping) + $0.12 Tax = Total of $1.25"</t>
  </si>
  <si>
    <t>Chris Webber #75</t>
  </si>
  <si>
    <t>Michael Jordan #AT2</t>
  </si>
  <si>
    <t>Sam Vincent #223</t>
  </si>
  <si>
    <t>Austin Reaves #165</t>
  </si>
  <si>
    <t>Basketball Cards 2021 Panini Prizm</t>
  </si>
  <si>
    <t>"https://www.whatnot.com/order/o3mHoMSnpC2X8C3j6r4tiK_x000D_
$5.00 + $0.45 (Shared Shipping) + $0.59 Tax = Total of $6.30"</t>
  </si>
  <si>
    <t>Allen Iverson #91</t>
  </si>
  <si>
    <t>Kevin Garnett #109</t>
  </si>
  <si>
    <t>Tim Duncan #66</t>
  </si>
  <si>
    <t>Vince Carter #120</t>
  </si>
  <si>
    <t>Michael Jordan #137</t>
  </si>
  <si>
    <t>Michael Jordan #T59</t>
  </si>
  <si>
    <t>Basketball Cards 1997 Upper Deck Teammates</t>
  </si>
  <si>
    <t>Anthony Edwards #3</t>
  </si>
  <si>
    <t>Basketball Cards 2020 Panini Prizm Emergent</t>
  </si>
  <si>
    <t>"https://www.whatnot.com/order/3bymbw4YA5kuEYFfvvyWw2_x000D_
$5.00 + $0.45 (Shared Shipping) + $0.63 Tax = Total of $6.34"</t>
  </si>
  <si>
    <t>Basketball Cards 1993 Stadium Club</t>
  </si>
  <si>
    <t>Allen Iverson #201</t>
  </si>
  <si>
    <t>Building a Winner #148</t>
  </si>
  <si>
    <t>Michael Jordan #AT5</t>
  </si>
  <si>
    <t>Allen Iverson #85</t>
  </si>
  <si>
    <t>Clyde Drexler #FB6</t>
  </si>
  <si>
    <t>Shaquille O'Neal #C16</t>
  </si>
  <si>
    <t>Basketball Cards 1998 Upper Deck Ovation Superstars of the Court</t>
  </si>
  <si>
    <t>Michael Jordan #8</t>
  </si>
  <si>
    <t>Anfernee Hardaway #P12</t>
  </si>
  <si>
    <t>Basketball Cards 1996 Upper Deck Predictor Scoring 1</t>
  </si>
  <si>
    <t>Shareef Abdur-Rahim #1</t>
  </si>
  <si>
    <t>Jason Williams #M15</t>
  </si>
  <si>
    <t>Basketball Cards 1999 SPX Masters</t>
  </si>
  <si>
    <t>Kobe Bryant #58</t>
  </si>
  <si>
    <t>Basketball Cards 1997 Ultra View To A Thrill</t>
  </si>
  <si>
    <t>Basketball Cards 2026 Topps Collectors Kit</t>
  </si>
  <si>
    <t>"https://www.whatnot.com/order/ATFJnWBvkv75frTYPbgk5o_x000D_
$8.00 + $1.14 (Shared Shipping) + $0.94 Tax = Total of $10.07"</t>
  </si>
  <si>
    <t>Shaquille O'Neal #8</t>
  </si>
  <si>
    <t>Basketball Cards 1996 Metal Steel Slammin'</t>
  </si>
  <si>
    <t>Stephon Marbury #R15</t>
  </si>
  <si>
    <t>Mike Bibby #196</t>
  </si>
  <si>
    <t>Basketball Cards 1998 Topps</t>
  </si>
  <si>
    <t>Chris Webber #348</t>
  </si>
  <si>
    <t>Basketball Cards 1994 Ultra</t>
  </si>
  <si>
    <t>Shaquille O'Neal #93</t>
  </si>
  <si>
    <t>Basketball Cards 1998 Ultra</t>
  </si>
  <si>
    <t>Alonzo Mourning #4</t>
  </si>
  <si>
    <t>Basketball Cards 1995 Metal Steel Tower</t>
  </si>
  <si>
    <t>Michael Jordan #CA9</t>
  </si>
  <si>
    <t>Rasheed Wallace #208</t>
  </si>
  <si>
    <t>Clyde Drexler #38</t>
  </si>
  <si>
    <t>Vince Carter #79</t>
  </si>
  <si>
    <t>Luka Doncic #304</t>
  </si>
  <si>
    <t>Basketball Cards 2021 Panini Chronicles</t>
  </si>
  <si>
    <t>https://www.whatnot.com/order/gS3Pko5Lnk9cRAzYzXbJeF_x000D_
$3.00 + $0.36 (Shared Shipping) + $0.34 Tax = Total of $3.71</t>
  </si>
  <si>
    <t>Luka Doncic [Purple] #7</t>
  </si>
  <si>
    <t>Basketball Cards 2022 Panini Donruss Optic T Minus 3 2 1</t>
  </si>
  <si>
    <t>"https://www.whatnot.com/order/YdoZr7RTzDToYz6PByf22R_x000D_
$3.00 + $0.45 (Shared Shipping) + $0.35 Tax = Total of $3.78"</t>
  </si>
  <si>
    <t>Eddie Jones #FB9</t>
  </si>
  <si>
    <t>Michael Jordan #212</t>
  </si>
  <si>
    <t>Grant Hill #239</t>
  </si>
  <si>
    <t>Michael Jordan #CA8</t>
  </si>
  <si>
    <t>Michael Jordan #9</t>
  </si>
  <si>
    <t>Chet Holmgren #18</t>
  </si>
  <si>
    <t>Basketball Cards 2022 Panini Select Rookie Revolution</t>
  </si>
  <si>
    <t>"https://www.whatnot.com/order/7TdKSNvxiGa3Bt8dCiKKbe_x000D_
$3.00 + $0.45 (Shared Shipping) + $0.35 Tax = Total of $3.81"</t>
  </si>
  <si>
    <t>Michael Jordan #4</t>
  </si>
  <si>
    <t>Jason Williams #6</t>
  </si>
  <si>
    <t>Basketball Cards 1998 Press Pass Authentics</t>
  </si>
  <si>
    <t>Nikola Jokic [Hyper Pink] #100</t>
  </si>
  <si>
    <t>Basketball Cards 2024 Panini Donruss Optic</t>
  </si>
  <si>
    <t>"https://www.whatnot.com/order/HWhpJLX6J4h4DZZVCaeVYr_x000D_
$2.00 + $0.45 (Shared Shipping) + $0.23 Tax = Total of $2.52"</t>
  </si>
  <si>
    <t>Jason Williams #121</t>
  </si>
  <si>
    <t>Basketball Cards 1999 Metal</t>
  </si>
  <si>
    <t>Michael Jordan #CA6</t>
  </si>
  <si>
    <t>Anfernee Hardaway #382</t>
  </si>
  <si>
    <t>Basketball Cards 1993 Upper Deck</t>
  </si>
  <si>
    <t>Charles Barkley [Metal Edge] #1</t>
  </si>
  <si>
    <t>Basketball Cards 1996 Metal Edge</t>
  </si>
  <si>
    <t>Michael Jordan #247</t>
  </si>
  <si>
    <t>Kobe Bryant #LA2</t>
  </si>
  <si>
    <t>Basketball Cards 1996 Collector's Choice Lakers Team Set</t>
  </si>
  <si>
    <t>Tim Duncan #18</t>
  </si>
  <si>
    <t>Basketball Cards 1997 Ultra Star Power</t>
  </si>
  <si>
    <t>Kobe Bryant #137</t>
  </si>
  <si>
    <t>Michael Jordan #CA5</t>
  </si>
  <si>
    <t>Kobe Bryant #26</t>
  </si>
  <si>
    <t>Basketball Cards 1999 Upper Deck Hardcourt</t>
  </si>
  <si>
    <t>Michael Jordan #241</t>
  </si>
  <si>
    <t>Larry Bird #52</t>
  </si>
  <si>
    <t>Basketball Cards 1991 Hoops McDonalds</t>
  </si>
  <si>
    <t>Victor Wembanyama #298</t>
  </si>
  <si>
    <t>Basketball Cards 2023 Panini Hoops</t>
  </si>
  <si>
    <t>"https://www.whatnot.com/order/Hqs3wb8GAkuyHj9LA3xEdv_x000D_
$7.00 + $1.14 (Shared Shipping) + $0.83 Tax = Total of $8.97"</t>
  </si>
  <si>
    <t>Chris Webber #9</t>
  </si>
  <si>
    <t>Dirk Nowitzki [Double] #92</t>
  </si>
  <si>
    <t>Anfernee Hardaway #343</t>
  </si>
  <si>
    <t>Basketball Cards 1993 Fleer</t>
  </si>
  <si>
    <t>Chris Webber #71</t>
  </si>
  <si>
    <t>Shaquille O'Neal #95</t>
  </si>
  <si>
    <t>Michael Jordan #CA2</t>
  </si>
  <si>
    <t>Michael Finley #180</t>
  </si>
  <si>
    <t>Shaquille O'Neal #45</t>
  </si>
  <si>
    <t>Michael Jordan #12</t>
  </si>
  <si>
    <t>Shaquille O'neal #50</t>
  </si>
  <si>
    <t>Michael Jordan #3</t>
  </si>
  <si>
    <t>Antonio McDyess [Electric Court] #135</t>
  </si>
  <si>
    <t>Gary Payton #FB20</t>
  </si>
  <si>
    <t>Stephon Marbury #2</t>
  </si>
  <si>
    <t>Basketball Cards 1996 UD3</t>
  </si>
  <si>
    <t>Chris Webber #252</t>
  </si>
  <si>
    <t>Luka Doncic #151</t>
  </si>
  <si>
    <t>Basketball Cards 2022 Panini Select</t>
  </si>
  <si>
    <t>"https://www.whatnot.com/order/hQVu9JLwFefwSJcu3QwY6E_x000D_
$4.00 + $0.45 (Shared Shipping) + $0.47 Tax = Total of $5.04"</t>
  </si>
  <si>
    <t>Graded 9</t>
  </si>
  <si>
    <t>PSA</t>
  </si>
  <si>
    <t>Stephen Curry [Holo] #13</t>
  </si>
  <si>
    <t>Basketball Cards 2024 Panini Donruss Optic Express Lane</t>
  </si>
  <si>
    <t>https://www.whatnot.com/order/MBKbDgY5r4SpwfRrdpBamt_x000D_
$1.00 + $0.36 (Shared Shipping) + $0.14 Tax = Total of $1.50</t>
  </si>
  <si>
    <t>Shaquille O'Neal #116</t>
  </si>
  <si>
    <t>Basketball Cards 1997 Skybox Premium</t>
  </si>
  <si>
    <t>Michael Jordan #7</t>
  </si>
  <si>
    <t>Michael Jordan #39</t>
  </si>
  <si>
    <t>Darrell Armstrong #176</t>
  </si>
  <si>
    <t>Stephon Marbury #134</t>
  </si>
  <si>
    <t>Shaquille O'Neal #183</t>
  </si>
  <si>
    <t>Shaquille O'Neal #39</t>
  </si>
  <si>
    <t>Michael Jordan #165</t>
  </si>
  <si>
    <t>ID</t>
  </si>
  <si>
    <t>Show#</t>
  </si>
  <si>
    <t>Seller</t>
  </si>
  <si>
    <t>Date Purchased</t>
  </si>
  <si>
    <t>Edgecombe</t>
  </si>
  <si>
    <t>Notes</t>
  </si>
  <si>
    <t>LeBron James [Holo Foil] #150</t>
  </si>
  <si>
    <t>Ohtani</t>
  </si>
  <si>
    <t>Haliburton</t>
  </si>
  <si>
    <t>Shai</t>
  </si>
  <si>
    <t>Giannis</t>
  </si>
  <si>
    <t>Sheppard</t>
  </si>
  <si>
    <t>swansonscards</t>
  </si>
  <si>
    <t>https://www.whatnot.com/order/WKa7ntNswTBEf2VahSBtgB</t>
  </si>
  <si>
    <t>https://www.whatnot.com/order/RBy2pvRpcvEutM74HSJXng</t>
  </si>
  <si>
    <t>demarco210</t>
  </si>
  <si>
    <t>https://www.whatnot.com/order/BgoaXMcouJPo8C7yxmzWdd</t>
  </si>
  <si>
    <t>card_fire</t>
  </si>
  <si>
    <t>millenniumcards</t>
  </si>
  <si>
    <t>Williams</t>
  </si>
  <si>
    <t>sbgcards</t>
  </si>
  <si>
    <t>chubbayboy</t>
  </si>
  <si>
    <t>pullwax</t>
  </si>
  <si>
    <t>https://www.whatnot.com/order/6ARC4WVoNn7Q6k5D2EzpXQ</t>
  </si>
  <si>
    <t>gerberlifebb</t>
  </si>
  <si>
    <t>https://www.whatnot.com/order/RykinryybXh9vCb6txwXKc</t>
  </si>
  <si>
    <t>https://www.whatnot.com/order/5scJ87fFG7iaQkajYWq4bV</t>
  </si>
  <si>
    <t>https://www.whatnot.com/order/U4wUV4wsrmJG4Ko5kpcCWo</t>
  </si>
  <si>
    <t>https://www.whatnot.com/order/6AEw6dYtHHV2b8pbZH8HLX</t>
  </si>
  <si>
    <t>https://www.whatnot.com/order/6aFhbaxuXeTPJA8aZNx5Bj</t>
  </si>
  <si>
    <t>https://www.whatnot.com/order/apudhfkcpm8mjfcciD2gPJ</t>
  </si>
  <si>
    <t>https://www.whatnot.com/order/3HUXgbQpXQ3HpVzdfDiwuW</t>
  </si>
  <si>
    <t>https://www.whatnot.com/order/YSnqxDb4AmM3M6XH7veFMz</t>
  </si>
  <si>
    <t>Givvy 2</t>
  </si>
  <si>
    <t>Givvy 10</t>
  </si>
  <si>
    <t>Givvy 25</t>
  </si>
  <si>
    <t>Givvy 3</t>
  </si>
  <si>
    <t>Givvy 4</t>
  </si>
  <si>
    <t>jaytheselller</t>
  </si>
  <si>
    <t>wesperiod</t>
  </si>
  <si>
    <t>https://www.whatnot.com/order/6GpfoWGnD4i8UVt4E9YZb3</t>
  </si>
  <si>
    <t>https://www.whatnot.com/order/kPmzHw359b76wtiBHv2d7E</t>
  </si>
  <si>
    <t>https://www.whatnot.com/order/RtJrQKBCiEPUi9krGFqsyU</t>
  </si>
  <si>
    <t>https://www.whatnot.com/order/LzxCN3kkWJX8nCqy8qr5nU</t>
  </si>
  <si>
    <t>https://www.whatnot.com/order/Qz7U5ppnESxTUaQq9NtVok</t>
  </si>
  <si>
    <t>https://www.whatnot.com/order/AFcBHwTXfggkzDpK3hRwdb</t>
  </si>
  <si>
    <t>https://www.whatnot.com/order/QTaAU7BuEKWFVBSztLHVZt</t>
  </si>
  <si>
    <t>https://www.whatnot.com/order/MwfykcrBkKSMi8nZ7VXmSm</t>
  </si>
  <si>
    <t>.</t>
  </si>
  <si>
    <t>Culver</t>
  </si>
  <si>
    <t>Jordan</t>
  </si>
  <si>
    <t>Flagg</t>
  </si>
  <si>
    <t>Morant</t>
  </si>
  <si>
    <t>Wembanyama</t>
  </si>
  <si>
    <t>James</t>
  </si>
  <si>
    <t>Not listed</t>
  </si>
  <si>
    <t>Not sure which parallel it is or if premium or not</t>
  </si>
  <si>
    <t>Raynaud</t>
  </si>
  <si>
    <t>Confirm if it is refractor</t>
  </si>
  <si>
    <t>McDaniels</t>
  </si>
  <si>
    <t>Card added was numbered</t>
  </si>
  <si>
    <t>Brunson</t>
  </si>
  <si>
    <t>Streamer said it was Green, which is out of 5, I am guessing it is actually Emerald (Common) or a teal out of 75</t>
  </si>
  <si>
    <t>Maxey</t>
  </si>
  <si>
    <t>Silver not listed so I chose Holo</t>
  </si>
  <si>
    <t>Nowitzki</t>
  </si>
  <si>
    <t>Premium?</t>
  </si>
  <si>
    <t>Verify Parallel - LeBron James [Blue Prizm] #54 - 2024 Panini Select</t>
  </si>
  <si>
    <t>Verify Parallel - Stephen Curry #3 - 2024 Panini Revolution Hardwood Legac</t>
  </si>
  <si>
    <t>Verify Parallel</t>
  </si>
  <si>
    <t>Not Listed</t>
  </si>
  <si>
    <t>9959212 or 10339925 whats the difference</t>
  </si>
  <si>
    <t>Luka Doncic #2</t>
  </si>
  <si>
    <t>Basketball Cards 2022 Panini Donruss Magicians</t>
  </si>
  <si>
    <t>"https://www.whatnot.com/order/N3ommW2GZtgbdFUhrqPhaC_x000D_
$2.33 + $0.21 (Shared Shipping) + $0.26 Tax = Total of $2.80"</t>
  </si>
  <si>
    <t>Kyrie Irving [Blue Ice] #130</t>
  </si>
  <si>
    <t>"https://www.whatnot.com/order/6aFhbaxuXeTPJA8aZNx5Bj_x000D_
$2.00 + $0.74 (Shared Shipping) + $0.28 Tax = Total of $3.02"</t>
  </si>
  <si>
    <t>Basketball Cards 2024 Panini Prizm Deep Space</t>
  </si>
  <si>
    <t>"https://www.whatnot.com/order/8DwoNWn73teh8obUuAY5eP_x000D_
$2.50 + $0.21 (Shared Shipping) + $0.28 Tax = Total of $2.98"</t>
  </si>
  <si>
    <t>Jaylen Brown [Purple] #206</t>
  </si>
  <si>
    <t>"https://www.whatnot.com/order/9Nw32iaBQX4B786bgpSBCs_x000D_
$0.00 + $0.21 (Shared Shipping) + $0.02 Tax = Total of $0.23"</t>
  </si>
  <si>
    <t>Jerry Rice #23</t>
  </si>
  <si>
    <t>Football Cards 1990 Pro Set Super Bowl MVP</t>
  </si>
  <si>
    <t>Jarrett Culver #JCV</t>
  </si>
  <si>
    <t>Basketball Cards 2019 Panini Revolution Rookie Autographs</t>
  </si>
  <si>
    <t>"https://www.whatnot.com/order/76LD29BivfBZrNXYeJq5xV_x000D_
$3.00 + $1.72 (Shared Shipping) + $0.48 Tax = Total of $5.20"</t>
  </si>
  <si>
    <t>Giannis Antetokounmpo [Green Laser] #53</t>
  </si>
  <si>
    <t>Basketball Cards 2022 Panini Donruss</t>
  </si>
  <si>
    <t>"https://www.whatnot.com/order/iCNDrAZ6Wd9xsmW5GPkgEJ_x000D_
$4.00 + $0.00 (Shared Shipping) + $0.41 Tax = Total of $4.41"</t>
  </si>
  <si>
    <t>Marcelo Balboa #3</t>
  </si>
  <si>
    <t>Soccer Cards 1994 Upper Deck World Cup Soccer</t>
  </si>
  <si>
    <t>Luka Doncic [Pink] #228</t>
  </si>
  <si>
    <t>Basketball Cards 2020 Panini Chronicles</t>
  </si>
  <si>
    <t>Basketball Cards 2022 Panini Prizm Draft Picks</t>
  </si>
  <si>
    <t>"https://www.whatnot.com/order/WpUhCqurDhocnQw9kQLniM_x000D_
$6.00 + $0.00 (Shared Shipping) + $0.62 Tax = Total of $6.62"</t>
  </si>
  <si>
    <t>Luka Doncic [Green] #10</t>
  </si>
  <si>
    <t>Basketball Cards 2024 Panini Mosaic Epic Performers</t>
  </si>
  <si>
    <t>"https://www.whatnot.com/order/7eozouSEnosHtokHHfAAYH_x000D_
$1.67 + $1.02 (Shared Shipping) + $0.28 Tax = Total of $2.97"</t>
  </si>
  <si>
    <t>Spider-Man #4</t>
  </si>
  <si>
    <t>Marvel 1994 Fleer Amazing Spider-Man Hologram</t>
  </si>
  <si>
    <t>Cooper Flagg #1</t>
  </si>
  <si>
    <t>Basketball Cards 2025 Bowman</t>
  </si>
  <si>
    <t>"https://www.whatnot.com/order/jUyUBmgt9rDM2xSirWQMVK_x000D_
$2.00 + $1.00 (Shared Shipping) + $0.31 Tax = Total of $3.31"</t>
  </si>
  <si>
    <t>Tyrese Haliburton #75</t>
  </si>
  <si>
    <t>Basketball Cards 2020 Panini Clearly Donruss</t>
  </si>
  <si>
    <t>"https://www.whatnot.com/order/3L3ttnP3dWr4gppLFyVTfw_x000D_
$4.00 + $0.00 (Shared Shipping) + $0.41 Tax = Total of $4.41"</t>
  </si>
  <si>
    <t>Basketball Cards 2020 Panini Illusions</t>
  </si>
  <si>
    <t>"https://www.whatnot.com/order/QTaAU7BuEKWFVBSztLHVZt_x000D_
$2.00 + $0.36 (Shared Shipping) + $0.24 Tax = Total of $2.61"</t>
  </si>
  <si>
    <t>Austin Reaves [Storm] #163</t>
  </si>
  <si>
    <t>Basketball Cards 2024 Panini Donruss</t>
  </si>
  <si>
    <t>"https://www.whatnot.com/order/9ki7HURGVDFpQYLubozunU_x000D_
$5.00 + $0.21 (Shared Shipping) + $0.53 Tax = Total of $5.74"</t>
  </si>
  <si>
    <t>John Doyle #5</t>
  </si>
  <si>
    <t>Tab Ramos #9</t>
  </si>
  <si>
    <t>Luka Doncic #223</t>
  </si>
  <si>
    <t>Barry Bonds #440</t>
  </si>
  <si>
    <t>Baseball Cards 1989 Upper Deck</t>
  </si>
  <si>
    <t>Luka Doncic #1</t>
  </si>
  <si>
    <t>Basketball Cards 2023 Panini Prizm Global Reach</t>
  </si>
  <si>
    <t xml:space="preserve">"https://www.whatnot.com/order/8DwoNWn73teh8obUuAY5eP_x000D_
$2.50 + $0.21 (Shared Shipping) + $0.28 Tax = Total of $2.98"_x000D_
</t>
  </si>
  <si>
    <t>Stephen Curry #BD-9</t>
  </si>
  <si>
    <t>Basketball Cards 2025 Topps Chrome Ball Of Duty</t>
  </si>
  <si>
    <t>"https://www.whatnot.com/order/3hBZtxnc5D7aSBGh5GQwZ2_x000D_
$8.00 + $2.48 (Shared Shipping) + $1.07 Tax = Total of $11.55"</t>
  </si>
  <si>
    <t>Cobi Jones #11</t>
  </si>
  <si>
    <t>Luka Doncic #554</t>
  </si>
  <si>
    <t>Basketball Cards 2020 Panini Chronicles Hometown Heroes Rookie Autographs</t>
  </si>
  <si>
    <t>Reed Sheppard [Blue Cracked Ice Prizm] #68</t>
  </si>
  <si>
    <t>Basketball Cards 2024 Panini Select</t>
  </si>
  <si>
    <t>Stephen Curry #163</t>
  </si>
  <si>
    <t>Basketball Cards 2024 Panini Mosaic</t>
  </si>
  <si>
    <t>David Platt #304</t>
  </si>
  <si>
    <t>Luka Doncic #141</t>
  </si>
  <si>
    <t>Basketball Cards 2023 Panini Donruss</t>
  </si>
  <si>
    <t xml:space="preserve">"https://www.whatnot.com/order/N3ommW2GZtgbdFUhrqPhaC_x000D_
$2.33 + $0.21 (Shared Shipping) + $0.26 Tax = Total of $2.80"_x000D_
</t>
  </si>
  <si>
    <t>Ken Griffey Jr. #424</t>
  </si>
  <si>
    <t>Baseball Cards 1992 Upper Deck</t>
  </si>
  <si>
    <t>Ken Griffey Jr. #336</t>
  </si>
  <si>
    <t>Baseball Cards 1990 Topps Tiffany</t>
  </si>
  <si>
    <t>Victor Wembanyama [Orange Cracked Ice Prizm] #9</t>
  </si>
  <si>
    <t>Victor Wembanyama #143</t>
  </si>
  <si>
    <t>Luka Doncic [Astro] #13</t>
  </si>
  <si>
    <t>Basketball Cards 2024 Panini Revolution</t>
  </si>
  <si>
    <t>"https://www.whatnot.com/order/5scJ87fFG7iaQkajYWq4bV_x000D_
$2.00 + $0.74 (Shared Shipping) + $0.28 Tax = Total of $3.02"</t>
  </si>
  <si>
    <t>LeBron James #118</t>
  </si>
  <si>
    <t>Jalen Brunson [Emerald] #125</t>
  </si>
  <si>
    <t>"https://www.whatnot.com/order/6AEw6dYtHHV2b8pbZH8HLX_x000D_
$2.00 + $0.74 (Shared Shipping) + $0.28 Tax = Total of $3.02"</t>
  </si>
  <si>
    <t>Ruud Gullit #306</t>
  </si>
  <si>
    <t>Luka Doncic [Mosaic] #16</t>
  </si>
  <si>
    <t>Basketball Cards 2024 Panini Mosaic Elevate</t>
  </si>
  <si>
    <t>Basketball Cards 2019 Panini Prizm</t>
  </si>
  <si>
    <t>"https://www.whatnot.com/order/27RrZ5UcQbAp2yynBpazpE_x000D_
$15.00 + $0.21 (Shared Shipping) + $1.56 Tax = Total of $16.77"</t>
  </si>
  <si>
    <t>Punisher 2099 #101</t>
  </si>
  <si>
    <t>Marvel 1994 Flair</t>
  </si>
  <si>
    <t>Luka Doncic #75</t>
  </si>
  <si>
    <t>"https://www.whatnot.com/order/LzxCN3kkWJX8nCqy8qr5nU_x000D_
$1.00 + $0.55 (Shared Shipping) + $0.16 Tax = Total of $1.70"</t>
  </si>
  <si>
    <t>Austin Reaves [Winter] #138</t>
  </si>
  <si>
    <t>Basketball Cards 2024 Panini NBA Hoops</t>
  </si>
  <si>
    <t>"https://www.whatnot.com/order/CyF3nZr4GRuqeEQwgYCVcq_x000D_
$1.00 + $1.39 (Shared Shipping) + $0.24 Tax = Total of $2.63"</t>
  </si>
  <si>
    <t>Shohei Ohtani #200</t>
  </si>
  <si>
    <t>Baseball Cards 2026 Topps</t>
  </si>
  <si>
    <t>"https://www.whatnot.com/order/84EtWmjxZp84PtP5CNdWys_x000D_
$3.00 + $2.48 (Shared Shipping) + $0.56 Tax = Total of $6.04"</t>
  </si>
  <si>
    <t>Cooper Flagg #201</t>
  </si>
  <si>
    <t>"https://www.whatnot.com/order/WKa7ntNswTBEf2VahSBtgB_x000D_
$4.00 + $0.55 (Shared Shipping) + $0.47 Tax = Total of $5.01"</t>
  </si>
  <si>
    <t>Jaden McDaniels [Silver Prizm] #10</t>
  </si>
  <si>
    <t xml:space="preserve">"https://www.whatnot.com/order/6GpfoWGnD4i8UVt4E9YZb3_x000D_
$2.00 + $1.09 (Shared Shipping) + $0.32 Tax = Total of $3.41"_x000D_
</t>
  </si>
  <si>
    <t>Basketball Cards 2019 Panini Hoops Lights Camera Action</t>
  </si>
  <si>
    <t>Stephen Curry #3</t>
  </si>
  <si>
    <t>Basketball Cards 2024 Panini Revolution Hardwood Legacy</t>
  </si>
  <si>
    <t>Nikola Jokic #YK-6</t>
  </si>
  <si>
    <t>Basketball Cards 2025 Bowman Young Kings</t>
  </si>
  <si>
    <t>Dirk Nowitzki [Refractor] #246</t>
  </si>
  <si>
    <t>Jason Williams #107</t>
  </si>
  <si>
    <t>Basketball Cards 1998 Fleer Brilliants</t>
  </si>
  <si>
    <t>"https://www.whatnot.com/order/RtJrQKBCiEPUi9krGFqsyU_x000D_
$2.00 + $4.29 (Shared Shipping) + $0.64 Tax = Total of $6.93"</t>
  </si>
  <si>
    <t>Shai Gilgeous-Alexander [Hyper Pink] #127</t>
  </si>
  <si>
    <t>https://www.whatnot.com/order/YSnqxDb4AmM3M6XH7veFMz_x000D_
$3.00 + $0.74 (Shared Shipping) + $0.38 Tax = Total of $4.12</t>
  </si>
  <si>
    <t>Nikola Jokic [Blue] #60</t>
  </si>
  <si>
    <t>Basketball Cards 2025 Topps Match Attax</t>
  </si>
  <si>
    <t>"https://www.whatnot.com/order/Wurw4zw2wFBAE84zbwVyWp_x000D_
$6.00 + $2.48 (Shared Shipping) + $0.87 Tax = Total of $9.34"</t>
  </si>
  <si>
    <t>Nikola Jokic [Silver] #12</t>
  </si>
  <si>
    <t xml:space="preserve">"https://www.whatnot.com/order/RykinryybXh9vCb6txwXKc_x000D_
$2.00 + $0.74 (Shared Shipping) + $0.28 Tax = Total of $3.02"_x000D_
</t>
  </si>
  <si>
    <t>Victor Wembanyama [Wave] #NBA-7</t>
  </si>
  <si>
    <t>Kyrie Irving #63</t>
  </si>
  <si>
    <t>Basketball Cards 2022 Panini Chronicles Draft Picks Revolution</t>
  </si>
  <si>
    <t>"https://www.whatnot.com/order/4QyCs9xsuozDF4z5kAMs7r_x000D_
$3.00 + $1.72 (Shared Shipping) + $0.48 Tax = Total of $5.20"</t>
  </si>
  <si>
    <t>Kyrie Irving [Orange Ice] #22</t>
  </si>
  <si>
    <t>Basketball Cards 2023 Panini Prizm</t>
  </si>
  <si>
    <t>"https://www.whatnot.com/order/U4wUV4wsrmJG4Ko5kpcCWo_x000D_
$2.00 + $0.74 (Shared Shipping) + $0.28 Tax = Total of $3.02"</t>
  </si>
  <si>
    <t>Luka Doncic #3</t>
  </si>
  <si>
    <t>Basketball Cards 2023 Panini Select Thunder Lane</t>
  </si>
  <si>
    <t>Kobe Bryant #35</t>
  </si>
  <si>
    <t>Basketball Cards 2003 SP Authentic</t>
  </si>
  <si>
    <t>"https://www.whatnot.com/order/PPztzz2oNPCFrGQKEtGeKP_x000D_
$0.00 + $0.00 (Shared Shipping) + $0.00 Tax = Total of $0.00"</t>
  </si>
  <si>
    <t>Romario #326</t>
  </si>
  <si>
    <t>Maximum Carnage #104</t>
  </si>
  <si>
    <t>Eric Wynalda #14</t>
  </si>
  <si>
    <t>Luka Doncic [Teal] #15</t>
  </si>
  <si>
    <t>Basketball Cards 2019 Panini Chronicles</t>
  </si>
  <si>
    <t>"https://www.whatnot.com/order/THjJHwGpnJ2cNFaSnvcckW_x000D_
$1.00 + $1.00 (Shared Shipping) + $0.21 Tax = Total of $2.21"</t>
  </si>
  <si>
    <t>Michael Jordan #SP1</t>
  </si>
  <si>
    <t>Baseball Cards 1991 Upper Deck</t>
  </si>
  <si>
    <t>Luka Doncic  [Purple] #13</t>
  </si>
  <si>
    <t>Basketball Cards 2023 Donruss Optic Express Lane</t>
  </si>
  <si>
    <t>Joel Embiid #263</t>
  </si>
  <si>
    <t>Basketball Cards 2014 Panini Hoops</t>
  </si>
  <si>
    <t xml:space="preserve">"https://www.whatnot.com/order/84EtWmjxZp84PtP5CNdWys_x000D_
$3.00 + $2.48 (Shared Shipping) + $0.56 Tax = Total of $6.04"_x000D_
</t>
  </si>
  <si>
    <t>Statistics Keycard #276</t>
  </si>
  <si>
    <t>Ja Morant [Oil Spill Refractor] #93</t>
  </si>
  <si>
    <t>Basketball Cards 2025 Topps Finest</t>
  </si>
  <si>
    <t>"https://www.whatnot.com/order/MwfykcrBkKSMi8nZ7VXmSm_x000D_
$2.00 + $0.36 (Shared Shipping) + $0.24 Tax = Total of $2.61"</t>
  </si>
  <si>
    <t>Cade Cunningham [Refractor] #88</t>
  </si>
  <si>
    <t>"https://www.whatnot.com/order/V5Gh7hYUvoJshqsMYA2fjj_x000D_
$2.00 + $1.00 (Shared Shipping) + $0.31 Tax = Total of $3.31"</t>
  </si>
  <si>
    <t>Luka Doncic #519</t>
  </si>
  <si>
    <t>Luka Doncic [Green] #89</t>
  </si>
  <si>
    <t>Basketball Cards 2024 Panini Prizm</t>
  </si>
  <si>
    <t>"https://www.whatnot.com/order/Qz7U5ppnESxTUaQq9NtVok_x000D_
$2.00 + $0.55 (Shared Shipping) + $0.26 Tax = Total of $2.81"</t>
  </si>
  <si>
    <t>Luka Doncic [Purple] #62</t>
  </si>
  <si>
    <t>Basketball Cards 2021 Panini Hoops</t>
  </si>
  <si>
    <t>"https://www.whatnot.com/order/AFcBHwTXfggkzDpK3hRwdb_x000D_
$2.00 + $0.36 (Shared Shipping) + $0.24 Tax = Total of $2.61"</t>
  </si>
  <si>
    <t>JA Morant #168</t>
  </si>
  <si>
    <t>"https://www.whatnot.com/order/o8pD2uRJ2uJBZu72TvBaqn_x000D_
$1.00 + $1.00 (Shared Shipping) + $0.21 Tax = Total of $2.21"</t>
  </si>
  <si>
    <t>Spider-Demon [Part III]</t>
  </si>
  <si>
    <t>Luka Doncic #89</t>
  </si>
  <si>
    <t>LeBron James [Blue Prizm] #54</t>
  </si>
  <si>
    <t>Luka Doncic #29</t>
  </si>
  <si>
    <t>Basketball Cards 2019 Panini Donruss Franchise Features</t>
  </si>
  <si>
    <t>"https://www.whatnot.com/order/BgoaXMcouJPo8C7yxmzWdd_x000D_
$1.00 + $0.78 (Shared Shipping) + $0.18 Tax = Total of $1.96"</t>
  </si>
  <si>
    <t>Thomas Dooley #7</t>
  </si>
  <si>
    <t>Tyrese Maxey [Holo] #135</t>
  </si>
  <si>
    <t>"https://www.whatnot.com/order/apudhfkcpm8mjfcciD2gPJ_x000D_
$2.00 + $0.74 (Shared Shipping) + $0.28 Tax = Total of $3.02"</t>
  </si>
  <si>
    <t>Wolverine Crippled #4</t>
  </si>
  <si>
    <t>Marvel 1994 Ultra X-Men Fatal Attractions</t>
  </si>
  <si>
    <t>Basketball Cards 2024 Panini NBA Hoops Frequent Flyers</t>
  </si>
  <si>
    <t>R</t>
  </si>
  <si>
    <t>jurcar</t>
  </si>
  <si>
    <t>Givvy 19</t>
  </si>
  <si>
    <t>Givvy 20</t>
  </si>
  <si>
    <t>https://www.whatnot.com/order/dxXz2Jyt4MAZh5PgRPhA2e</t>
  </si>
  <si>
    <t>https://www.whatnot.com/order/3YdoTRkTxViD7gGBZ6h9iY</t>
  </si>
  <si>
    <t>https://www.whatnot.com/order/5kGXwUf5RaGgQF2EFmu4H9</t>
  </si>
  <si>
    <t>https://www.whatnot.com/order/NiQA8q5w6tCKyhf9dhniXs</t>
  </si>
  <si>
    <t>https://www.whatnot.com/order/j2EYygrNpCqyDssAM2UmwS</t>
  </si>
  <si>
    <t>https://www.whatnot.com/order/RzUW8ZqubfD3RCjL2VoBop</t>
  </si>
  <si>
    <t>https://www.whatnot.com/order/dXNnRDYZ4XQd5syXTuJfHb</t>
  </si>
  <si>
    <t>https://www.whatnot.com/order/4LCZQZfaVVhJG2pKsSRhXY</t>
  </si>
  <si>
    <t>https://www.whatnot.com/order/MyYjybCzWUdYQZ5Nmcqzid</t>
  </si>
  <si>
    <t>https://www.whatnot.com/order/X5K6umEJWi23LicF99oSTD</t>
  </si>
  <si>
    <t>https://www.whatnot.com/order/iKMuPET2uvNEWaxZSPrWvT</t>
  </si>
  <si>
    <t>Shannon</t>
  </si>
  <si>
    <t>Lively</t>
  </si>
  <si>
    <t>Mitchell</t>
  </si>
  <si>
    <t>Bridges</t>
  </si>
  <si>
    <t>Description</t>
  </si>
  <si>
    <t>Set</t>
  </si>
  <si>
    <t>Gafford</t>
  </si>
  <si>
    <t>fzmn77</t>
  </si>
  <si>
    <t>https://www.whatnot.com/order/eYoXvD5HkSQiYCAdyKw6ww</t>
  </si>
  <si>
    <t>https://www.whatnot.com/order/moNYfWFRzgHft49zVDK7Ba</t>
  </si>
  <si>
    <t>Jackson</t>
  </si>
  <si>
    <t>https://www.whatnot.com/order/3GyMAAaJhKT35PtSFFmp7M</t>
  </si>
  <si>
    <t>https://www.whatnot.com/order/jrU4Q7xp5yH4tmGayj7YpY</t>
  </si>
  <si>
    <t>https://www.whatnot.com/order/QmxKqJw97MkWL4F4CV22QD</t>
  </si>
  <si>
    <t>McMahon</t>
  </si>
  <si>
    <t>Salaun</t>
  </si>
  <si>
    <t>Fox</t>
  </si>
  <si>
    <t>wadek2332</t>
  </si>
  <si>
    <t>https://www.whatnot.com/order/RkyA6Bkpg2Bd9SGH2hZzTu</t>
  </si>
  <si>
    <t>everydaysingles</t>
  </si>
  <si>
    <t>https://www.whatnot.com/order/m7u6JPnkRPdg3KPtvFYypQ</t>
  </si>
  <si>
    <t>https://www.whatnot.com/order/CcgKgfJ5nvryvvKXiQFRF3</t>
  </si>
  <si>
    <t>https://www.whatnot.com/order/NKDpWFDEF9zthvWQGx6hjv</t>
  </si>
  <si>
    <t>Givvy 9</t>
  </si>
  <si>
    <t>blakewaldron4</t>
  </si>
  <si>
    <t>https://www.whatnot.com/order/b7cw23wZQThBVqdCqhgC7j</t>
  </si>
  <si>
    <t>https://www.whatnot.com/order/atV5mnNpi29X79RWUk3egh</t>
  </si>
  <si>
    <t>https://www.whatnot.com/order/247xYh6aYVcwWApNwxFJY9</t>
  </si>
  <si>
    <t>https://www.whatnot.com/order/ERNzPGDtKT3NBd3m26uHUb</t>
  </si>
  <si>
    <t>Sorber</t>
  </si>
  <si>
    <t>Silver Parallel not listed</t>
  </si>
  <si>
    <t>Burrow</t>
  </si>
  <si>
    <t>PSA 10</t>
  </si>
  <si>
    <t>jayspopup</t>
  </si>
  <si>
    <t>https://www.whatnot.com/order/Gzx3x3hroNb5oYG2Go9M4M</t>
  </si>
  <si>
    <t>https://www.whatnot.com/order/LWb3sBpSSuKkKt2ouhdoxo</t>
  </si>
  <si>
    <t>https://www.whatnot.com/order/2TyjnBKs5xc9uWHYUQd9fu</t>
  </si>
  <si>
    <t>https://www.whatnot.com/order/jYo3VKPfAkNfdoPWbkE8fv</t>
  </si>
  <si>
    <t>https://www.whatnot.com/order/mnN4d6f44iDgHmgaGRqhz9</t>
  </si>
  <si>
    <t>colexcardco</t>
  </si>
  <si>
    <t>https://www.whatnot.com/order/bjbSDowQ8rwtKXCHzkacVp</t>
  </si>
  <si>
    <t>https://www.whatnot.com/order/YAUQiahE9jPotBCmxaNkUS</t>
  </si>
  <si>
    <t>https://www.whatnot.com/order/5UjjnZwur4KMPeFJnGd5wv</t>
  </si>
  <si>
    <t>Mahomes</t>
  </si>
  <si>
    <t>Parrish</t>
  </si>
  <si>
    <t>grazicards</t>
  </si>
  <si>
    <t>https://www.whatnot.com/order/5X36yCiHaJsMeN64D6uPLA</t>
  </si>
  <si>
    <t>sycotik</t>
  </si>
  <si>
    <t>https://www.whatnot.com/order/BxpSgRamxcouLJ5UoJeEaP</t>
  </si>
  <si>
    <t>https://www.whatnot.com/order/9ER4Qs3djKVVj6qwbLpnAt</t>
  </si>
  <si>
    <t>ritchievault</t>
  </si>
  <si>
    <t>https://www.whatnot.com/order/TYnJSjGYYq23Mb9UWhC6Xk</t>
  </si>
  <si>
    <t>https://www.whatnot.com/order/V4B7eTMpR47RKMGyDdYHuc</t>
  </si>
  <si>
    <t>https://www.whatnot.com/order/nf6DKG4X4BE3RvCtyQDywr</t>
  </si>
  <si>
    <t>https://www.whatnot.com/order/ZtB4ZVd8p4oiJnLmAJs7tz</t>
  </si>
  <si>
    <t>https://www.whatnot.com/order/F54vujG64TkcHYp4KU7RHA</t>
  </si>
  <si>
    <t>Banchero</t>
  </si>
  <si>
    <t>Rodman</t>
  </si>
  <si>
    <t>Givvy 12</t>
  </si>
  <si>
    <t>Kyrie</t>
  </si>
  <si>
    <t>Adebayo</t>
  </si>
  <si>
    <t>https://www.whatnot.com/order/am68o5TGkfds6VHNQLbuH7</t>
  </si>
  <si>
    <t>https://www.whatnot.com/order/jsA2rRdn9VNgmytpu33ezw</t>
  </si>
  <si>
    <t>https://www.whatnot.com/order/XsHDMZLVpnSHsbkfHPdiii</t>
  </si>
  <si>
    <t>https://www.whatnot.com/order/95MtnSosyaYoiaS3Fs9P9f</t>
  </si>
  <si>
    <t>https://www.whatnot.com/order/Gposmhs3UPw2tTSYYRaxZp</t>
  </si>
  <si>
    <t>https://www.whatnot.com/order/UWospfHLJBJCwjKMbMJrJc</t>
  </si>
  <si>
    <t>https://www.whatnot.com/order/YizRVYJABNSdo22iZwgKNb</t>
  </si>
  <si>
    <t>https://www.whatnot.com/order/A7skqPgdXNgH85B2zYMLjL</t>
  </si>
  <si>
    <t>Castle</t>
  </si>
  <si>
    <t>Green</t>
  </si>
  <si>
    <t>noketownstar32</t>
  </si>
  <si>
    <t>https://www.whatnot.com/order/nAEkrSA7yzkeKXKekwWJV7</t>
  </si>
  <si>
    <t>https://www.whatnot.com/order/C8wNmr23XSGaFU3EsaesSS</t>
  </si>
  <si>
    <t>ronnierippzcards</t>
  </si>
  <si>
    <t>https://www.whatnot.com/order/Mqc2Uuzq8b8WstsiTribsF</t>
  </si>
  <si>
    <t>Toppin</t>
  </si>
  <si>
    <t>https://www.whatnot.com/order/Kd3DTS6aAunowd6ZnJ4KTS</t>
  </si>
  <si>
    <t>https://www.whatnot.com/order/cVAH6c2Ha2VVKr4oHxHUDo</t>
  </si>
  <si>
    <t>kadenjc1</t>
  </si>
  <si>
    <t>https://www.whatnot.com/order/7uWiSpZyq2Roey5Rr4Z456</t>
  </si>
  <si>
    <t>kidds_cards</t>
  </si>
  <si>
    <t>mc_sportscards</t>
  </si>
  <si>
    <t>Ebay</t>
  </si>
  <si>
    <t>https://order.ebay.com/ord/show?orderId=04-14670-36767&amp;purchaseOrderId=04-1467-036766#/</t>
  </si>
  <si>
    <t>https://www.whatnot.com/order/QCeWrxwuLDSmy5kirafwrW</t>
  </si>
  <si>
    <t>https://www.whatnot.com/order/n7MxSz7PrCaHnYLU8dzQbP</t>
  </si>
  <si>
    <t>https://www.whatnot.com/order/V3RCUewZwCDfiBZPvUE9Az</t>
  </si>
  <si>
    <t>https://www.whatnot.com/order/adbiydZbLLFo8x6jprPUeB</t>
  </si>
  <si>
    <t>https://www.whatnot.com/order/XkjMoJAg278e8FP5go6RjV</t>
  </si>
  <si>
    <t>https://www.whatnot.com/order/Z2R37fViUKxpmERP7PNyqv</t>
  </si>
  <si>
    <t>https://www.whatnot.com/order/QxNucFNxSrMWbb9wNao39X</t>
  </si>
  <si>
    <t>https://www.whatnot.com/order/FPqEc5jV3NSTjBSSKH6SCF</t>
  </si>
  <si>
    <t>https://www.whatnot.com/order/GPS2oVEvpYFQarAZqquyDW</t>
  </si>
  <si>
    <t>https://www.whatnot.com/order/UJkddQRLVRPS28Tdsjeg99</t>
  </si>
  <si>
    <t>https://www.whatnot.com/order/V7U6XPjihidFw6zF8nFVk5</t>
  </si>
  <si>
    <t>https://www.whatnot.com/order/iZbKHBvYo5zS45eekjhRzc</t>
  </si>
  <si>
    <t>https://www.whatnot.com/order/gKVf7ZXT8eYzYEJbDN84nY</t>
  </si>
  <si>
    <t>https://www.whatnot.com/order/D6qPAHQXHsNLKzLT7qX4E9</t>
  </si>
  <si>
    <t>https://www.whatnot.com/order/VQe2Xcgdk5QnGCBcwfuXsR</t>
  </si>
  <si>
    <t>https://www.whatnot.com/order/dreE2xdZz6eNaRJPKmkUNj</t>
  </si>
  <si>
    <t>https://www.whatnot.com/order/EUA4Ax5q4f9gC5Gv9mTsGc</t>
  </si>
  <si>
    <t>Luka Doncic #23 [Rookie]</t>
  </si>
  <si>
    <t>2018 Panini Prizm Freshman Phenoms</t>
  </si>
  <si>
    <t>Mean</t>
  </si>
  <si>
    <t>Std Dev</t>
  </si>
  <si>
    <t>90th Percentile</t>
  </si>
  <si>
    <t>Card</t>
  </si>
  <si>
    <t>Last 30 Sales</t>
  </si>
  <si>
    <t>eBay Fees</t>
  </si>
  <si>
    <t>Paypal Fees</t>
  </si>
  <si>
    <t>Taxes</t>
  </si>
  <si>
    <t>Profit Target</t>
  </si>
  <si>
    <t>Sale Percentile</t>
  </si>
  <si>
    <t>75th Percentile</t>
  </si>
  <si>
    <t>Card ID</t>
  </si>
  <si>
    <t>Max Buy</t>
  </si>
  <si>
    <t>Total % Fees</t>
  </si>
  <si>
    <t>80th Percentile</t>
  </si>
  <si>
    <t>85th Percentile</t>
  </si>
  <si>
    <t>Probability</t>
  </si>
  <si>
    <t>Max</t>
  </si>
  <si>
    <t>75th %</t>
  </si>
  <si>
    <t>80th %</t>
  </si>
  <si>
    <t>85th %</t>
  </si>
  <si>
    <t>90th %</t>
  </si>
  <si>
    <t>99th Percentile</t>
  </si>
  <si>
    <t>99th %</t>
  </si>
  <si>
    <t>Min</t>
  </si>
  <si>
    <t>Profit</t>
  </si>
  <si>
    <t>Sell Price</t>
  </si>
  <si>
    <t>Sale</t>
  </si>
  <si>
    <t>2018 Panini Hoops</t>
  </si>
  <si>
    <t>Luka Doncic #268 [Rookie]</t>
  </si>
  <si>
    <t>Max Adj</t>
  </si>
  <si>
    <t>Min Adj</t>
  </si>
  <si>
    <t xml:space="preserve">Luka Doncic #280 [Rookie] </t>
  </si>
  <si>
    <t>2018 Panini Prizm</t>
  </si>
  <si>
    <t>Grade</t>
  </si>
  <si>
    <t>Purchase</t>
  </si>
  <si>
    <t>Income</t>
  </si>
  <si>
    <t>Margin %</t>
  </si>
  <si>
    <t>Total</t>
  </si>
  <si>
    <t>Add New Card</t>
  </si>
  <si>
    <t>5th Percentile</t>
  </si>
  <si>
    <t>10th Percentile</t>
  </si>
  <si>
    <t>15th Percentile</t>
  </si>
  <si>
    <t>20th Percentile</t>
  </si>
  <si>
    <t>25th Percentile</t>
  </si>
  <si>
    <t>30th Percentile</t>
  </si>
  <si>
    <t>35th Percentile</t>
  </si>
  <si>
    <t>40th Percentile</t>
  </si>
  <si>
    <t>45th Percentile</t>
  </si>
  <si>
    <t>50th Percentile</t>
  </si>
  <si>
    <t>55th Percentile</t>
  </si>
  <si>
    <t>60th Percentile</t>
  </si>
  <si>
    <t>65th Percentile</t>
  </si>
  <si>
    <t>70th Percentile</t>
  </si>
  <si>
    <t>Basketball Cards 2021 Panini Donruss Optic</t>
  </si>
  <si>
    <t>"https://www.whatnot.com/order/ERNzPGDtKT3NBd3m26uHUb_x000D_
$1.00 + $2.18 (Shared Shipping) + $0.33 Tax = Total of $3.50"</t>
  </si>
  <si>
    <t>Shai Gilgeous-Alexander [Hyper Pink] #104</t>
  </si>
  <si>
    <t>Basketball Cards 2023 Panini Donruss Optic</t>
  </si>
  <si>
    <t>"https://www.whatnot.com/order/dXNnRDYZ4XQd5syXTuJfHb_x000D_
$2.00 + $0.63 (Shared Shipping) + $0.27 Tax = Total of $2.90"</t>
  </si>
  <si>
    <t>Thomas Sorber #15</t>
  </si>
  <si>
    <t>"https://www.whatnot.com/order/b7cw23wZQThBVqdCqhgC7j_x000D_
$0.00 + $0.00 (Shared Shipping) + $0.00 Tax = Total of $0.00"</t>
  </si>
  <si>
    <t>Luka Doncic [Red Ice] #18</t>
  </si>
  <si>
    <t>Basketball Cards 2023 Panini Phoenix Fade To Black</t>
  </si>
  <si>
    <t>"https://www.whatnot.com/order/5X36yCiHaJsMeN64D6uPLA_x000D_
$1.50 + $2.28 (Shared Shipping) + $0.39 Tax = Total of $4.16"</t>
  </si>
  <si>
    <t>Luka Doncic #12</t>
  </si>
  <si>
    <t>Basketball Cards 2024 Panini Prizm Dominance</t>
  </si>
  <si>
    <t>Austin Reaves #123</t>
  </si>
  <si>
    <t>Basketball Cards 2022 Panini Prizm</t>
  </si>
  <si>
    <t>"https://www.whatnot.com/order/F54vujG64TkcHYp4KU7RHA_x000D_
$10.00 + $0.78 (Shared Shipping) + $1.10 Tax = Total of $11.88"</t>
  </si>
  <si>
    <t>Luka Doncic [Slime] #281</t>
  </si>
  <si>
    <t>Basketball Cards 2024 Panini Haunted Hoops</t>
  </si>
  <si>
    <t>"https://www.whatnot.com/order/NKDpWFDEF9zthvWQGx6hjv_x000D_
$2.00 + $0.36 (Shared Shipping) + $0.24 Tax = Total of $2.61"</t>
  </si>
  <si>
    <t>Luka Doncic [Holo] #7</t>
  </si>
  <si>
    <t>Basketball Cards 2021 Panini Donruss Optic Express Lane</t>
  </si>
  <si>
    <t>Dereck Lively II [Green White Purple Prizm] #26</t>
  </si>
  <si>
    <t>"https://www.whatnot.com/order/4LCZQZfaVVhJG2pKsSRhXY_x000D_
$0.00 + $0.63 (Shared Shipping) + $0.06 Tax = Total of $0.69"</t>
  </si>
  <si>
    <t>"https://www.whatnot.com/order/cVAH6c2Ha2VVKr4oHxHUDo_x000D_
$2.00 + $4.55 (Shared Shipping) + $0.67 Tax = Total of $7.22"</t>
  </si>
  <si>
    <t>Luka Doncic [Hyper Pink] #214</t>
  </si>
  <si>
    <t>"https://www.whatnot.com/order/Mqc2Uuzq8b8WstsiTribsF_x000D_
$3.00 + $0.78 (Shared Shipping) + $0.39 Tax = Total of $4.17"</t>
  </si>
  <si>
    <t>Jayson Tatum [Red Ice] #51</t>
  </si>
  <si>
    <t>Basketball Cards 2023 Panini Prizm Draft Picks</t>
  </si>
  <si>
    <t>"https://www.whatnot.com/order/9ER4Qs3djKVVj6qwbLpnAt_x000D_
$1.50 + $1.20 (Shared Shipping) + $0.28 Tax = Total of $2.98"</t>
  </si>
  <si>
    <t>Paolo Banchero [Purple Rainbow] #SA-20</t>
  </si>
  <si>
    <t>Basketball Cards 2025 Topps Stars of the NBA</t>
  </si>
  <si>
    <t>"https://www.whatnot.com/order/nf6DKG4X4BE3RvCtyQDywr_x000D_
$3.00 + $0.78 (Shared Shipping) + $0.39 Tax = Total of $4.16"</t>
  </si>
  <si>
    <t>Dirk Nowitzki [Blackout] #252</t>
  </si>
  <si>
    <t>"https://www.whatnot.com/order/NiQA8q5w6tCKyhf9dhniXs_x000D_
$3.00 + $0.63 (Shared Shipping) + $0.37 Tax = Total of $4.00"</t>
  </si>
  <si>
    <t>Tyrese Maxey [Electric Etch Orange Flood] #20</t>
  </si>
  <si>
    <t>Basketball Cards 2024 Panini Obsidian Equinox</t>
  </si>
  <si>
    <t>"https://www.whatnot.com/order/RkyA6Bkpg2Bd9SGH2hZzTu_x000D_
$10.00 + $4.35 (Shared Shipping) + $1.47 Tax = Total of $15.82"</t>
  </si>
  <si>
    <t>Patrick Mahomes II [Red Yellow Prizm Shock] #120</t>
  </si>
  <si>
    <t>Football Cards 2024 Panini Select</t>
  </si>
  <si>
    <t>"https://www.whatnot.com/order/5UjjnZwur4KMPeFJnGd5wv_x000D_
$6.00 + $1.36 (Shared Shipping) + $0.75 Tax = Total of $8.11"</t>
  </si>
  <si>
    <t>Luka Doncic [Green Seismic] #214</t>
  </si>
  <si>
    <t>"https://www.whatnot.com/order/RzUW8ZqubfD3RCjL2VoBop_x000D_
$2.00 + $0.63 (Shared Shipping) + $0.27 Tax = Total of $2.90"</t>
  </si>
  <si>
    <t>Luka Doncic [Green White Purple Prizm] #141</t>
  </si>
  <si>
    <t>"https://www.whatnot.com/order/X5K6umEJWi23LicF99oSTD_x000D_
$2.00 + $0.63 (Shared Shipping) + $0.27 Tax = Total of $2.90"</t>
  </si>
  <si>
    <t>Kyrie Irving [Holo] #8</t>
  </si>
  <si>
    <t>Basketball Cards 2020 Panini Donruss Optic My House</t>
  </si>
  <si>
    <t>"https://www.whatnot.com/order/atV5mnNpi29X79RWUk3egh_x000D_
$1.00 + $2.18 (Shared Shipping) + $0.33 Tax = Total of $3.50"</t>
  </si>
  <si>
    <t>JT Toppin #BV-15</t>
  </si>
  <si>
    <t>Basketball Cards 2025 Bowman Verified</t>
  </si>
  <si>
    <t>"https://www.whatnot.com/order/C8wNmr23XSGaFU3EsaesSS_x000D_
$0.50 + $0.27 (Shared Shipping) + $0.08 Tax = Total of $0.85"</t>
  </si>
  <si>
    <t>Luka Doncic #13</t>
  </si>
  <si>
    <t>"https://www.whatnot.com/order/RBy2pvRpcvEutM74HSJXng_x000D_
$1.00 + $0.55 (Shared Shipping) + $0.16 Tax = Total of $1.70"</t>
  </si>
  <si>
    <t>Terrence Shannon Jr. [Pink Ice] #224</t>
  </si>
  <si>
    <t>Daniel Gafford [Purple Refractor] #78</t>
  </si>
  <si>
    <t>Tidjane Salaun #71</t>
  </si>
  <si>
    <t>"https://www.whatnot.com/order/Xz3tx8zp8BHqHykj7qkN3x_x000D_
$0.00 + $0.00 (Shared Shipping) + $0.00 Tax = Total of $0.00"</t>
  </si>
  <si>
    <t>Shai Gilgeous-Alexander #8</t>
  </si>
  <si>
    <t>"https://www.whatnot.com/order/BxpSgRamxcouLJ5UoJeEaP_x000D_
$1.00 + $1.60 (Shared Shipping) + $0.27 Tax = Total of $2.87"</t>
  </si>
  <si>
    <t>Lamar Jackson [Green Hyper] #144</t>
  </si>
  <si>
    <t>Football Cards 2025 Panini Phoenix</t>
  </si>
  <si>
    <t>"https://www.whatnot.com/order/moNYfWFRzgHft49zVDK7Ba_x000D_
$2.00 + $0.28 (Shared Shipping) + $0.23 Tax = Total of $2.51"</t>
  </si>
  <si>
    <t>JT Toppin #BPP-93</t>
  </si>
  <si>
    <t>Basketball Cards 2025 Bowman Prospects</t>
  </si>
  <si>
    <t>Donovan Mitchell [Red and Yellow] #188</t>
  </si>
  <si>
    <t>Basketball Cards 2017 Panini Donruss Optic</t>
  </si>
  <si>
    <t>"https://www.whatnot.com/order/iKMuPET2uvNEWaxZSPrWvT_x000D_
$3.00 + $0.63 (Shared Shipping) + $0.37 Tax = Total of $4.00"</t>
  </si>
  <si>
    <t>Cooper Flagg #BB-CF</t>
  </si>
  <si>
    <t>Basketball Cards 2025 Topps Match Attax Breakthrough Baller</t>
  </si>
  <si>
    <t>Maxime Raynaud #293</t>
  </si>
  <si>
    <t>"https://www.whatnot.com/order/kPmzHw359b76wtiBHv2d7E _x000D_
$0.00 + $0.00 (Shared Shipping) + $0.00 Tax = Total of $0.00"</t>
  </si>
  <si>
    <t>Luka Doncic [Pink Ice] #89</t>
  </si>
  <si>
    <t>"https://www.whatnot.com/order/aE4kEgCLAeDJfnfFh8U4bA_x000D_
$4.00 + $0.78 (Shared Shipping) + $0.49 Tax = Total of $5.27"</t>
  </si>
  <si>
    <t>Shai Gilgeous-Alexander #6</t>
  </si>
  <si>
    <t>Basketball Cards 2024 Panini Donruss Optic My House</t>
  </si>
  <si>
    <t>"https://www.whatnot.com/order/eYoXvD5HkSQiYCAdyKw6ww_x000D_
$2.00 + $0.28 (Shared Shipping) + $0.23 Tax = Total of $2.51"</t>
  </si>
  <si>
    <t>Dennis Rodman #279</t>
  </si>
  <si>
    <t>"https://www.whatnot.com/order/bjbSDowQ8rwtKXCHzkacVp_x000D_
$0.00 + $1.36 (Shared Shipping) + $0.14 Tax = Total of $1.50"</t>
  </si>
  <si>
    <t>Nikola Jokic [Holo] #28</t>
  </si>
  <si>
    <t>Cotie McMahon #BPP-30</t>
  </si>
  <si>
    <t>"https://www.whatnot.com/order/ezSKfFW6zDG5UWaRKJYAXA_x000D_
$0.00 + $0.00 (Shared Shipping) + $0.00 Tax = Total of $0.00"</t>
  </si>
  <si>
    <t>Victor Wembanyama #277</t>
  </si>
  <si>
    <t>"https://www.whatnot.com/order/5kGXwUf5RaGgQF2EFmu4H9_x000D_
$5.00 + $0.63 (Shared Shipping) + $0.58 Tax = Total of $6.20"</t>
  </si>
  <si>
    <t>Basketball Cards 2023 Panini Donruss Bomb Squad</t>
  </si>
  <si>
    <t>"https://www.whatnot.com/order/m7u6JPnkRPdg3KPtvFYypQ_x000D_
$1.00 + $0.36 (Shared Shipping) + $0.14 Tax = Total of $1.50"</t>
  </si>
  <si>
    <t>Luka Doncic #280</t>
  </si>
  <si>
    <t>Basketball Cards 2018 Panini Prizm</t>
  </si>
  <si>
    <t>"https://order.ebay.com/ord/show?orderId=04-14670-36767&amp;purchaseOrderId=04-1467-036766#/_x000D_
$190.00 + $6.00 (Shared Shipping) + $20.09 Tax = Total of $216.09"</t>
  </si>
  <si>
    <t>Basketball Cards 2024 Panini Donruss Optic Splash</t>
  </si>
  <si>
    <t>Basketball Cards 2025 Bowman Chrome</t>
  </si>
  <si>
    <t>Joe Burrow [Pulsar Refractor] #61</t>
  </si>
  <si>
    <t>Football Cards 2025 Topps Chrome</t>
  </si>
  <si>
    <t>"https://www.whatnot.com/order/3GyMAAaJhKT35PtSFFmp7M_x000D_
$1.00 + $0.28 (Shared Shipping) + $0.13 Tax = Total of $1.41"</t>
  </si>
  <si>
    <t>JA Morant [Silver] #580</t>
  </si>
  <si>
    <t>"https://www.whatnot.com/order/dxXz2Jyt4MAZh5PgRPhA2e_x000D_
$2.00 + $0.63 (Shared Shipping) + $0.27 Tax = Total of $2.90"</t>
  </si>
  <si>
    <t>De'Aaron Fox #3</t>
  </si>
  <si>
    <t>Basketball Cards 2019 Panini Hoops Premium Stock Lights Camera Action</t>
  </si>
  <si>
    <t>"https://www.whatnot.com/order/m4fEeiDTAEFP5LnXvHdGVx_x000D_
$0.00 + $0.00 (Shared Shipping) + $0.00 Tax = Total of $0.00"</t>
  </si>
  <si>
    <t>cardyoinkers</t>
  </si>
  <si>
    <t>https://www.whatnot.com/order/3x7P2iegqgUTYbwc6HCeds</t>
  </si>
  <si>
    <t>pbdreamlove</t>
  </si>
  <si>
    <t>https://www.whatnot.com/order/4qGFB5WJq67f7VePPgdKVK</t>
  </si>
  <si>
    <t>Confirm numbered to 99</t>
  </si>
  <si>
    <t>Carter</t>
  </si>
  <si>
    <t>revivecollectibles</t>
  </si>
  <si>
    <t>Break</t>
  </si>
  <si>
    <t>https://www.whatnot.com/order/4RxtebDXfZf5YY3okyKSu4</t>
  </si>
  <si>
    <t>Edwards</t>
  </si>
  <si>
    <t>Can't tell if it is Blue/Purple/Holo</t>
  </si>
  <si>
    <t>Stephon Castle #47</t>
  </si>
  <si>
    <t>Basketball Cards 2025 Topps NBA Hoops</t>
  </si>
  <si>
    <t>"https://www.whatnot.com/order/95MtnSosyaYoiaS3Fs9P9f_x000D_
$1.00 + $0.35 (Shared Shipping) + $0.14 Tax = Total of $1.48"</t>
  </si>
  <si>
    <t>Shai Gilgeous-Alexander #100C-SG</t>
  </si>
  <si>
    <t>Basketball Cards 2025 Topps Match Attax 100 Club</t>
  </si>
  <si>
    <t>"https://www.whatnot.com/order/Gzx3x3hroNb5oYG2Go9M4M_x000D_
$3.00 + $0.35 (Shared Shipping) + $0.34 Tax = Total of $3.69"</t>
  </si>
  <si>
    <t>Joel Embiid #4</t>
  </si>
  <si>
    <t>Basketball Cards 2021 Panini Illusions Mystique</t>
  </si>
  <si>
    <t>"https://www.whatnot.com/order/n7MxSz7PrCaHnYLU8dzQbP_x000D_
$1.00 + $0.43 (Shared Shipping) + $0.15 Tax = Total of $1.57"</t>
  </si>
  <si>
    <t>Victor Wembanyama #KI-VW</t>
  </si>
  <si>
    <t>Basketball Cards 2025 Topps Match Attax In Motion</t>
  </si>
  <si>
    <t>"https://www.whatnot.com/order/YizRVYJABNSdo22iZwgKNb_x000D_
$5.00 + $0.35 (Shared Shipping) + $0.55 Tax = Total of $5.89"</t>
  </si>
  <si>
    <t>Victor Wembanyama #BB-VW</t>
  </si>
  <si>
    <t>Luka Doncic #82</t>
  </si>
  <si>
    <t>Luka Doncic #115</t>
  </si>
  <si>
    <t>"https://www.whatnot.com/order/CcgKgfJ5nvryvvKXiQFRF3_x000D_
$0.16 + $0.14 (Shared Shipping) + $0.03 Tax = Total of $0.33"</t>
  </si>
  <si>
    <t>Donovan Mitchell #188</t>
  </si>
  <si>
    <t>"https://www.whatnot.com/order/jsA2rRdn9VNgmytpu33ezw_x000D_
$1.00 + $0.35 (Shared Shipping) + $0.14 Tax = Total of $1.48"</t>
  </si>
  <si>
    <t>Donovan Mitchell [Hyper] #49</t>
  </si>
  <si>
    <t>Basketball Cards 2024 Panini Prizm Black</t>
  </si>
  <si>
    <t>"https://www.whatnot.com/order/LWb3sBpSSuKkKt2ouhdoxo_x000D_
$1.00 + $0.35 (Shared Shipping) + $0.14 Tax = Total of $1.48"</t>
  </si>
  <si>
    <t>Shai Gilgeous-Alexander #SH-SG</t>
  </si>
  <si>
    <t>Basketball Cards 2025 Topps Match Attax Scoring Hero</t>
  </si>
  <si>
    <t>Nikola Jokic [Silver Prizm] #92</t>
  </si>
  <si>
    <t>"https://www.whatnot.com/order/QxNucFNxSrMWbb9wNao39X_x000D_
$1.00 + $0.43 (Shared Shipping) + $0.15 Tax = Total of $1.57"</t>
  </si>
  <si>
    <t>Bam Adebayo [Refractor] #BD-15</t>
  </si>
  <si>
    <t>"https://www.whatnot.com/order/2TyjnBKs5xc9uWHYUQd9fu_x000D_
$1.00 + $0.35 (Shared Shipping) + $0.14 Tax = Total of $1.48"</t>
  </si>
  <si>
    <t>Austin Reaves [Refractor Green] #SF-8</t>
  </si>
  <si>
    <t>Basketball Cards 2025 Topps Chrome Sleek Finishers</t>
  </si>
  <si>
    <t>"https://www.whatnot.com/order/4qGFB5WJq67f7VePPgdKVK_x000D_
$7.00 + $2.24 (Shared Shipping) + $0.95 Tax = Total of $10.18"</t>
  </si>
  <si>
    <t>Luka Doncic [Red White Orange Shimmer] #150</t>
  </si>
  <si>
    <t>Basketball Cards 2020 Panini Select</t>
  </si>
  <si>
    <t>"https://www.whatnot.com/order/ZtB4ZVd8p4oiJnLmAJs7tz_x000D_
$2.00 + $0.78 (Shared Shipping) + $0.28 Tax = Total of $3.06"</t>
  </si>
  <si>
    <t>Stephen Curry [Blue] #7</t>
  </si>
  <si>
    <t>https://www.whatnot.com/order/FPqEc5jV3NSTjBSSKH6SCF_x000D_
$1.00 + $0.43 (Shared Shipping) + $0.15 Tax = Total of $1.57</t>
  </si>
  <si>
    <t>James Harden [Orange Hoops] #71</t>
  </si>
  <si>
    <t>"https://www.whatnot.com/order/adbiydZbLLFo8x6jprPUeB_x000D_
$1.00 + $0.43 (Shared Shipping) + $0.15 Tax = Total of $1.57"</t>
  </si>
  <si>
    <t>Victor Wembanyama #HP-VW</t>
  </si>
  <si>
    <t>Basketball Cards 2025 Topps Match Attax Hot Prospects</t>
  </si>
  <si>
    <t>Joel Embiid [Purple Geometric Refractor] #INS-6</t>
  </si>
  <si>
    <t>Basketball Cards 2024 Topps Chrome Instinct</t>
  </si>
  <si>
    <t>"https://www.whatnot.com/order/Z2R37fViUKxpmERP7PNyqv_x000D_
$1.00 + $0.43 (Shared Shipping) + $0.15 Tax = Total of $1.57"</t>
  </si>
  <si>
    <t>Draymond Green [Rainbow Red Orange] #120</t>
  </si>
  <si>
    <t>"https://www.whatnot.com/order/A7skqPgdXNgH85B2zYMLjL_x000D_
$1.00 + $0.35 (Shared Shipping) + $0.14 Tax = Total of $1.48"</t>
  </si>
  <si>
    <t>Ja Morant #KI-JM</t>
  </si>
  <si>
    <t>"https://www.whatnot.com/order/mnN4d6f44iDgHmgaGRqhz9_x000D_
$1.00 + $0.35 (Shared Shipping) + $0.14 Tax = Total of $1.48"</t>
  </si>
  <si>
    <t>Shai Gilgeous-Alexander [Winter] #76</t>
  </si>
  <si>
    <t>Basketball Cards 2023 Panini Revolution</t>
  </si>
  <si>
    <t>"https://www.whatnot.com/order/3x7P2iegqgUTYbwc6HCeds_x000D_
$2.00 + $0.78 (Shared Shipping) + $0.28 Tax = Total of $3.06"</t>
  </si>
  <si>
    <t>Devin Carter #SS-DC</t>
  </si>
  <si>
    <t>Basketball Cards 2025 Topps Chrome Signature Style</t>
  </si>
  <si>
    <t>"https://www.whatnot.com/order/4qGFB5WJq67f7VePPgdKVK_x000D_
$0.00 + $2.24 (Shared Shipping) + $0.23 Tax = Total of $2.46"</t>
  </si>
  <si>
    <t>Luka Doncic #134</t>
  </si>
  <si>
    <t>Anthony Edwards #81</t>
  </si>
  <si>
    <t>Basketball Cards 2020 Panini Prizm Draft Picks</t>
  </si>
  <si>
    <t>"https://www.whatnot.com/order/TYnJSjGYYq23Mb9UWhC6Xk_x000D_
$0.00 + $0.78 (Shared Shipping) + $0.08 Tax = Total of $0.86"</t>
  </si>
  <si>
    <t>Robert Parish #140</t>
  </si>
  <si>
    <t>Basketball Cards 2023 Topps Cosmic Chrome</t>
  </si>
  <si>
    <t>"https://www.whatnot.com/order/mjPJ8grwnTa5xjehNNp2Qq_x000D_
$0.00 + $1.72 (Shared Shipping) + $0.18 Tax = Total of $1.90"</t>
  </si>
  <si>
    <t>Kyrie Irving #100C-KI</t>
  </si>
  <si>
    <t>"https://www.whatnot.com/order/am68o5TGkfds6VHNQLbuH7_x000D_
$0.00 + $0.35 (Shared Shipping) + $0.04 Tax = Total of $0.38"</t>
  </si>
  <si>
    <t>Possibly Blue Parallel</t>
  </si>
  <si>
    <t>https://www.whatnot.com/order/kHRrZndL3pVg4oJEbysd7V</t>
  </si>
  <si>
    <t>https://www.whatnot.com/order/RVD5hkPMoaUK4my4SPSKiQ</t>
  </si>
  <si>
    <t>https://www.whatnot.com/order/CSc74WMGcYfB3JgNPoZSDt</t>
  </si>
  <si>
    <t>No idea which parallel, if it is one</t>
  </si>
  <si>
    <t>https://www.whatnot.com/order/PH2i3WhAY5rePqutCdgM8c</t>
  </si>
  <si>
    <t>Confirm parallel</t>
  </si>
  <si>
    <t>https://www.whatnot.com/order/GhBCHwczCmrh6F7iQjEyTX</t>
  </si>
  <si>
    <t>cardseal</t>
  </si>
  <si>
    <t>https://www.whatnot.com/order/NMxKJ4hE9QKucKgDpADrjE</t>
  </si>
  <si>
    <t>Lanier</t>
  </si>
  <si>
    <t>Anthony</t>
  </si>
  <si>
    <t>M</t>
  </si>
  <si>
    <t>N/A</t>
  </si>
  <si>
    <t>Smith</t>
  </si>
  <si>
    <t>https://www.whatnot.com/order/cav4UM3BapHtzDbW3nupgs</t>
  </si>
  <si>
    <t>jjcards23</t>
  </si>
  <si>
    <t>https://www.whatnot.com/order/medD3HLzhpPd89xriKnZcX</t>
  </si>
  <si>
    <t>dcollectorsclub</t>
  </si>
  <si>
    <t>Dick</t>
  </si>
  <si>
    <t>https://www.whatnot.com/order/YzDdv3jRTf8P5R9sGqJ4Q7</t>
  </si>
  <si>
    <t>brash1986</t>
  </si>
  <si>
    <t>https://www.whatnot.com/order/dyEnQ5ykexmH9Y87DbAujo</t>
  </si>
  <si>
    <t>https://www.whatnot.com/order/PNUZ8xoNGjttcd6JcMryzd</t>
  </si>
  <si>
    <t>stealsndealscollectibles</t>
  </si>
  <si>
    <t>https://www.whatnot.com/order/m58HF6hkjDzTFcY6dh42ZK</t>
  </si>
  <si>
    <t>peba_66</t>
  </si>
  <si>
    <t>https://www.ebay.com/itm/318340938096</t>
  </si>
  <si>
    <t>Free</t>
  </si>
  <si>
    <t>Jason Williams #7GX</t>
  </si>
  <si>
    <t>Basketball Cards 1999 Skybox E-X Generation E-X</t>
  </si>
  <si>
    <t>"https://www.whatnot.com/order/medD3HLzhpPd89xriKnZcX_x000D_
$3.00 + $0.78 (Shared Shipping) + $0.39 Tax = Total of $4.17"</t>
  </si>
  <si>
    <t>Luka Doncic [Pink] #257</t>
  </si>
  <si>
    <t>Basketball Cards 2022 Panini Chronicles</t>
  </si>
  <si>
    <t>"https://www.whatnot.com/order/PH2i3WhAY5rePqutCdgM8c_x000D_
$1.29 + $0.29 (Shared Shipping) + $0.16 Tax = Total of $1.74"</t>
  </si>
  <si>
    <t>LeBron James [Phenomenal Beginning] #11</t>
  </si>
  <si>
    <t>Basketball Cards 2003 Upper Deck Phenomenal Beginning</t>
  </si>
  <si>
    <t>"https://www.whatnot.com/order/RVD5hkPMoaUK4my4SPSKiQ_x000D_
$17.00 + $0.00 (Shared Shipping) + $1.74 Tax = Total of $18.74"</t>
  </si>
  <si>
    <t>Luka Doncic #9</t>
  </si>
  <si>
    <t>Basketball Cards 2022 Panini Mosaic Thunder Road</t>
  </si>
  <si>
    <t>Luka Doncic #5</t>
  </si>
  <si>
    <t>Basketball Cards 2020 Panini Hoops SLAM</t>
  </si>
  <si>
    <t>"https://www.ebay.com/itm/318340938096_x000D_
$8.50 + $1.32 (Shared Shipping) + $1.01 Tax = Total of $10.83"</t>
  </si>
  <si>
    <t>Emmitt Smith #685</t>
  </si>
  <si>
    <t>Football Cards 1990 Pro Set</t>
  </si>
  <si>
    <t>"https://www.whatnot.com/order/cav4UM3BapHtzDbW3nupgs_x000D_
$1.00 + $4.86 (Shared Shipping) + $0.60 Tax = Total of $6.46"</t>
  </si>
  <si>
    <t>Ja Morant #264</t>
  </si>
  <si>
    <t>"https://www.whatnot.com/order/nAEkrSA7yzkeKXKekwWJV7_x000D_
$0.50 + $0.27 (Shared Shipping) + $0.08 Tax = Total of $0.85"</t>
  </si>
  <si>
    <t>Basketball Cards 2022 Panini Donruss Optic My House</t>
  </si>
  <si>
    <t>"https://www.whatnot.com/order/GhBCHwczCmrh6F7iQjEyTX_x000D_
$1.43 + $0.29 (Shared Shipping) + $0.18 Tax = Total of $1.90"</t>
  </si>
  <si>
    <t>Victor Wembanyama [Silver] #2</t>
  </si>
  <si>
    <t xml:space="preserve">"https://www.whatnot.com/order/CSc74WMGcYfB3JgNPoZSDt_x000D_
$8.00 + $0.29 (Shared Shipping) + $0.85 Tax = Total of $9.14"_x000D_
</t>
  </si>
  <si>
    <t>Luka Doncic [Blue Prizm] #7</t>
  </si>
  <si>
    <t>Basketball Cards 2021 Panini Select Numbers</t>
  </si>
  <si>
    <t>"https://www.whatnot.com/order/UJkddQRLVRPS28Tdsjeg99_x000D_
$1.00 + $0.43 (Shared Shipping) + $0.15 Tax = Total of $1.57"</t>
  </si>
  <si>
    <t>Luka Doncic #51</t>
  </si>
  <si>
    <t>Luka Doncic #281</t>
  </si>
  <si>
    <t>Shai Gilgeous-Alexander #286</t>
  </si>
  <si>
    <t>Luka Doncic #57</t>
  </si>
  <si>
    <t>Basketball Cards 2022 Panini Contenders</t>
  </si>
  <si>
    <t>"https://www.whatnot.com/order/NMxKJ4hE9QKucKgDpADrjE_x000D_
$2.50 + $0.00 (Shared Shipping) + $0.26 Tax = Total of $2.76"</t>
  </si>
  <si>
    <t>Jalen Brunson #SH-JB</t>
  </si>
  <si>
    <t>"https://www.whatnot.com/order/dyEnQ5ykexmH9Y87DbAujo_x000D_
$1.00 + $2.89 (Shared Shipping) + $0.40 Tax = Total of $4.28"</t>
  </si>
  <si>
    <t>Shai Gilgeous-Alexander [Yellow ice] #5</t>
  </si>
  <si>
    <t>"https://www.whatnot.com/order/m58HF6hkjDzTFcY6dh42ZK_x000D_
$24.00 + $1.39 (Shared Shipping) + $2.60 Tax = Total of $27.99"</t>
  </si>
  <si>
    <t>Luka Doncic #6</t>
  </si>
  <si>
    <t>Basketball Cards 2023 Panini Prizm Deep Space</t>
  </si>
  <si>
    <t>Victor Wembanyama #195</t>
  </si>
  <si>
    <t xml:space="preserve">"https://www.whatnot.com/order/NMxKJ4hE9QKucKgDpADrjE_x000D_
$2.50 + $0.00 (Shared Shipping) + $0.26 Tax = Total of $2.76"_x000D_
</t>
  </si>
  <si>
    <t>Luka Doncic #8</t>
  </si>
  <si>
    <t>Basketball Cards 2024 Panini Prizm Global Reach</t>
  </si>
  <si>
    <t>Basketball Cards 2024 Panini Select En Fuego</t>
  </si>
  <si>
    <t>Luka Doncic #7</t>
  </si>
  <si>
    <t>"https://www.whatnot.com/order/GPS2oVEvpYFQarAZqquyDW_x000D_
$4.00 + $0.43 (Shared Shipping) + $0.45 Tax = Total of $4.88"</t>
  </si>
  <si>
    <t>Basketball Cards 2023 Panini Haunted Hoops</t>
  </si>
  <si>
    <t>Kyrie Irving / Luka Doncic #4</t>
  </si>
  <si>
    <t>Basketball Cards 2023 Donruss Optic Optical Illusions</t>
  </si>
  <si>
    <t>"https://www.whatnot.com/order/YzDdv3jRTf8P5R9sGqJ4Q7_x000D_
$1.00 + $4.74 (Shared Shipping) + $0.59 Tax = Total of $6.33"</t>
  </si>
  <si>
    <t>Basketball Cards 2022 Panini Hoops Skyview</t>
  </si>
  <si>
    <t>Luka Doncic #295</t>
  </si>
  <si>
    <t>Victor Wembanyama #331</t>
  </si>
  <si>
    <t>Basketball Cards 2023 Panini Instant</t>
  </si>
  <si>
    <t>"https://www.whatnot.com/order/PNUZ8xoNGjttcd6JcMryzd_x000D_
$19.00 + $2.89 (Shared Shipping) + $2.24 Tax = Total of $24.13"</t>
  </si>
  <si>
    <t>Shai Gilgeous-Alexander #195</t>
  </si>
  <si>
    <t>Basketball Cards 2018 Panini Chronicles</t>
  </si>
  <si>
    <t>"https://www.whatnot.com/order/kHRrZndL3pVg4oJEbysd7V_x000D_
$14.00 + $0.00 (Shared Shipping) + $1.44 Tax = Total of $15.44"</t>
  </si>
  <si>
    <t>https://www.whatnot.com/order/D6qPAHQXHsNLKzLT7qX4E9_x000D_
$2.00 + $1.20 (Shared Shipping) + $0.33 Tax = Total of $3.53</t>
  </si>
  <si>
    <t>Luka Doncic #254</t>
  </si>
  <si>
    <t>Sort Cards by player/Price</t>
  </si>
  <si>
    <t>Determine Sale Minimums</t>
  </si>
  <si>
    <t>List on eBay</t>
  </si>
  <si>
    <t>https://www.whatnot.com/order/P6hZiMYk2ffSa8sLEMVeWQ</t>
  </si>
  <si>
    <t>freddievar84</t>
  </si>
  <si>
    <t>https://www.whatnot.com/order/7VZY5sQpFk5DrwK9rEPwjj</t>
  </si>
  <si>
    <t>https://www.whatnot.com/order/LtProdm8r5emdZKY3kad4A</t>
  </si>
  <si>
    <t>https://www.whatnot.com/order/Z82h48WoJ3uJcg9xAmSGSz</t>
  </si>
  <si>
    <t>https://www.whatnot.com/order/BqMdVKL98MMvHMvRADiqy8</t>
  </si>
  <si>
    <t>kassab_cards</t>
  </si>
  <si>
    <t>https://www.whatnot.com/order/F9dPhgureZfuamzmCSWsoz</t>
  </si>
  <si>
    <t>Player Label</t>
  </si>
  <si>
    <t>Desired Price</t>
  </si>
  <si>
    <t>Minimum Price</t>
  </si>
  <si>
    <t>Received a pack in lieu of the items from the break. These were not base cards.
Missing: 
2018 Panini Chronicles Devonte' Graham [Blue] #169 /99 - $14 value approx @3:16:20
2018 Panini Chronicles Miles Bridges Miles Bridges [Red] #243 /149 - $8 value approx @3:18:00</t>
  </si>
  <si>
    <t>https://www.whatnot.com/order/G3juFLZYNkeyx8YHXhJCeR</t>
  </si>
  <si>
    <t>https://www.whatnot.com/order/oUotfyREdfzsNuUScDvio3</t>
  </si>
  <si>
    <t>https://www.whatnot.com/order/eZzEmrYrFPTX2ciq7zw7Hi</t>
  </si>
  <si>
    <t>https://www.whatnot.com/order/K7zApfgiyGLvandFaboi4m</t>
  </si>
  <si>
    <t>https://www.whatnot.com/order/GMJptoiQKCNjk4Pv5GF4bQ</t>
  </si>
  <si>
    <t>https://www.whatnot.com/order/2Nc9bVsk5chVoBa3qBE7ru</t>
  </si>
  <si>
    <t>https://www.whatnot.com/order/4zv9Y8T8uHjVEzhSWdVnjf</t>
  </si>
  <si>
    <t>https://www.whatnot.com/order/j5AumEDPb4dAWPPgEGjD26</t>
  </si>
  <si>
    <t>Hardy</t>
  </si>
  <si>
    <t>Harper</t>
  </si>
  <si>
    <t>McClung</t>
  </si>
  <si>
    <t>msuburress</t>
  </si>
  <si>
    <t>https://www.ebay.com/itm/298388905739</t>
  </si>
  <si>
    <t>Row Labels</t>
  </si>
  <si>
    <t>Grand Total</t>
  </si>
  <si>
    <t>Sum of Variance</t>
  </si>
  <si>
    <t>Kevin Morton #330</t>
  </si>
  <si>
    <t>Baseball Cards 1992 Donruss</t>
  </si>
  <si>
    <t>Kevin Garnett #125</t>
  </si>
  <si>
    <t>Stephen Curry #98</t>
  </si>
  <si>
    <t>"https://www.whatnot.com/order/2Nc9bVsk5chVoBa3qBE7ru_x000D_
$1.00 + $0.00 (Shared Shipping) + $0.10 Tax = Total of $1.10"</t>
  </si>
  <si>
    <t>Chaz Lanier #218</t>
  </si>
  <si>
    <t>"https://www.whatnot.com/order/LtProdm8r5emdZKY3kad4A_x000D_
$12.00 + $0.91 (Shared Shipping) + $1.32 Tax = Total of $14.23"</t>
  </si>
  <si>
    <t>Tim Thomas #13</t>
  </si>
  <si>
    <t>Basketball Cards 1997 Ultra All-Rookies</t>
  </si>
  <si>
    <t>Damon Stoudamire #120</t>
  </si>
  <si>
    <t>Basketball Cards 1996 Upper Deck Generation Excitement</t>
  </si>
  <si>
    <t>Cameron Johnson #210</t>
  </si>
  <si>
    <t>Basketball Cards 2019 Panini Donruss</t>
  </si>
  <si>
    <t>Return of Excellence [Electric Court] #335</t>
  </si>
  <si>
    <t>Karl Malone #7</t>
  </si>
  <si>
    <t>Basketball Cards 1996 Metal Power Tools</t>
  </si>
  <si>
    <t>Stephon Marbury [w/ Coating] #19</t>
  </si>
  <si>
    <t>Nolan Ryan #21</t>
  </si>
  <si>
    <t>Baseball Cards 1992 Donruss Coca Cola Nolan Ryan</t>
  </si>
  <si>
    <t>Nolan Ryan [Fitted for a Halo] #6</t>
  </si>
  <si>
    <t>Mac McClung #39</t>
  </si>
  <si>
    <t>Basketball Cards 2021 Panini Prizm Draft Picks</t>
  </si>
  <si>
    <t>"https://www.whatnot.com/order/4zv9Y8T8uHjVEzhSWdVnjf_x000D_
$4.00 + $0.00 (Shared Shipping) + $0.41 Tax = Total of $4.41"</t>
  </si>
  <si>
    <t>Katie Lou Samuelson #82</t>
  </si>
  <si>
    <t>Basketball Cards 2025 Panini Prizm WNBA</t>
  </si>
  <si>
    <t>Stephon Marbury #38</t>
  </si>
  <si>
    <t>Craig Lefferts #162</t>
  </si>
  <si>
    <t>Jaren Jackson Jr. #13</t>
  </si>
  <si>
    <t>Jayson Tatum [Orange Basketball Refractor] #164</t>
  </si>
  <si>
    <t>Basketball Cards 2023 Topps Chrome</t>
  </si>
  <si>
    <t>Luka Doncic [Bronze] #18</t>
  </si>
  <si>
    <t>Basketball Cards 2021 Panini Contenders</t>
  </si>
  <si>
    <t>"https://www.whatnot.com/order/PH2i3WhAY5rePqutCdgM8c_x000D_
$0.00 + $0.27 (Shared Shipping) + $0.03 Tax = Total of $0.30"</t>
  </si>
  <si>
    <t>Jason Williams #PR12</t>
  </si>
  <si>
    <t>Basketball Cards 1999 Topps Prodigy</t>
  </si>
  <si>
    <t>Stephon Marbury #346</t>
  </si>
  <si>
    <t>Jason Williams #TT11</t>
  </si>
  <si>
    <t>Basketball Cards 2000 Upper Deck True Talents</t>
  </si>
  <si>
    <t>LeBron James [Blue Prizm] #113</t>
  </si>
  <si>
    <t>"https://www.whatnot.com/order/eZzEmrYrFPTX2ciq7zw7Hi_x000D_
$2.00 + $0.00 (Shared Shipping) + $0.21 Tax = Total of $2.21"</t>
  </si>
  <si>
    <t>Dalton Schultz #118</t>
  </si>
  <si>
    <t>Glenn Robinson #287</t>
  </si>
  <si>
    <t>Keith Van Horn #80</t>
  </si>
  <si>
    <t>Luka Doncic #NTN-11</t>
  </si>
  <si>
    <t>Basketball Cards 2025 Topps NBA Hoops Net 2 Net</t>
  </si>
  <si>
    <t>"https://www.whatnot.com/order/BqMdVKL98MMvHMvRADiqy8_x000D_
$4.00 + $0.91 (Shared Shipping) + $0.50 Tax = Total of $5.41"</t>
  </si>
  <si>
    <t>Shaquille O'Neal #119</t>
  </si>
  <si>
    <t>Damon Stoudamire #98</t>
  </si>
  <si>
    <t>Alonzo Mourning #3</t>
  </si>
  <si>
    <t>Dennis Rodman #90</t>
  </si>
  <si>
    <t>Basketball Cards 1994 E Motion</t>
  </si>
  <si>
    <t>Jason Williams #57</t>
  </si>
  <si>
    <t>Basketball Cards 1998 Upper Deck Century Legends</t>
  </si>
  <si>
    <t>Scottie Pippen #38</t>
  </si>
  <si>
    <t>Michael Doleac [Double] #114</t>
  </si>
  <si>
    <t>Dean Palmer #177</t>
  </si>
  <si>
    <t>Jason Williams #8SF</t>
  </si>
  <si>
    <t>Basketball Cards 1999 Fleer Force Special Forces</t>
  </si>
  <si>
    <t>Glenn Robinson #281</t>
  </si>
  <si>
    <t>Scottie Pippen #197</t>
  </si>
  <si>
    <t>Antonio McDyess #17</t>
  </si>
  <si>
    <t>Basketball Cards 1997 Ultra Neat Feats</t>
  </si>
  <si>
    <t>Jason Williams #69</t>
  </si>
  <si>
    <t>Victor Wembanyama #IP-6</t>
  </si>
  <si>
    <t>Basketball Cards 2025 Topps Chrome Inspirational</t>
  </si>
  <si>
    <t>"https://www.whatnot.com/order/oUotfyREdfzsNuUScDvio3_x000D_
$11.00 + $0.78 (Shared Shipping) + $1.21 Tax = Total of $12.99"</t>
  </si>
  <si>
    <t>Jaylen Brown #227</t>
  </si>
  <si>
    <t>Shaquille O'neal #274</t>
  </si>
  <si>
    <t>Michael Jordan #M25</t>
  </si>
  <si>
    <t>Basketball Cards 1998 Upper Deck MJ23</t>
  </si>
  <si>
    <t>Jason Williams #77</t>
  </si>
  <si>
    <t>Basketball Cards 2000 Fleer E-X</t>
  </si>
  <si>
    <t>Marcus Camby #6</t>
  </si>
  <si>
    <t>Caris LeVert [Orange] #155</t>
  </si>
  <si>
    <t>Yamil Benitez #239</t>
  </si>
  <si>
    <t>Baseball Cards 1996 Upper Deck</t>
  </si>
  <si>
    <t>Dylan Harper #202</t>
  </si>
  <si>
    <t>"https://www.whatnot.com/order/K7zApfgiyGLvandFaboi4m_x000D_
$1.00 + $0.00 (Shared Shipping) + $0.10 Tax = Total of $1.10"</t>
  </si>
  <si>
    <t>Building a Winner #139</t>
  </si>
  <si>
    <t>Allen iverson</t>
  </si>
  <si>
    <t>Basketball Cards 1997 Skybox Reebok Allen Iverson</t>
  </si>
  <si>
    <t>Delanie Walker #LOG-30</t>
  </si>
  <si>
    <t>Football Cards 2025 Topps Chrome Legends Of The Gridiron</t>
  </si>
  <si>
    <t>Luka Doncic [Holo] #15</t>
  </si>
  <si>
    <t>Basketball Cards 2020 Panini Donruss Optic Splash</t>
  </si>
  <si>
    <t>"https://www.whatnot.com/order/F9dPhgureZfuamzmCSWsoz_x000D_
$2.00 + $1.39 (Shared Shipping) + $0.35 Tax = Total of $3.74"</t>
  </si>
  <si>
    <t>Shaquille O'Neal #23</t>
  </si>
  <si>
    <t>Stephon Marbury #90</t>
  </si>
  <si>
    <t>Nikola Jokic [Ruby Wave Prizm] #84</t>
  </si>
  <si>
    <t>Stephon Marbury #SL24</t>
  </si>
  <si>
    <t>Basketball Cards 1998 Kenner Upper Deck Starting Lineup</t>
  </si>
  <si>
    <t>Tyrese Haliburton [Blue Refractor] #38</t>
  </si>
  <si>
    <t>Basketball Cards 2024 Topps Finest</t>
  </si>
  <si>
    <t>"https://www.whatnot.com/order/j5AumEDPb4dAWPPgEGjD26_x000D_
$1.00 + $0.00 (Shared Shipping) + $0.10 Tax = Total of $1.10"</t>
  </si>
  <si>
    <t>Charles Barkley #6RR</t>
  </si>
  <si>
    <t>Basketball Cards 1997 Ultra Rim Rockers</t>
  </si>
  <si>
    <t>Pat Lennon #17</t>
  </si>
  <si>
    <t>Michael Jordan #159</t>
  </si>
  <si>
    <t>Basketball Cards 1998 UD Choice</t>
  </si>
  <si>
    <t>Barry Bonds #373</t>
  </si>
  <si>
    <t>Basketball Cards 1996 Metal Fresh Foundation</t>
  </si>
  <si>
    <t>Jalen Green #198</t>
  </si>
  <si>
    <t>Latrell Sprewell #8</t>
  </si>
  <si>
    <t>Luka Doncic #26</t>
  </si>
  <si>
    <t>Basketball Cards 2021 Panini Mosaic Montage</t>
  </si>
  <si>
    <t xml:space="preserve">"https://www.whatnot.com/order/eZzEmrYrFPTX2ciq7zw7Hi_x000D_
$2.00 + $0.00 (Shared Shipping) + $0.21 Tax = Total of $2.21"_x000D_
</t>
  </si>
  <si>
    <t>Charles Barkley #251</t>
  </si>
  <si>
    <t>Deommodore Lenoir #269</t>
  </si>
  <si>
    <t>Tim Thomas #10</t>
  </si>
  <si>
    <t>Luka Doncic #300</t>
  </si>
  <si>
    <t>Damon Stoudamire #200</t>
  </si>
  <si>
    <t>Reed Sheppard #135</t>
  </si>
  <si>
    <t>Maurice Taylor #R14</t>
  </si>
  <si>
    <t>Basketball Cards 1997 Upper Deck Rookie Discovery I</t>
  </si>
  <si>
    <t>Jason Williams #50</t>
  </si>
  <si>
    <t>Basketball Cards 1998 SP Top Prospects</t>
  </si>
  <si>
    <t>Heathcliff Slocumb #334</t>
  </si>
  <si>
    <t>Kevin Garnett #254</t>
  </si>
  <si>
    <t>Stephon Marbury #56</t>
  </si>
  <si>
    <t>Jason Williams #200</t>
  </si>
  <si>
    <t>Shaquille O'neal #163</t>
  </si>
  <si>
    <t>Kyle Pitts #14</t>
  </si>
  <si>
    <t>Bulls Victory Tour '95-96: Win #41 #25</t>
  </si>
  <si>
    <t>Jason Williams #101</t>
  </si>
  <si>
    <t>Basketball Cards 1999 Upper Deck</t>
  </si>
  <si>
    <t>Jason Williams #214</t>
  </si>
  <si>
    <t>Basketball Cards 1999 Finest</t>
  </si>
  <si>
    <t>Cole Anthony [Avalanche] #56</t>
  </si>
  <si>
    <t>John Stockton #P18</t>
  </si>
  <si>
    <t>Basketball Cards 1996 Upper Deck Predictor Scoring 2</t>
  </si>
  <si>
    <t>Mac McClung [Red] #DP-MMC</t>
  </si>
  <si>
    <t>Basketball Cards 2021 Panini Prizm Draft Picks Autographs</t>
  </si>
  <si>
    <t>https://www.ebay.com/itm/298388905739_x000D_
$28.00 + $8.60 (Shared Shipping) + $3.75 Tax = Total of $40.35</t>
  </si>
  <si>
    <t>LeBron James #178</t>
  </si>
  <si>
    <t>"https://www.whatnot.com/order/GMJptoiQKCNjk4Pv5GF4bQ_x000D_
$2.50 + $0.00 (Shared Shipping) + $0.26 Tax = Total of $2.76"</t>
  </si>
  <si>
    <t>Shaquille O'Neal #320</t>
  </si>
  <si>
    <t>Stephon Castle #244</t>
  </si>
  <si>
    <t>Anfernee Hardaway #7</t>
  </si>
  <si>
    <t>Larry Bird #12</t>
  </si>
  <si>
    <t>Dyson Daniels #7</t>
  </si>
  <si>
    <t>Basketball Cards 2022 Panini Chronicles Draft Picks</t>
  </si>
  <si>
    <t>Victor Wembanyama #1</t>
  </si>
  <si>
    <t>"https://www.whatnot.com/order/Z82h48WoJ3uJcg9xAmSGSz_x000D_
$45.00 + $0.91 (Shared Shipping) + $4.71 Tax = Total of $50.62"</t>
  </si>
  <si>
    <t>Jason Williams #51</t>
  </si>
  <si>
    <t>Basketball Cards 1999 SkyBox Premium</t>
  </si>
  <si>
    <t>Luka Doncic #15</t>
  </si>
  <si>
    <t>Allen Iverson #54</t>
  </si>
  <si>
    <t>Basketball Cards 1997 Topps</t>
  </si>
  <si>
    <t>Antoine Walker #9</t>
  </si>
  <si>
    <t>Jason Williams #2</t>
  </si>
  <si>
    <t>Basketball Cards 2001 Topps Tcc</t>
  </si>
  <si>
    <t>Stephon Marbury #121</t>
  </si>
  <si>
    <t>https://www.whatnot.com/order/7VZY5sQpFk5DrwK9rEPwjj_x000D_
$14.00 + $0.91 (Shared Shipping) + $1.53 Tax = Total of $16.44</t>
  </si>
  <si>
    <t>Jrue Holiday [Blue] #200</t>
  </si>
  <si>
    <t>Patrick Ewing #6</t>
  </si>
  <si>
    <t>George Pickens #80</t>
  </si>
  <si>
    <t>Shaquille O'Neal #143</t>
  </si>
  <si>
    <t>Antonio Daniels #4</t>
  </si>
  <si>
    <t>Antoine Walker #6</t>
  </si>
  <si>
    <t>Antoine Walker #187</t>
  </si>
  <si>
    <t>Cole Anthony #91</t>
  </si>
  <si>
    <t>Bulls Victory Tour '95-96: Win #46 #26</t>
  </si>
  <si>
    <t>Tim Teufel #171</t>
  </si>
  <si>
    <t>Jaden Hardy [Red] #21</t>
  </si>
  <si>
    <t>Stephon Marbury #189</t>
  </si>
  <si>
    <t>Mike Bibby #195</t>
  </si>
  <si>
    <t>Scottie Pippen #13</t>
  </si>
  <si>
    <t>Jason Williams [All American] #37</t>
  </si>
  <si>
    <t>Basketball Cards 1998 Collectors Edge Impulse</t>
  </si>
  <si>
    <t>Cooper Flagg #SY-11</t>
  </si>
  <si>
    <t>Basketball Cards 2025 Topps Chrome Serenity</t>
  </si>
  <si>
    <t>"https://www.whatnot.com/order/P6hZiMYk2ffSa8sLEMVeWQ_x000D_
$0.00 + $0.91 (Shared Shipping) + $0.09 Tax = Total of $1.00"</t>
  </si>
  <si>
    <t>jason williams #61</t>
  </si>
  <si>
    <t>Basketball Cards 1999 Topps</t>
  </si>
  <si>
    <t>https://www.whatnot.com/order/P5eomQCEnRNpF3D5NN6EjL</t>
  </si>
  <si>
    <t>monksden</t>
  </si>
  <si>
    <t>https://www.whatnot.com/order/FqoWSgMi5fqLq2Bz7wgwQQ</t>
  </si>
  <si>
    <t>https://www.whatnot.com/order/LGPnRNkgKGF9RMDyPrydES</t>
  </si>
  <si>
    <t>https://www.whatnot.com/order/n8cE95JzPotDagv8zS8364</t>
  </si>
  <si>
    <t>https://www.whatnot.com/order/JCCEshFbNE7KuEUh3Kjd6B</t>
  </si>
  <si>
    <t>whatnot.com/order/Hqs3wb8GAkuyHj9LA3xEdv
$7.00 + $1.14 (Shared Shipping) + $0.83 Tax = Total of $8.97</t>
  </si>
  <si>
    <t>whatnot.com/order/ATFJnWBvkv75frTYPbgk5o
$8.00 + $1.14 (Shared Shipping) + $0.94 Tax = Total of $10.07</t>
  </si>
  <si>
    <t>whatnot.com/order/R4eDqBQtSQwNRiU33sZje5
$3.00 + $1.14 (Shared Shipping) + $0.42 Tax = Total of $4.56</t>
  </si>
  <si>
    <t>whatnot.com/order/6QdgQ3vUdPh6pHE5WaqAmr
$0.00 + $1.14 (Shared Shipping) + $0.12 Tax = Total of $1.25</t>
  </si>
  <si>
    <t>whatnot.com/order/7TdKSNvxiGa3Bt8dCiKKbe
$3.00 + $0.45 (Shared Shipping) + $0.35 Tax = Total of $3.81</t>
  </si>
  <si>
    <t>whatnot.com/order/A2VyUVWvtd6f5zu7wQpMgK
$4.00 + $0.45 (Shared Shipping) + $0.46 Tax = Total of $4.91</t>
  </si>
  <si>
    <t>whatnot.com/order/UfG2uFVzbc3XCQZDoAnZnQ
$4.00 + $0.45 (Shared Shipping) + $0.46 Tax = Total of $4.91</t>
  </si>
  <si>
    <t>whatnot.com/order/JieocTtxhoCCzfkGLnBz49
$3.00 + $0.45 (Shared Shipping) + $0.35 Tax = Total of $3.81</t>
  </si>
  <si>
    <t>whatnot.com/order/YdoZr7RTzDToYz6PByf22R
$3.00 + $0.45 (Shared Shipping) + $0.35 Tax = Total of $3.81</t>
  </si>
  <si>
    <t>whatnot.com/order/fsZrqS9c5o3n2dqHjHqttF
$1.00 + $0.45 (Shared Shipping) + $0.15 Tax = Total of $1.60</t>
  </si>
  <si>
    <t>whatnot.com/order/XWP5KdeeCdt8TKjdVmH5ek
$1.00 + $0.45 (Shared Shipping) + $0.15 Tax = Total of $1.60</t>
  </si>
  <si>
    <t>whatnot.com/order/hQVu9JLwFefwSJcu3QwY6E
$4.00 + $0.45 (Shared Shipping) + $0.46 Tax = Total of $4.91</t>
  </si>
  <si>
    <t>whatnot.com/order/HWhpJLX6J4h4DZZVCaeVYr
$2.00 + $0.45 (Shared Shipping) + $0.25 Tax = Total of $2.71</t>
  </si>
  <si>
    <t>whatnot.com/order/o3mHoMSnpC2X8C3j6r4tiK
$5.00 + $0.45 (Shared Shipping) + $0.56 Tax = Total of $6.01</t>
  </si>
  <si>
    <t>whatnot.com/order/3bymbw4YA5kuEYFfvvyWw2
$5.00 + $0.45 (Shared Shipping) + $0.56 Tax = Total of $6.01</t>
  </si>
  <si>
    <t>whatnot.com/order/gS3Pko5Lnk9cRAzYzXbJeF
$3.00 + $0.36 (Shared Shipping) + $0.34 Tax = Total of $3.71</t>
  </si>
  <si>
    <t>whatnot.com/order/MBKbDgY5r4SpwfRrdpBamt
$1.00 + $0.36 (Shared Shipping) + $0.14 Tax = Total of $1.50</t>
  </si>
  <si>
    <t>whatnot.com/order/cJNMnCPndL2PTYmXUShR4H
$1.00 + $0.36 (Shared Shipping) + $0.14 Tax = Total of $1.50</t>
  </si>
  <si>
    <t>whatnot.com/order/Wurw4zw2wFBAE84zbwVyWp
$6.00 + $2.48 (Shared Shipping) + $0.87 Tax = Total of $9.34</t>
  </si>
  <si>
    <t>whatnot.com/order/3hBZtxnc5D7aSBGh5GQwZ2
$8.00 + $2.48 (Shared Shipping) + $1.07 Tax = Total of $11.55</t>
  </si>
  <si>
    <t>whatnot.com/order/3L3ttnP3dWr4gppLFyVTfw
$4.00 + $0.00 (Shared Shipping) + $0.41 Tax = Total of $4.41</t>
  </si>
  <si>
    <t>whatnot.com/order/iCNDrAZ6Wd9xsmW5GPkgEJ
$4.00 + $0.00 (Shared Shipping) + $0.41 Tax = Total of $4.41</t>
  </si>
  <si>
    <t>whatnot.com/order/WpUhCqurDhocnQw9kQLniM
$6.00 + $0.00 (Shared Shipping) + $0.62 Tax = Total of $6.62</t>
  </si>
  <si>
    <t>whatnot.com/order/84EtWmjxZp84PtP5CNdWys
$3.00 + $2.48 (Shared Shipping) + $0.56 Tax = Total of $6.04</t>
  </si>
  <si>
    <t>whatnot.com/order/jhwwvPX5xZkZWVs8CGhFXe
$3.00 + $2.48 (Shared Shipping) + $0.56 Tax = Total of $6.04</t>
  </si>
  <si>
    <t>whatnot.com/order/ZQa92YACdaqMGpqFzdMcVG
$1.00 + $1.09 (Shared Shipping) + $0.21 Tax = Total of $2.30</t>
  </si>
  <si>
    <t>whatnot.com/order/9ki7HURGVDFpQYLubozunU
$5.00 + $0.21 (Shared Shipping) + $0.53 Tax = Total of $5.74</t>
  </si>
  <si>
    <t>whatnot.com/order/27RrZ5UcQbAp2yynBpazpE
$15.00 + $0.21 (Shared Shipping) + $1.56 Tax = Total of $16.77</t>
  </si>
  <si>
    <t>whatnot.com/order/9Nw32iaBQX4B786bgpSBCs
$0.00 + $0.21 (Shared Shipping) + $0.02 Tax = Total of $0.23</t>
  </si>
  <si>
    <t>whatnot.com/order/N3ommW2GZtgbdFUhrqPhaC
$2.36 + $0.21 (Shared Shipping) + $0.26 Tax = Total of $2.83</t>
  </si>
  <si>
    <t>whatnot.com/order/N3ommW2GZtgbdFUhrqPhaC
$2.33 + $0.21 (Shared Shipping) + $0.26 Tax = Total of $2.80</t>
  </si>
  <si>
    <t>whatnot.com/order/8DwoNWn73teh8obUuAY5eP
$2.50 + $0.21 (Shared Shipping) + $0.28 Tax = Total of $2.98</t>
  </si>
  <si>
    <t>whatnot.com/order/ezSKfFW6zDG5UWaRKJYAXA
$0.00 + $0.00 (Shared Shipping) + $0.00 Tax = Total of $0.00</t>
  </si>
  <si>
    <t>whatnot.com/order/Xz3tx8zp8BHqHykj7qkN3x
$0.00 + $0.00 (Shared Shipping) + $0.00 Tax = Total of $0.00</t>
  </si>
  <si>
    <t>whatnot.com/order/THjJHwGpnJ2cNFaSnvcckW
$1.00 + $1.00 (Shared Shipping) + $0.21 Tax = Total of $2.21</t>
  </si>
  <si>
    <t>whatnot.com/order/EifBu6qeaD4paxGVjbK2N2
$1.00 + $1.00 (Shared Shipping) + $0.21 Tax = Total of $2.21</t>
  </si>
  <si>
    <t>whatnot.com/order/jUyUBmgt9rDM2xSirWQMVK
$2.00 + $1.00 (Shared Shipping) + $0.31 Tax = Total of $3.31</t>
  </si>
  <si>
    <t>whatnot.com/order/o8pD2uRJ2uJBZu72TvBaqn
$1.00 + $1.00 (Shared Shipping) + $0.21 Tax = Total of $2.21</t>
  </si>
  <si>
    <t>whatnot.com/order/V5Gh7hYUvoJshqsMYA2fjj
$2.00 + $1.00 (Shared Shipping) + $0.31 Tax = Total of $3.31</t>
  </si>
  <si>
    <t>whatnot.com/order/PPztzz2oNPCFrGQKEtGeKP
$0.00 + $0.00 (Shared Shipping) + $0.00 Tax = Total of $0.00</t>
  </si>
  <si>
    <t>whatnot.com/order/CyF3nZr4GRuqeEQwgYCVcq
$1.00 + $1.39 (Shared Shipping) + $0.24 Tax = Total of $2.63</t>
  </si>
  <si>
    <t>whatnot.com/order/mjPJ8grwnTa5xjehNNp2Qq
$0.00 + $1.72 (Shared Shipping) + $0.18 Tax = Total of $1.90</t>
  </si>
  <si>
    <t>whatnot.com/order/76LD29BivfBZrNXYeJq5xV
$3.00 + $1.72 (Shared Shipping) + $0.48 Tax = Total of $5.20</t>
  </si>
  <si>
    <t>whatnot.com/order/4QyCs9xsuozDF4z5kAMs7r
$3.00 + $1.72 (Shared Shipping) + $0.48 Tax = Total of $5.20</t>
  </si>
  <si>
    <t>whatnot.com/order/7eozouSEnosHtokHHfAAYH
$1.67 + $1.02 (Shared Shipping) + $0.28 Tax = Total of $2.97</t>
  </si>
  <si>
    <t>whatnot.com/order/m4fEeiDTAEFP5LnXvHdGVx
$0.00 + $0.00 (Shared Shipping) + $0.00 Tax = Total of $0.00</t>
  </si>
  <si>
    <t>whatnot.com/order/WKa7ntNswTBEf2VahSBtgB
$4.00 + $0.55 (Shared Shipping) + $0.47 Tax = Total of $5.01</t>
  </si>
  <si>
    <t>whatnot.com/order/RBy2pvRpcvEutM74HSJXng
$1.00 + $0.55 (Shared Shipping) + $0.16 Tax = Total of $1.70</t>
  </si>
  <si>
    <t>whatnot.com/order/BgoaXMcouJPo8C7yxmzWdd
$1.00 + $0.78 (Shared Shipping) + $0.18 Tax = Total of $1.96</t>
  </si>
  <si>
    <t>whatnot.com/order/kPmzHw359b76wtiBHv2d7E
$0.00 + $0.00 (Shared Shipping) + $0.00 Tax = Total of $0.00</t>
  </si>
  <si>
    <t>whatnot.com/order/RtJrQKBCiEPUi9krGFqsyU
$2.00 + $4.29 (Shared Shipping) + $0.64 Tax = Total of $6.93</t>
  </si>
  <si>
    <t>whatnot.com/order/LzxCN3kkWJX8nCqy8qr5nU
$1.00 + $0.55 (Shared Shipping) + $0.16 Tax = Total of $1.70</t>
  </si>
  <si>
    <t>whatnot.com/order/Qz7U5ppnESxTUaQq9NtVok
$2.00 + $0.55 (Shared Shipping) + $0.26 Tax = Total of $2.81</t>
  </si>
  <si>
    <t>whatnot.com/order/AFcBHwTXfggkzDpK3hRwdb
$2.00 + $0.36 (Shared Shipping) + $0.24 Tax = Total of $2.61</t>
  </si>
  <si>
    <t>whatnot.com/order/QTaAU7BuEKWFVBSztLHVZt
$2.00 + $0.36 (Shared Shipping) + $0.24 Tax = Total of $2.61</t>
  </si>
  <si>
    <t>whatnot.com/order/MwfykcrBkKSMi8nZ7VXmSm
$2.00 + $0.36 (Shared Shipping) + $0.24 Tax = Total of $2.61</t>
  </si>
  <si>
    <t>whatnot.com/order/6ARC4WVoNn7Q6k5D2EzpXQ
$0.00 + $0.00 (Shared Shipping) + $0.00 Tax = Total of $0.00</t>
  </si>
  <si>
    <t>whatnot.com/order/RykinryybXh9vCb6txwXKc
$2.00 + $0.74 (Shared Shipping) + $0.28 Tax = Total of $3.02</t>
  </si>
  <si>
    <t>whatnot.com/order/5scJ87fFG7iaQkajYWq4bV
$2.00 + $0.74 (Shared Shipping) + $0.28 Tax = Total of $3.02</t>
  </si>
  <si>
    <t>whatnot.com/order/U4wUV4wsrmJG4Ko5kpcCWo
$2.00 + $0.74 (Shared Shipping) + $0.28 Tax = Total of $3.02</t>
  </si>
  <si>
    <t>whatnot.com/order/6AEw6dYtHHV2b8pbZH8HLX
$2.00 + $0.74 (Shared Shipping) + $0.28 Tax = Total of $3.02</t>
  </si>
  <si>
    <t>whatnot.com/order/6aFhbaxuXeTPJA8aZNx5Bj
$2.00 + $0.74 (Shared Shipping) + $0.28 Tax = Total of $3.02</t>
  </si>
  <si>
    <t>whatnot.com/order/apudhfkcpm8mjfcciD2gPJ
$2.00 + $0.74 (Shared Shipping) + $0.28 Tax = Total of $3.02</t>
  </si>
  <si>
    <t>whatnot.com/order/3HUXgbQpXQ3HpVzdfDiwuW
$2.00 + $0.74 (Shared Shipping) + $0.28 Tax = Total of $3.02</t>
  </si>
  <si>
    <t>whatnot.com/order/YSnqxDb4AmM3M6XH7veFMz
$3.00 + $0.74 (Shared Shipping) + $0.38 Tax = Total of $4.12</t>
  </si>
  <si>
    <t>whatnot.com/order/6GpfoWGnD4i8UVt4E9YZb3
$2.00 + $1.09 (Shared Shipping) + $0.32 Tax = Total of $3.41</t>
  </si>
  <si>
    <t>whatnot.com/order/dxXz2Jyt4MAZh5PgRPhA2e
$2.00 + $0.63 (Shared Shipping) + $0.27 Tax = Total of $2.90</t>
  </si>
  <si>
    <t>whatnot.com/order/3YdoTRkTxViD7gGBZ6h9iY
$2.00 + $0.63 (Shared Shipping) + $0.27 Tax = Total of $2.90</t>
  </si>
  <si>
    <t>whatnot.com/order/5kGXwUf5RaGgQF2EFmu4H9
$5.00 + $0.63 (Shared Shipping) + $0.58 Tax = Total of $6.20</t>
  </si>
  <si>
    <t>whatnot.com/order/NiQA8q5w6tCKyhf9dhniXs
$3.00 + $0.63 (Shared Shipping) + $0.37 Tax = Total of $4.00</t>
  </si>
  <si>
    <t>whatnot.com/order/j2EYygrNpCqyDssAM2UmwS
$4.00 + $0.63 (Shared Shipping) + $0.47 Tax = Total of $5.10</t>
  </si>
  <si>
    <t>whatnot.com/order/RzUW8ZqubfD3RCjL2VoBop
$2.00 + $0.63 (Shared Shipping) + $0.27 Tax = Total of $2.90</t>
  </si>
  <si>
    <t>whatnot.com/order/dXNnRDYZ4XQd5syXTuJfHb
$2.00 + $0.63 (Shared Shipping) + $0.27 Tax = Total of $2.90</t>
  </si>
  <si>
    <t>whatnot.com/order/4LCZQZfaVVhJG2pKsSRhXY
$0.00 + $0.63 (Shared Shipping) + $0.06 Tax = Total of $0.69</t>
  </si>
  <si>
    <t>whatnot.com/order/MyYjybCzWUdYQZ5Nmcqzid
$0.00 + $0.63 (Shared Shipping) + $0.06 Tax = Total of $0.69</t>
  </si>
  <si>
    <t>whatnot.com/order/X5K6umEJWi23LicF99oSTD
$2.00 + $0.63 (Shared Shipping) + $0.27 Tax = Total of $2.90</t>
  </si>
  <si>
    <t>whatnot.com/order/iKMuPET2uvNEWaxZSPrWvT
$3.00 + $0.63 (Shared Shipping) + $0.37 Tax = Total of $4.00</t>
  </si>
  <si>
    <t>whatnot.com/order/eYoXvD5HkSQiYCAdyKw6ww
$2.00 + $0.23 (Shared Shipping) + $0.23 Tax = Total of $2.46</t>
  </si>
  <si>
    <t>whatnot.com/order/moNYfWFRzgHft49zVDK7Ba
$2.00 + $0.23 (Shared Shipping) + $0.23 Tax = Total of $2.46</t>
  </si>
  <si>
    <t>whatnot.com/order/3GyMAAaJhKT35PtSFFmp7M
$1.00 + $0.23 (Shared Shipping) + $0.13 Tax = Total of $1.36</t>
  </si>
  <si>
    <t>whatnot.com/order/jrU4Q7xp5yH4tmGayj7YpY
$1.00 + $0.23 (Shared Shipping) + $0.13 Tax = Total of $1.36</t>
  </si>
  <si>
    <t>whatnot.com/order/QmxKqJw97MkWL4F4CV22QD
$0.50 + $0.23 (Shared Shipping) + $0.07 Tax = Total of $0.81</t>
  </si>
  <si>
    <t>whatnot.com/order/RkyA6Bkpg2Bd9SGH2hZzTu
$10.00 + $4.35 (Shared Shipping) + $1.47 Tax = Total of $15.82</t>
  </si>
  <si>
    <t>whatnot.com/order/m7u6JPnkRPdg3KPtvFYypQ
$1.00 + $0.14 (Shared Shipping) + $0.12 Tax = Total of $1.25</t>
  </si>
  <si>
    <t>whatnot.com/order/CcgKgfJ5nvryvvKXiQFRF3
$0.17 + $0.14 (Shared Shipping) + $0.03 Tax = Total of $0.34</t>
  </si>
  <si>
    <t>whatnot.com/order/CcgKgfJ5nvryvvKXiQFRF3
$0.16 + $0.14 (Shared Shipping) + $0.03 Tax = Total of $0.33</t>
  </si>
  <si>
    <t>whatnot.com/order/NKDpWFDEF9zthvWQGx6hjv
$2.00 + $0.14 (Shared Shipping) + $0.22 Tax = Total of $2.36</t>
  </si>
  <si>
    <t>whatnot.com/order/b7cw23wZQThBVqdCqhgC7j
$0.00 + $0.00 (Shared Shipping) + $0.00 Tax = Total of $0.00</t>
  </si>
  <si>
    <t>whatnot.com/order/atV5mnNpi29X79RWUk3egh
$1.00 + $2.18 (Shared Shipping) + $0.33 Tax = Total of $3.50</t>
  </si>
  <si>
    <t>whatnot.com/order/ERNzPGDtKT3NBd3m26uHUb
$1.00 + $2.18 (Shared Shipping) + $0.33 Tax = Total of $3.50</t>
  </si>
  <si>
    <t>whatnot.com/order/247xYh6aYVcwWApNwxFJY9
$0.00 + $0.00 (Shared Shipping) + $0.00 Tax = Total of $0.00</t>
  </si>
  <si>
    <t>whatnot.com/order/mnN4d6f44iDgHmgaGRqhz9
$1.00 + $0.35 (Shared Shipping) + $0.14 Tax = Total of $1.48</t>
  </si>
  <si>
    <t>whatnot.com/order/am68o5TGkfds6VHNQLbuH7
$0.00 + $0.35 (Shared Shipping) + $0.04 Tax = Total of $0.38</t>
  </si>
  <si>
    <t>whatnot.com/order/jsA2rRdn9VNgmytpu33ezw
$1.00 + $0.35 (Shared Shipping) + $0.14 Tax = Total of $1.48</t>
  </si>
  <si>
    <t>whatnot.com/order/XsHDMZLVpnSHsbkfHPdiii
$1.00 + $0.35 (Shared Shipping) + $0.14 Tax = Total of $1.48</t>
  </si>
  <si>
    <t>whatnot.com/order/95MtnSosyaYoiaS3Fs9P9f
$1.00 + $0.35 (Shared Shipping) + $0.14 Tax = Total of $1.48</t>
  </si>
  <si>
    <t>whatnot.com/order/Gposmhs3UPw2tTSYYRaxZp
$1.00 + $0.35 (Shared Shipping) + $0.14 Tax = Total of $1.48</t>
  </si>
  <si>
    <t>whatnot.com/order/UWospfHLJBJCwjKMbMJrJc
$8.00 + $0.35 (Shared Shipping) + $0.86 Tax = Total of $9.20</t>
  </si>
  <si>
    <t>whatnot.com/order/YizRVYJABNSdo22iZwgKNb
$5.00 + $0.35 (Shared Shipping) + $0.55 Tax = Total of $5.89</t>
  </si>
  <si>
    <t>whatnot.com/order/A7skqPgdXNgH85B2zYMLjL
$1.00 + $0.35 (Shared Shipping) + $0.14 Tax = Total of $1.48</t>
  </si>
  <si>
    <t>whatnot.com/order/Gzx3x3hroNb5oYG2Go9M4M
$3.00 + $0.35 (Shared Shipping) + $0.34 Tax = Total of $3.69</t>
  </si>
  <si>
    <t>whatnot.com/order/LWb3sBpSSuKkKt2ouhdoxo
$1.00 + $0.35 (Shared Shipping) + $0.14 Tax = Total of $1.48</t>
  </si>
  <si>
    <t>whatnot.com/order/2TyjnBKs5xc9uWHYUQd9fu
$1.00 + $0.35 (Shared Shipping) + $0.14 Tax = Total of $1.48</t>
  </si>
  <si>
    <t>whatnot.com/order/jYo3VKPfAkNfdoPWbkE8fv
$4.00 + $0.35 (Shared Shipping) + $0.45 Tax = Total of $4.79</t>
  </si>
  <si>
    <t>whatnot.com/order/bjbSDowQ8rwtKXCHzkacVp
$0.00 + $1.36 (Shared Shipping) + $0.14 Tax = Total of $1.50</t>
  </si>
  <si>
    <t>whatnot.com/order/YAUQiahE9jPotBCmxaNkUS
$3.00 + $1.36 (Shared Shipping) + $0.45 Tax = Total of $4.81</t>
  </si>
  <si>
    <t>whatnot.com/order/5UjjnZwur4KMPeFJnGd5wv
$6.00 + $1.36 (Shared Shipping) + $0.75 Tax = Total of $8.11</t>
  </si>
  <si>
    <t>whatnot.com/order/5X36yCiHaJsMeN64D6uPLA
$1.50 + $2.28 (Shared Shipping) + $0.39 Tax = Total of $4.16</t>
  </si>
  <si>
    <t>whatnot.com/order/BxpSgRamxcouLJ5UoJeEaP
$1.00 + $1.20 (Shared Shipping) + $0.23 Tax = Total of $2.43</t>
  </si>
  <si>
    <t>whatnot.com/order/9ER4Qs3djKVVj6qwbLpnAt
$1.50 + $1.20 (Shared Shipping) + $0.28 Tax = Total of $2.98</t>
  </si>
  <si>
    <t>whatnot.com/order/TYnJSjGYYq23Mb9UWhC6Xk
$0.00 + $0.78 (Shared Shipping) + $0.08 Tax = Total of $0.86</t>
  </si>
  <si>
    <t>whatnot.com/order/V4B7eTMpR47RKMGyDdYHuc
$3.00 + $0.78 (Shared Shipping) + $0.39 Tax = Total of $4.16</t>
  </si>
  <si>
    <t>whatnot.com/order/nf6DKG4X4BE3RvCtyQDywr
$3.00 + $0.78 (Shared Shipping) + $0.39 Tax = Total of $4.16</t>
  </si>
  <si>
    <t>whatnot.com/order/ZtB4ZVd8p4oiJnLmAJs7tz
$2.00 + $0.78 (Shared Shipping) + $0.28 Tax = Total of $3.06</t>
  </si>
  <si>
    <t>whatnot.com/order/F54vujG64TkcHYp4KU7RHA
$10.00 + $0.78 (Shared Shipping) + $1.10 Tax = Total of $11.88</t>
  </si>
  <si>
    <t>whatnot.com/order/F54vujG64TkcHYp4KU7RHA
$4.00 + $0.78 (Shared Shipping) + $0.49 Tax = Total of $5.27</t>
  </si>
  <si>
    <t>whatnot.com/order/nAEkrSA7yzkeKXKekwWJV7
$0.50 + $0.27 (Shared Shipping) + $0.08 Tax = Total of $0.85</t>
  </si>
  <si>
    <t>whatnot.com/order/C8wNmr23XSGaFU3EsaesSS
$0.50 + $0.27 (Shared Shipping) + $0.08 Tax = Total of $0.85</t>
  </si>
  <si>
    <t>whatnot.com/order/Mqc2Uuzq8b8WstsiTribsF
$3.00 + $0.78 (Shared Shipping) + $0.39 Tax = Total of $4.17</t>
  </si>
  <si>
    <t>whatnot.com/order/Kd3DTS6aAunowd6ZnJ4KTS
$8.00 + $0.78 (Shared Shipping) + $0.90 Tax = Total of $9.68</t>
  </si>
  <si>
    <t>whatnot.com/order/cVAH6c2Ha2VVKr4oHxHUDo
$2.00 + $4.55 (Shared Shipping) + $0.67 Tax = Total of $7.22</t>
  </si>
  <si>
    <t>whatnot.com/order/7uWiSpZyq2Roey5Rr4Z456
$1.00 + $0.35 (Shared Shipping) + $0.14 Tax = Total of $1.49</t>
  </si>
  <si>
    <t>whatnot.com/order/QCeWrxwuLDSmy5kirafwrW
$1.00 + $0.35 (Shared Shipping) + $0.14 Tax = Total of $1.49</t>
  </si>
  <si>
    <t>whatnot.com/order/n7MxSz7PrCaHnYLU8dzQbP
$1.00 + $0.35 (Shared Shipping) + $0.14 Tax = Total of $1.49</t>
  </si>
  <si>
    <t>whatnot.com/order/V3RCUewZwCDfiBZPvUE9Az
$3.00 + $0.35 (Shared Shipping) + $0.34 Tax = Total of $3.70</t>
  </si>
  <si>
    <t>whatnot.com/order/adbiydZbLLFo8x6jprPUeB
$1.00 + $0.35 (Shared Shipping) + $0.14 Tax = Total of $1.49</t>
  </si>
  <si>
    <t>whatnot.com/order/XkjMoJAg278e8FP5go6RjV
$3.00 + $0.35 (Shared Shipping) + $0.34 Tax = Total of $3.70</t>
  </si>
  <si>
    <t>whatnot.com/order/Z2R37fViUKxpmERP7PNyqv
$1.00 + $0.35 (Shared Shipping) + $0.14 Tax = Total of $1.49</t>
  </si>
  <si>
    <t>whatnot.com/order/V7U6XPjihidFw6zF8nFVk5
$4.00 + $0.80 (Shared Shipping) + $0.49 Tax = Total of $5.29</t>
  </si>
  <si>
    <t>whatnot.com/order/iZbKHBvYo5zS45eekjhRzc
$5.00 + $0.80 (Shared Shipping) + $0.59 Tax = Total of $6.39</t>
  </si>
  <si>
    <t>whatnot.com/order/gKVf7ZXT8eYzYEJbDN84nY
$2.00 + $0.80 (Shared Shipping) + $0.29 Tax = Total of $3.09</t>
  </si>
  <si>
    <t>whatnot.com/order/D6qPAHQXHsNLKzLT7qX4E9
$2.00 + $0.80 (Shared Shipping) + $0.29 Tax = Total of $3.09</t>
  </si>
  <si>
    <t>whatnot.com/order/VQe2Xcgdk5QnGCBcwfuXsR
$5.00 + $0.35 (Shared Shipping) + $0.55 Tax = Total of $5.90</t>
  </si>
  <si>
    <t>whatnot.com/order/dreE2xdZz6eNaRJPKmkUNj
$3.00 + $0.35 (Shared Shipping) + $0.34 Tax = Total of $3.70</t>
  </si>
  <si>
    <t xml:space="preserve">
$0.00 + $0.35 (Shared Shipping) + $0.04 Tax = Total of $0.39</t>
  </si>
  <si>
    <t>whatnot.com/order/EUA4Ax5q4f9gC5Gv9mTsGc
$4.00 + $0.35 (Shared Shipping) + $0.45 Tax = Total of $4.80</t>
  </si>
  <si>
    <t>whatnot.com/order/QxNucFNxSrMWbb9wNao39X
$1.00 + $0.35 (Shared Shipping) + $0.14 Tax = Total of $1.49</t>
  </si>
  <si>
    <t>whatnot.com/order/FPqEc5jV3NSTjBSSKH6SCF
$1.00 + $0.35 (Shared Shipping) + $0.14 Tax = Total of $1.49</t>
  </si>
  <si>
    <t>whatnot.com/order/GPS2oVEvpYFQarAZqquyDW
$4.00 + $0.35 (Shared Shipping) + $0.45 Tax = Total of $4.80</t>
  </si>
  <si>
    <t>whatnot.com/order/UJkddQRLVRPS28Tdsjeg99
$1.00 + $0.35 (Shared Shipping) + $0.14 Tax = Total of $1.49</t>
  </si>
  <si>
    <t xml:space="preserve">
$190.00 + $6.00 (Shared Shipping) + $20.09 Tax = Total of $216.09</t>
  </si>
  <si>
    <t>whatnot.com/order/4qGFB5WJq67f7VePPgdKVK
$7.00 + $2.24 (Shared Shipping) + $0.95 Tax = Total of $10.18</t>
  </si>
  <si>
    <t>whatnot.com/order/4qGFB5WJq67f7VePPgdKVK
$0.00 + $2.24 (Shared Shipping) + $0.23 Tax = Total of $2.46</t>
  </si>
  <si>
    <t>whatnot.com/order/3x7P2iegqgUTYbwc6HCeds
$2.00 + $0.78 (Shared Shipping) + $0.28 Tax = Total of $3.06</t>
  </si>
  <si>
    <t>whatnot.com/order/4RxtebDXfZf5YY3okyKSu4
$32.00 + $2.43 (Shared Shipping) + $3.53 Tax = Total of $37.96</t>
  </si>
  <si>
    <t>whatnot.com/order/4RxtebDXfZf5YY3okyKSu4
-$22.05 + $2.43 (Shared Shipping) + -$2.01 Tax = Total of -$21.63</t>
  </si>
  <si>
    <t>whatnot.com/order/kHRrZndL3pVg4oJEbysd7V
$14.00 + $0.00 (Shared Shipping) + $1.44 Tax = Total of $15.44</t>
  </si>
  <si>
    <t>whatnot.com/order/RVD5hkPMoaUK4my4SPSKiQ
$17.00 + $0.00 (Shared Shipping) + $1.74 Tax = Total of $18.74</t>
  </si>
  <si>
    <t>whatnot.com/order/CSc74WMGcYfB3JgNPoZSDt
$8.00 + $0.27 (Shared Shipping) + $0.85 Tax = Total of $9.12</t>
  </si>
  <si>
    <t>whatnot.com/order/PH2i3WhAY5rePqutCdgM8c
$1.29 + $0.27 (Shared Shipping) + $0.16 Tax = Total of $1.72</t>
  </si>
  <si>
    <t>whatnot.com/order/PH2i3WhAY5rePqutCdgM8c
$1.28 + $0.27 (Shared Shipping) + $0.16 Tax = Total of $1.71</t>
  </si>
  <si>
    <t>whatnot.com/order/GhBCHwczCmrh6F7iQjEyTX
$1.43 + $0.27 (Shared Shipping) + $0.17 Tax = Total of $1.88</t>
  </si>
  <si>
    <t>whatnot.com/order/GhBCHwczCmrh6F7iQjEyTX
$1.42 + $0.27 (Shared Shipping) + $0.17 Tax = Total of $1.87</t>
  </si>
  <si>
    <t>whatnot.com/order/NMxKJ4hE9QKucKgDpADrjE
$2.50 + $0.00 (Shared Shipping) + $0.26 Tax = Total of $2.76</t>
  </si>
  <si>
    <t>whatnot.com/order/cav4UM3BapHtzDbW3nupgs
$1.00 + $4.86 (Shared Shipping) + $0.60 Tax = Total of $6.46</t>
  </si>
  <si>
    <t>whatnot.com/order/medD3HLzhpPd89xriKnZcX
$3.00 + $0.78 (Shared Shipping) + $0.39 Tax = Total of $4.17</t>
  </si>
  <si>
    <t>whatnot.com/order/YzDdv3jRTf8P5R9sGqJ4Q7
$1.00 + $4.74 (Shared Shipping) + $0.59 Tax = Total of $6.33</t>
  </si>
  <si>
    <t>whatnot.com/order/dyEnQ5ykexmH9Y87DbAujo
$1.00 + $2.89 (Shared Shipping) + $0.40 Tax = Total of $4.28</t>
  </si>
  <si>
    <t>whatnot.com/order/PNUZ8xoNGjttcd6JcMryzd
$19.00 + $2.89 (Shared Shipping) + $2.24 Tax = Total of $24.13</t>
  </si>
  <si>
    <t>whatnot.com/order/m58HF6hkjDzTFcY6dh42ZK
$24.00 + $1.39 (Shared Shipping) + $2.60 Tax = Total of $27.99</t>
  </si>
  <si>
    <t>ebay.com/itm/318340938096
$8.50 + $1.32 (Shared Shipping) + $1.01 Tax = Total of $10.83</t>
  </si>
  <si>
    <t>whatnot.com/order/PH2i3WhAY5rePqutCdgM8c
$0.00 + $0.27 (Shared Shipping) + $0.03 Tax = Total of $0.30</t>
  </si>
  <si>
    <t>whatnot.com/order/P6hZiMYk2ffSa8sLEMVeWQ
$0.00 + $0.91 (Shared Shipping) + $0.09 Tax = Total of $1.00</t>
  </si>
  <si>
    <t>whatnot.com/order/7VZY5sQpFk5DrwK9rEPwjj
$14.00 + $0.91 (Shared Shipping) + $1.53 Tax = Total of $16.44</t>
  </si>
  <si>
    <t>whatnot.com/order/LtProdm8r5emdZKY3kad4A
$12.00 + $0.91 (Shared Shipping) + $1.32 Tax = Total of $14.23</t>
  </si>
  <si>
    <t>whatnot.com/order/Z82h48WoJ3uJcg9xAmSGSz
$45.00 + $0.91 (Shared Shipping) + $4.71 Tax = Total of $50.62</t>
  </si>
  <si>
    <t>whatnot.com/order/BqMdVKL98MMvHMvRADiqy8
$4.00 + $0.91 (Shared Shipping) + $0.50 Tax = Total of $5.41</t>
  </si>
  <si>
    <t>whatnot.com/order/F9dPhgureZfuamzmCSWsoz
$2.00 + $1.39 (Shared Shipping) + $0.35 Tax = Total of $3.74</t>
  </si>
  <si>
    <t>whatnot.com/order/G3juFLZYNkeyx8YHXhJCeR
$1.50 + $0.00 (Shared Shipping) + $0.15 Tax = Total of $1.65</t>
  </si>
  <si>
    <t>whatnot.com/order/eZzEmrYrFPTX2ciq7zw7Hi
$2.00 + $0.00 (Shared Shipping) + $0.21 Tax = Total of $2.21</t>
  </si>
  <si>
    <t>whatnot.com/order/K7zApfgiyGLvandFaboi4m
$1.00 + $0.00 (Shared Shipping) + $0.10 Tax = Total of $1.10</t>
  </si>
  <si>
    <t>whatnot.com/order/GMJptoiQKCNjk4Pv5GF4bQ
$2.50 + $0.00 (Shared Shipping) + $0.26 Tax = Total of $2.76</t>
  </si>
  <si>
    <t>whatnot.com/order/2Nc9bVsk5chVoBa3qBE7ru
$1.00 + $0.00 (Shared Shipping) + $0.10 Tax = Total of $1.10</t>
  </si>
  <si>
    <t>whatnot.com/order/4zv9Y8T8uHjVEzhSWdVnjf
$4.00 + $0.00 (Shared Shipping) + $0.41 Tax = Total of $4.41</t>
  </si>
  <si>
    <t>whatnot.com/order/j5AumEDPb4dAWPPgEGjD26
$1.00 + $0.00 (Shared Shipping) + $0.10 Tax = Total of $1.10</t>
  </si>
  <si>
    <t>whatnot.com/order/oUotfyREdfzsNuUScDvio3
$11.00 + $0.78 (Shared Shipping) + $1.21 Tax = Total of $12.99</t>
  </si>
  <si>
    <t>ebay.com/itm/298388905739
$28.00 + $8.60 (Shared Shipping) + $3.75 Tax = Total of $40.35</t>
  </si>
  <si>
    <t>whatnot.com/order/P5eomQCEnRNpF3D5NN6EjL
$9.00 + $1.05 (Shared Shipping) + $1.03 Tax = Total of $11.08</t>
  </si>
  <si>
    <t>whatnot.com/order/FqoWSgMi5fqLq2Bz7wgwQQ
$10.00 + $1.05 (Shared Shipping) + $1.13 Tax = Total of $12.18</t>
  </si>
  <si>
    <t>whatnot.com/order/LGPnRNkgKGF9RMDyPrydES
$14.00 + $1.05 (Shared Shipping) + $1.54 Tax = Total of $16.59</t>
  </si>
  <si>
    <t>whatnot.com/order/n8cE95JzPotDagv8zS8364
$11.00 + $1.05 (Shared Shipping) + $1.24 Tax = Total of $13.29</t>
  </si>
  <si>
    <t>whatnot.com/order/JCCEshFbNE7KuEUh3Kjd6B
$15.00 + $1.05 (Shared Shipping) + $1.65 Tax = Total of $17.70</t>
  </si>
  <si>
    <t>"whatnot.com/order/jYo3VKPfAkNfdoPWbkE8fv_x000D_
$4.00 + $0.35 (Shared Shipping) + $0.45 Tax = Total of $4.79"</t>
  </si>
  <si>
    <t>"whatnot.com/order/VQe2Xcgdk5QnGCBcwfuXsR_x000D_
$5.00 + $0.35 (Shared Shipping) + $0.55 Tax = Total of $5.90"</t>
  </si>
  <si>
    <t>"whatnot.com/order/3YdoTRkTxViD7gGBZ6h9iY_x000D_
$2.00 + $0.63 (Shared Shipping) + $0.27 Tax = Total of $2.90"</t>
  </si>
  <si>
    <t>"whatnot.com/order/YAUQiahE9jPotBCmxaNkUS_x000D_
$3.00 + $1.36 (Shared Shipping) + $0.45 Tax = Total of $4.81"</t>
  </si>
  <si>
    <t>"whatnot.com/order/Gposmhs3UPw2tTSYYRaxZp_x000D_
$1.00 + $0.35 (Shared Shipping) + $0.14 Tax = Total of $1.48"</t>
  </si>
  <si>
    <t>"whatnot.com/order/dreE2xdZz6eNaRJPKmkUNj_x000D_
$3.00 + $0.35 (Shared Shipping) + $0.34 Tax = Total of $3.70"</t>
  </si>
  <si>
    <t>Basketball Cards 2023 Panini Hoops Attack the Rack</t>
  </si>
  <si>
    <t>"whatnot.com/order/LGPnRNkgKGF9RMDyPrydES_x000D_
$14.00 + $1.05 (Shared Shipping) + $1.54 Tax = Total of $16.59"</t>
  </si>
  <si>
    <t>"whatnot.com/order/jrU4Q7xp5yH4tmGayj7YpY_x000D_
$1.00 + $0.23 (Shared Shipping) + $0.13 Tax = Total of $1.36"</t>
  </si>
  <si>
    <t>whatnot.com/order/CcgKgfJ5nvryvvKXiQFRF3_x000D_
$0.17 + $0.14 (Shared Shipping) + $0.03 Tax = Total of $0.34</t>
  </si>
  <si>
    <t>"whatnot.com/order/CcgKgfJ5nvryvvKXiQFRF3_x000D_
$0.17 + $0.14 (Shared Shipping) + $0.03 Tax = Total of $0.34"</t>
  </si>
  <si>
    <t>"whatnot.com/order/V7U6XPjihidFw6zF8nFVk5_x000D_
$4.00 + $0.80 (Shared Shipping) + $0.49 Tax = Total of $5.29"</t>
  </si>
  <si>
    <t>"whatnot.com/order/XsHDMZLVpnSHsbkfHPdiii_x000D_
$1.00 + $0.35 (Shared Shipping) + $0.14 Tax = Total of $1.48"</t>
  </si>
  <si>
    <t>"whatnot.com/order/QmxKqJw97MkWL4F4CV22QD_x000D_
$0.50 + $0.23 (Shared Shipping) + $0.07 Tax = Total of $0.81"</t>
  </si>
  <si>
    <t>whatnot.com/order/7uWiSpZyq2Roey5Rr4Z456_x000D_
$1.00 + $0.35 (Shared Shipping) + $0.14 Tax = Total of $1.49</t>
  </si>
  <si>
    <t>"whatnot.com/order/7eozouSEnosHtokHHfAAYH_x000D_
$1.67 + $1.02 (Shared Shipping) + $0.28 Tax = Total of $2.97"</t>
  </si>
  <si>
    <t>"whatnot.com/order/V3RCUewZwCDfiBZPvUE9Az_x000D_
$3.00 + $0.35 (Shared Shipping) + $0.34 Tax = Total of $3.70"</t>
  </si>
  <si>
    <t>Luka Doncic [Blue Astro] #9</t>
  </si>
  <si>
    <t>Basketball Cards 2024 Panini Revolution Star Gazing</t>
  </si>
  <si>
    <t>"whatnot.com/order/n8cE95JzPotDagv8zS8364_x000D_
$11.00 + $1.05 (Shared Shipping) + $1.24 Tax = Total of $13.29"</t>
  </si>
  <si>
    <t>"whatnot.com/order/EUA4Ax5q4f9gC5Gv9mTsGc_x000D_
$4.00 + $0.35 (Shared Shipping) + $0.45 Tax = Total of $4.80"</t>
  </si>
  <si>
    <t>"whatnot.com/order/QCeWrxwuLDSmy5kirafwrW_x000D_
$1.00 + $0.35 (Shared Shipping) + $0.14 Tax = Total of $1.49"</t>
  </si>
  <si>
    <t xml:space="preserve">"whatnot.com/order/3HUXgbQpXQ3HpVzdfDiwuW_x000D_
$2.00 + $0.74 (Shared Shipping) + $0.28 Tax = Total of $3.02"_x000D_
</t>
  </si>
  <si>
    <t>Stephon Castle [Reptilian Refractor] #BCV-145</t>
  </si>
  <si>
    <t>"whatnot.com/order/FqoWSgMi5fqLq2Bz7wgwQQ_x000D_
$10.00 + $1.05 (Shared Shipping) + $1.13 Tax = Total of $12.18"</t>
  </si>
  <si>
    <t>"whatnot.com/order/UWospfHLJBJCwjKMbMJrJc_x000D_
$8.00 + $0.35 (Shared Shipping) + $0.86 Tax = Total of $9.20"</t>
  </si>
  <si>
    <t>Jason Williams #7</t>
  </si>
  <si>
    <t>"whatnot.com/order/P5eomQCEnRNpF3D5NN6EjL_x000D_
$9.00 + $1.05 (Shared Shipping) + $1.03 Tax = Total of $11.08"</t>
  </si>
  <si>
    <t>"whatnot.com/order/JCCEshFbNE7KuEUh3Kjd6B_x000D_
$15.00 + $1.05 (Shared Shipping) + $1.65 Tax = Total of $17.70"</t>
  </si>
  <si>
    <t>"whatnot.com/order/5X36yCiHaJsMeN64D6uPLA_x000D_
$1.50 + $2.28 (Shared Shipping) + $0.39 Tax = Total of $4.16"</t>
  </si>
  <si>
    <t>"whatnot.com/order/Kd3DTS6aAunowd6ZnJ4KTS_x000D_
$8.00 + $0.78 (Shared Shipping) + $0.90 Tax = Total of $9.68"</t>
  </si>
  <si>
    <t>"whatnot.com/order/iZbKHBvYo5zS45eekjhRzc_x000D_
$5.00 + $0.80 (Shared Shipping) + $0.59 Tax = Total of $6.39"</t>
  </si>
  <si>
    <t>"whatnot.com/order/gKVf7ZXT8eYzYEJbDN84nY_x000D_
$2.00 + $0.80 (Shared Shipping) + $0.29 Tax = Total of $3.09"</t>
  </si>
  <si>
    <t>"whatnot.com/order/XkjMoJAg278e8FP5go6RjV_x000D_
$3.00 + $0.35 (Shared Shipping) + $0.34 Tax = Total of $3.70"</t>
  </si>
  <si>
    <t>Conditions</t>
  </si>
  <si>
    <t>Double Discount</t>
  </si>
  <si>
    <t>Note selling points for cards that will inform or attract buyers</t>
  </si>
  <si>
    <t>Luka Doncic</t>
  </si>
  <si>
    <t>Count</t>
  </si>
  <si>
    <t>Desired Profit</t>
  </si>
  <si>
    <t>PSV Player Label</t>
  </si>
  <si>
    <t>Scottie Pippen</t>
  </si>
  <si>
    <t>Kevin Morton</t>
  </si>
  <si>
    <t>Damon Stoudamire</t>
  </si>
  <si>
    <t>Kevin Garnett</t>
  </si>
  <si>
    <t>Stephon Castle</t>
  </si>
  <si>
    <t>Chris Webber</t>
  </si>
  <si>
    <t>Cade Cunningham</t>
  </si>
  <si>
    <t>Michael Jordan</t>
  </si>
  <si>
    <t>Stephen Curry</t>
  </si>
  <si>
    <t>Rasheed Wallace</t>
  </si>
  <si>
    <t>Chaz Lanier</t>
  </si>
  <si>
    <t>Stephon Marbury</t>
  </si>
  <si>
    <t>Kyrie Irving</t>
  </si>
  <si>
    <t>Cooper Flagg</t>
  </si>
  <si>
    <t>Shaquille O'Neal</t>
  </si>
  <si>
    <t>Tracy McGrady</t>
  </si>
  <si>
    <t>Jaylen Brown</t>
  </si>
  <si>
    <t>Victor Wembanyama</t>
  </si>
  <si>
    <t>Clyde Drexler</t>
  </si>
  <si>
    <t>Tim Thomas</t>
  </si>
  <si>
    <t>Shai Gilgeous Alexander</t>
  </si>
  <si>
    <t>Jerry Rice</t>
  </si>
  <si>
    <t>Kobe Bryant</t>
  </si>
  <si>
    <t>Jarrett Culver</t>
  </si>
  <si>
    <t>Michael Finley</t>
  </si>
  <si>
    <t>Shawn Kemp</t>
  </si>
  <si>
    <t>Jason Williams</t>
  </si>
  <si>
    <t>Giannis Antetokounmpo</t>
  </si>
  <si>
    <t>Cameron Johnson</t>
  </si>
  <si>
    <t>Marcelo Balboa</t>
  </si>
  <si>
    <t>Jerry Stackhouse</t>
  </si>
  <si>
    <t>Return of Excellence</t>
  </si>
  <si>
    <t>Jamal Murray</t>
  </si>
  <si>
    <t>Karl Malone</t>
  </si>
  <si>
    <t>Allen Iverson</t>
  </si>
  <si>
    <t>Shai Gilgeous-Alexander</t>
  </si>
  <si>
    <t>Thomas Sorber</t>
  </si>
  <si>
    <t>Antonio McDyess</t>
  </si>
  <si>
    <t>Grant Hill</t>
  </si>
  <si>
    <t>Ray Allen</t>
  </si>
  <si>
    <t>Nolan Ryan</t>
  </si>
  <si>
    <t>Mac McClung</t>
  </si>
  <si>
    <t>Katie Lou Samuelson</t>
  </si>
  <si>
    <t>LeBron James</t>
  </si>
  <si>
    <t>Anfernee Hardaway</t>
  </si>
  <si>
    <t>Craig Lefferts</t>
  </si>
  <si>
    <t>Joel Embiid</t>
  </si>
  <si>
    <t>Dirk Nowitzki</t>
  </si>
  <si>
    <t>Antawn Jamison</t>
  </si>
  <si>
    <t>Jaren Jackson Jr.</t>
  </si>
  <si>
    <t>Jayson Tatum</t>
  </si>
  <si>
    <t>Spider-Man</t>
  </si>
  <si>
    <t>Austin Reaves</t>
  </si>
  <si>
    <t>Sam Vincent</t>
  </si>
  <si>
    <t>Tyrese Haliburton</t>
  </si>
  <si>
    <t>Shaquille O'neal</t>
  </si>
  <si>
    <t>John Doyle</t>
  </si>
  <si>
    <t>Tab Ramos</t>
  </si>
  <si>
    <t>Dalton Schultz</t>
  </si>
  <si>
    <t>Dereck Lively II</t>
  </si>
  <si>
    <t>Glenn Robinson</t>
  </si>
  <si>
    <t>Nikola Jokic</t>
  </si>
  <si>
    <t>Keith Van Horn</t>
  </si>
  <si>
    <t>Barry Bonds</t>
  </si>
  <si>
    <t>Gary Payton</t>
  </si>
  <si>
    <t>Alonzo Mourning</t>
  </si>
  <si>
    <t>Dennis Rodman</t>
  </si>
  <si>
    <t>Paolo Banchero</t>
  </si>
  <si>
    <t>John Stockton</t>
  </si>
  <si>
    <t>Cobi Jones</t>
  </si>
  <si>
    <t>Michael Doleac</t>
  </si>
  <si>
    <t>Tyrese Maxey</t>
  </si>
  <si>
    <t>Mark Jackson</t>
  </si>
  <si>
    <t>Michael vs. Magic</t>
  </si>
  <si>
    <t>Dean Palmer</t>
  </si>
  <si>
    <t>Reed Sheppard</t>
  </si>
  <si>
    <t>Charles Barkley</t>
  </si>
  <si>
    <t>Donovan Mitchell</t>
  </si>
  <si>
    <t>David Platt</t>
  </si>
  <si>
    <t>Patrick Ewing</t>
  </si>
  <si>
    <t>Patrick Mahomes II</t>
  </si>
  <si>
    <t>David Robinson</t>
  </si>
  <si>
    <t>Ken Griffey Jr.</t>
  </si>
  <si>
    <t>Jason Kidd</t>
  </si>
  <si>
    <t>Eddie Jones</t>
  </si>
  <si>
    <t>Marcus Camby</t>
  </si>
  <si>
    <t>Caris LeVert</t>
  </si>
  <si>
    <t>Emmitt Smith</t>
  </si>
  <si>
    <t>Earvin Johnson</t>
  </si>
  <si>
    <t>Yamil Benitez</t>
  </si>
  <si>
    <t>Vince Carter</t>
  </si>
  <si>
    <t>Dylan Harper</t>
  </si>
  <si>
    <t>Ruben Patterson</t>
  </si>
  <si>
    <t>Shareef Abdur-Rahim</t>
  </si>
  <si>
    <t>Ja Morant</t>
  </si>
  <si>
    <t>Bam Adebayo</t>
  </si>
  <si>
    <t>JT Toppin</t>
  </si>
  <si>
    <t>Delanie Walker</t>
  </si>
  <si>
    <t>Jalen Brunson</t>
  </si>
  <si>
    <t>Ruud Gullit</t>
  </si>
  <si>
    <t>Terrence Shannon Jr.</t>
  </si>
  <si>
    <t>Punisher 2099</t>
  </si>
  <si>
    <t>Magic Johnson</t>
  </si>
  <si>
    <t>Shohei Ohtani</t>
  </si>
  <si>
    <t>Miles Bridges</t>
  </si>
  <si>
    <t>Steve Francis</t>
  </si>
  <si>
    <t>Pat Lennon</t>
  </si>
  <si>
    <t>Daniel Gafford</t>
  </si>
  <si>
    <t>Jaden McDaniels</t>
  </si>
  <si>
    <t>James Harden</t>
  </si>
  <si>
    <t>Jalen Green</t>
  </si>
  <si>
    <t>VJ Edgecombe</t>
  </si>
  <si>
    <t>Latrell Sprewell</t>
  </si>
  <si>
    <t>Larry Bird</t>
  </si>
  <si>
    <t>Tim Duncan</t>
  </si>
  <si>
    <t>Deommodore Lenoir</t>
  </si>
  <si>
    <t>Anthony Edwards</t>
  </si>
  <si>
    <t>Tidjane Salaun</t>
  </si>
  <si>
    <t>Maurice Taylor</t>
  </si>
  <si>
    <t>Heathcliff Slocumb</t>
  </si>
  <si>
    <t>Lamar Jackson</t>
  </si>
  <si>
    <t>Draymond Green</t>
  </si>
  <si>
    <t>Romario</t>
  </si>
  <si>
    <t>Antoine Walker</t>
  </si>
  <si>
    <t>Maximum Carnage</t>
  </si>
  <si>
    <t>Maxime Raynaud</t>
  </si>
  <si>
    <t>Kyle Pitts</t>
  </si>
  <si>
    <t>Bulls Victory Tour '95-96: Win</t>
  </si>
  <si>
    <t>Mike Bibby</t>
  </si>
  <si>
    <t>Eric Wynalda</t>
  </si>
  <si>
    <t>Cole Anthony</t>
  </si>
  <si>
    <t>Kyrie Irving / Luka Doncic</t>
  </si>
  <si>
    <t>Cotie McMahon</t>
  </si>
  <si>
    <t>Chet Holmgren</t>
  </si>
  <si>
    <t>Statistics Keycard</t>
  </si>
  <si>
    <t>Dyson Daniels</t>
  </si>
  <si>
    <t>Devin Carter</t>
  </si>
  <si>
    <t>JA Morant</t>
  </si>
  <si>
    <t>Jrue Holiday</t>
  </si>
  <si>
    <t>George Pickens</t>
  </si>
  <si>
    <t>Antonio Daniels</t>
  </si>
  <si>
    <t>Spider-Demon</t>
  </si>
  <si>
    <t>Joe Burrow</t>
  </si>
  <si>
    <t>Tim Teufel</t>
  </si>
  <si>
    <t>Thomas Dooley</t>
  </si>
  <si>
    <t>Jaden Hardy</t>
  </si>
  <si>
    <t>Wolverine Crippled</t>
  </si>
  <si>
    <t>Robert Parish</t>
  </si>
  <si>
    <t>jason williams</t>
  </si>
  <si>
    <t>Darrell Armstrong</t>
  </si>
  <si>
    <t>Tier</t>
  </si>
  <si>
    <t>Average of price-in-pennies</t>
  </si>
  <si>
    <t>Average of Top 3 cards</t>
  </si>
  <si>
    <t>Luka Doncic [Blue Retail] #15</t>
  </si>
  <si>
    <t>Miles Bridges [Red] #243</t>
  </si>
  <si>
    <t>Gheorghe Muresan</t>
  </si>
  <si>
    <t>Name</t>
  </si>
  <si>
    <t>Gary Payton #SO6</t>
  </si>
  <si>
    <t>Basketball Cards 1996 Skybox Premium Standouts</t>
  </si>
  <si>
    <t>Set Name</t>
  </si>
  <si>
    <t>Variant</t>
  </si>
  <si>
    <t>Number</t>
  </si>
  <si>
    <t>Keep List</t>
  </si>
  <si>
    <t>Sale Price After Discount</t>
  </si>
  <si>
    <t>Agreed upon Value</t>
  </si>
  <si>
    <t>Profit/Loss</t>
  </si>
  <si>
    <t>Date Sold</t>
  </si>
  <si>
    <t>Site</t>
  </si>
  <si>
    <t>Marked as Sold</t>
  </si>
  <si>
    <t>Conway Card Show #1</t>
  </si>
  <si>
    <t>Conway Card Show #2</t>
  </si>
  <si>
    <t>Conway Card Show #3</t>
  </si>
  <si>
    <t>Conway Card Show #4</t>
  </si>
  <si>
    <t>Sum of quantity</t>
  </si>
  <si>
    <t>Market Value</t>
  </si>
  <si>
    <t>https://www.ebay.com/itm/800134310592</t>
  </si>
  <si>
    <t>chham_61</t>
  </si>
  <si>
    <t>ebay.com/itm/800134310592
$85.00 + $5.75 (Shared Shipping) + $9.30 Tax = Total of $100.05</t>
  </si>
  <si>
    <t>Clark's Auction</t>
  </si>
  <si>
    <t>Amazon</t>
  </si>
  <si>
    <t>Supplies</t>
  </si>
  <si>
    <t>Show</t>
  </si>
  <si>
    <t>Table</t>
  </si>
  <si>
    <t>Auction</t>
  </si>
  <si>
    <t>WhatNot Fees</t>
  </si>
  <si>
    <t>jem021</t>
  </si>
  <si>
    <t>https://www.amazon.com/your-orders/order-details?orderID=111-2378555-0038643&amp;ref=ppx_yo2ov_dt_b_fed_order_details</t>
  </si>
  <si>
    <t>https://www.amazon.com/your-orders/order-details?orderID=111-1931934-6931434&amp;ref=ppx_yo2ov_dt_b_fed_order_details</t>
  </si>
  <si>
    <t xml:space="preserve">
$55.00 + $0.00 (Shared Shipping) + $0.00 Tax = Total of $55.00</t>
  </si>
  <si>
    <t>amazon.com/your-orders/order-details?orderID=111-2378555-0038643&amp;ref=ppx_yo2ov_dt_b_fed_order_details
$35.99 + $0.00 (Shared Shipping) + $3.69 Tax = Total of $39.68</t>
  </si>
  <si>
    <t xml:space="preserve">
$33.00 + $0.00 (Shared Shipping) + $0.00 Tax = Total of $33.00</t>
  </si>
  <si>
    <t xml:space="preserve">
$0.00 + $0.00 (Shared Shipping) + $0.00 Tax = Total of $0.00</t>
  </si>
  <si>
    <t>amazon.com/your-orders/order-details?orderID=111-1931934-6931434&amp;ref=ppx_yo2ov_dt_b_fed_order_details
$44.98 + $0.00 (Shared Shipping) + $4.61 Tax = Total of $49.59</t>
  </si>
  <si>
    <t>https://www.ebay.com/itm/298423082887</t>
  </si>
  <si>
    <t>ebay.com/itm/298423082887
$20.00 + $5.48 (Shared Shipping) + $2.61 Tax = Total of $28.09</t>
  </si>
  <si>
    <t>asportsfan2day</t>
  </si>
  <si>
    <t>https://www.ebay.com/itm/327090226621</t>
  </si>
  <si>
    <t>Unknown</t>
  </si>
  <si>
    <t>ebay.com/itm/327090226621
$69.99 + $5.95 (Shared Shipping) + $7.78 Tax = Total of $83.72</t>
  </si>
  <si>
    <t>Missing</t>
  </si>
  <si>
    <t>Discount/Fees</t>
  </si>
  <si>
    <t>Shai Gilgeous-Alexander #184 [Rookie]</t>
  </si>
  <si>
    <t>Item #</t>
  </si>
  <si>
    <t>Variance on Sale</t>
  </si>
  <si>
    <t>Victor Wembanyama #289</t>
  </si>
  <si>
    <t>Branco #68</t>
  </si>
  <si>
    <t>Shai Gilgeous Alexander [Holo] #147</t>
  </si>
  <si>
    <t>Gheorghe MureÈ™an #G20</t>
  </si>
  <si>
    <t>Shai Gilgeous Alexander [Silver] #43</t>
  </si>
  <si>
    <t>Luka Doncic #122</t>
  </si>
  <si>
    <t>Basketball Cards 2018 Panini Status</t>
  </si>
  <si>
    <t>$85.00 + Shipping $5.75 + Tax $9.30 = $100.05</t>
  </si>
  <si>
    <t>Zetti #83</t>
  </si>
  <si>
    <t>Nikola Jokic #291</t>
  </si>
  <si>
    <t>Basketball Cards 2018 Panini Hoops Class of 2018</t>
  </si>
  <si>
    <t>Traded for Victor Wembanyama #HP-VW 2025 Topps Match Attax Hot Prospects valued at $7.34</t>
  </si>
  <si>
    <t>Shai Gilgeous Alexander #238</t>
  </si>
  <si>
    <t>Karl-Anthony Towns [Purple] #12</t>
  </si>
  <si>
    <t>Italy #320</t>
  </si>
  <si>
    <t>Luka DoncÌŒic #BCV-123</t>
  </si>
  <si>
    <t>Edmundo #297</t>
  </si>
  <si>
    <t>Jason Kidd Single #68</t>
  </si>
  <si>
    <t>Ryan Giggs #282</t>
  </si>
  <si>
    <t>Bolivia #318</t>
  </si>
  <si>
    <t>Branco #HS5</t>
  </si>
  <si>
    <t>Soccer Cards 1994 Upper Deck World Cup Soccer Hot Shot</t>
  </si>
  <si>
    <t>Wim Jonk #181</t>
  </si>
  <si>
    <t>Muller #77</t>
  </si>
  <si>
    <t>Miles Bridges [Reactive Blue] #67</t>
  </si>
  <si>
    <t>"whatnot.com/order/MyYjybCzWUdYQZ5Nmcqzid_x000D_
$0.00 + $0.63 (Shared Shipping) + $0.06 Tax = Total of $0.69"</t>
  </si>
  <si>
    <t>Joy Fawcett #272</t>
  </si>
  <si>
    <t>Luka Doncic [Sapphire] #43</t>
  </si>
  <si>
    <t>Julie Foudy #271</t>
  </si>
  <si>
    <t>Michael Jordan #100</t>
  </si>
  <si>
    <t>"ebay.com/itm/298423082887_x000D_
$20.00 + $5.48 (Shared Shipping) + $2.61 Tax = Total of $28.09"</t>
  </si>
  <si>
    <t>Nikola Jokic [Purple Shock] #96</t>
  </si>
  <si>
    <t>Basketball Cards 2020 Panini Donruss Optic</t>
  </si>
  <si>
    <t>"whatnot.com/order/G3juFLZYNkeyx8YHXhJCeR_x000D_
$1.50 + $0.00 (Shared Shipping) + $0.15 Tax = Total of $1.65"</t>
  </si>
  <si>
    <t>LeBron James #2</t>
  </si>
  <si>
    <t>whatnot.com/order/G3juFLZYNkeyx8YHXhJCeR_x000D_
$1.50 + $0.00 (Shared Shipping) + $0.15 Tax = Total of $1.65</t>
  </si>
  <si>
    <t>Kobe Bryant #31</t>
  </si>
  <si>
    <t>Basketball Cards 1997 Fleer Million Dollar Moments</t>
  </si>
  <si>
    <t>Michael Jordan #69</t>
  </si>
  <si>
    <t>Dino Baggio #154</t>
  </si>
  <si>
    <t>Branco</t>
  </si>
  <si>
    <t>Gheorghe MureÈ™an</t>
  </si>
  <si>
    <t>Zetti</t>
  </si>
  <si>
    <t>Karl-Anthony Towns</t>
  </si>
  <si>
    <t>Italy</t>
  </si>
  <si>
    <t>Luka DoncÌŒic</t>
  </si>
  <si>
    <t>Edmundo</t>
  </si>
  <si>
    <t>Jason Kidd Single</t>
  </si>
  <si>
    <t>Ryan Giggs</t>
  </si>
  <si>
    <t>Bolivia</t>
  </si>
  <si>
    <t>Wim Jonk</t>
  </si>
  <si>
    <t>Muller</t>
  </si>
  <si>
    <t>Joy Fawcett</t>
  </si>
  <si>
    <t>Julie Foudy</t>
  </si>
  <si>
    <t>Dino Baggio</t>
  </si>
  <si>
    <t>(blank)</t>
  </si>
  <si>
    <t>Top Cards for Sale</t>
  </si>
  <si>
    <t>Typos</t>
  </si>
  <si>
    <t>Corrected</t>
  </si>
  <si>
    <t>Add Old Value as cost for old cards from last known beckett magazine - Anything orginally $1.50 or more that you want to get it's value back</t>
  </si>
  <si>
    <t>Next Item #</t>
  </si>
  <si>
    <t>id</t>
  </si>
  <si>
    <t>Michael Jordan / Scottie Pippen / Dennis Rodman / Toni Kukoc / Ron Harper #139</t>
  </si>
  <si>
    <t>Michael Jordan / Scottie Pippen / Dennis Rodman / Toni Kukoc / Ron Harper</t>
  </si>
  <si>
    <t>Shai Gilgeous-Alexander #35</t>
  </si>
  <si>
    <t/>
  </si>
  <si>
    <t>eBay</t>
  </si>
  <si>
    <t>N/A-1</t>
  </si>
  <si>
    <t>N/A-3</t>
  </si>
  <si>
    <t>N/A-2</t>
  </si>
  <si>
    <t>N/A-4</t>
  </si>
  <si>
    <t>N/A-5</t>
  </si>
  <si>
    <t>N/A-6</t>
  </si>
  <si>
    <t>N/A-7</t>
  </si>
  <si>
    <t>N/A-8</t>
  </si>
  <si>
    <t>N/A-9</t>
  </si>
  <si>
    <t>N/A-10</t>
  </si>
  <si>
    <t>N/A-11</t>
  </si>
  <si>
    <t>N/A-12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</si>
</sst>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_);_(* \(#,##0.000\);_(* &quot;-&quot;??_);_(@_)"/>
    <numFmt numFmtId="165" formatCode="0.0%"/>
    <numFmt numFmtId="166" formatCode="0.00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theme="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44" fontId="0" fillId="0" borderId="0" xfId="1" applyFont="1"/>
    <xf numFmtId="44" fontId="0" fillId="0" borderId="0" xfId="0" applyNumberFormat="1"/>
    <xf numFmtId="14" fontId="0" fillId="0" borderId="0" xfId="0" applyNumberFormat="1"/>
    <xf numFmtId="44" fontId="3" fillId="2" borderId="0" xfId="1" applyFont="1" applyFill="1"/>
    <xf numFmtId="14" fontId="3" fillId="2" borderId="0" xfId="0" applyNumberFormat="1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44" fontId="2" fillId="0" borderId="0" xfId="1" applyFont="1"/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0" fillId="0" borderId="0" xfId="0" applyAlignment="1">
      <alignment horizontal="right"/>
    </xf>
    <xf numFmtId="0" fontId="4" fillId="2" borderId="0" xfId="2" applyFill="1"/>
    <xf numFmtId="0" fontId="3" fillId="3" borderId="0" xfId="0" applyFont="1" applyFill="1" applyAlignment="1">
      <alignment horizontal="left"/>
    </xf>
    <xf numFmtId="0" fontId="0" fillId="0" borderId="0" xfId="1" applyNumberFormat="1" applyFont="1"/>
    <xf numFmtId="9" fontId="3" fillId="2" borderId="0" xfId="0" applyNumberFormat="1" applyFont="1" applyFill="1"/>
    <xf numFmtId="10" fontId="3" fillId="2" borderId="0" xfId="0" applyNumberFormat="1" applyFont="1" applyFill="1"/>
    <xf numFmtId="8" fontId="3" fillId="2" borderId="0" xfId="0" applyNumberFormat="1" applyFont="1" applyFill="1"/>
    <xf numFmtId="0" fontId="3" fillId="2" borderId="0" xfId="0" applyFont="1" applyFill="1"/>
    <xf numFmtId="9" fontId="0" fillId="0" borderId="0" xfId="4" applyFont="1"/>
    <xf numFmtId="44" fontId="0" fillId="0" borderId="1" xfId="1" applyFont="1" applyBorder="1"/>
    <xf numFmtId="44" fontId="0" fillId="0" borderId="4" xfId="1" applyFont="1" applyBorder="1"/>
    <xf numFmtId="44" fontId="0" fillId="0" borderId="6" xfId="1" applyFont="1" applyBorder="1"/>
    <xf numFmtId="44" fontId="0" fillId="0" borderId="0" xfId="1" applyFont="1" applyBorder="1"/>
    <xf numFmtId="44" fontId="0" fillId="0" borderId="5" xfId="1" applyFont="1" applyBorder="1"/>
    <xf numFmtId="164" fontId="0" fillId="0" borderId="0" xfId="3" applyNumberFormat="1" applyFont="1" applyBorder="1"/>
    <xf numFmtId="164" fontId="0" fillId="0" borderId="5" xfId="3" applyNumberFormat="1" applyFont="1" applyBorder="1"/>
    <xf numFmtId="164" fontId="0" fillId="0" borderId="7" xfId="3" applyNumberFormat="1" applyFont="1" applyBorder="1"/>
    <xf numFmtId="164" fontId="0" fillId="0" borderId="8" xfId="3" applyNumberFormat="1" applyFont="1" applyBorder="1"/>
    <xf numFmtId="0" fontId="0" fillId="0" borderId="2" xfId="0" applyBorder="1"/>
    <xf numFmtId="0" fontId="0" fillId="0" borderId="3" xfId="0" applyBorder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9" fontId="0" fillId="0" borderId="0" xfId="1" applyNumberFormat="1" applyFont="1"/>
    <xf numFmtId="8" fontId="0" fillId="0" borderId="9" xfId="0" applyNumberFormat="1" applyBorder="1"/>
    <xf numFmtId="8" fontId="0" fillId="0" borderId="10" xfId="0" applyNumberFormat="1" applyBorder="1"/>
    <xf numFmtId="8" fontId="0" fillId="0" borderId="11" xfId="0" applyNumberFormat="1" applyBorder="1"/>
    <xf numFmtId="8" fontId="2" fillId="0" borderId="0" xfId="0" applyNumberFormat="1" applyFont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8" fontId="0" fillId="0" borderId="15" xfId="0" applyNumberFormat="1" applyBorder="1"/>
    <xf numFmtId="8" fontId="0" fillId="0" borderId="17" xfId="0" applyNumberFormat="1" applyBorder="1"/>
    <xf numFmtId="8" fontId="0" fillId="0" borderId="18" xfId="0" applyNumberFormat="1" applyBorder="1"/>
    <xf numFmtId="8" fontId="0" fillId="0" borderId="19" xfId="0" applyNumberFormat="1" applyBorder="1"/>
    <xf numFmtId="165" fontId="0" fillId="0" borderId="0" xfId="4" applyNumberFormat="1" applyFont="1"/>
    <xf numFmtId="0" fontId="8" fillId="2" borderId="0" xfId="2" applyFont="1" applyFill="1"/>
    <xf numFmtId="0" fontId="9" fillId="2" borderId="0" xfId="0" applyFont="1" applyFill="1"/>
    <xf numFmtId="0" fontId="8" fillId="2" borderId="0" xfId="2" applyFont="1" applyFill="1" applyAlignment="1"/>
    <xf numFmtId="0" fontId="0" fillId="0" borderId="0" xfId="0" pivotButton="1"/>
    <xf numFmtId="14" fontId="5" fillId="0" borderId="0" xfId="0" applyNumberFormat="1" applyFont="1"/>
    <xf numFmtId="0" fontId="10" fillId="2" borderId="0" xfId="0" applyFont="1" applyFill="1"/>
    <xf numFmtId="9" fontId="6" fillId="0" borderId="0" xfId="0" applyNumberFormat="1" applyFont="1"/>
    <xf numFmtId="44" fontId="10" fillId="2" borderId="0" xfId="1" applyFont="1" applyFill="1"/>
    <xf numFmtId="3" fontId="0" fillId="0" borderId="0" xfId="0" applyNumberFormat="1"/>
    <xf numFmtId="166" fontId="3" fillId="2" borderId="0" xfId="0" applyNumberFormat="1" applyFon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left"/>
    </xf>
    <xf numFmtId="0" fontId="0" fillId="3" borderId="0" xfId="0" applyFill="1"/>
    <xf numFmtId="0" fontId="9" fillId="2" borderId="12" xfId="0" applyFont="1" applyFill="1" applyBorder="1"/>
    <xf numFmtId="0" fontId="3" fillId="2" borderId="15" xfId="0" applyFont="1" applyFill="1" applyBorder="1"/>
    <xf numFmtId="0" fontId="2" fillId="0" borderId="0" xfId="1" applyNumberFormat="1" applyFont="1"/>
    <xf numFmtId="14" fontId="2" fillId="0" borderId="0" xfId="0" applyNumberFormat="1" applyFont="1"/>
    <xf numFmtId="0" fontId="0" fillId="0" borderId="0" xfId="0" quotePrefix="1" applyAlignment="1">
      <alignment wrapText="1"/>
    </xf>
    <xf numFmtId="0" fontId="2" fillId="2" borderId="0" xfId="0" applyFont="1" applyFill="1"/>
    <xf numFmtId="44" fontId="2" fillId="2" borderId="0" xfId="1" applyFont="1" applyFill="1"/>
    <xf numFmtId="0" fontId="0" fillId="0" borderId="0" xfId="0" applyNumberFormat="1"/>
  </cellXfs>
  <cellStyles count="5">
    <cellStyle name="Comma" xfId="3" builtinId="3"/>
    <cellStyle name="Currency" xfId="1" builtinId="4"/>
    <cellStyle name="Hyperlink" xfId="2" builtinId="8"/>
    <cellStyle name="Normal" xfId="0" builtinId="0"/>
    <cellStyle name="Percent" xfId="4" builtinId="5"/>
  </cellStyles>
  <dxfs count="96">
    <dxf>
      <numFmt numFmtId="34" formatCode="_(&quot;$&quot;* #,##0.00_);_(&quot;$&quot;* \(#,##0.00\);_(&quot;$&quot;* &quot;-&quot;??_);_(@_)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4" formatCode="_(&quot;$&quot;* #,##0.00_);_(&quot;$&quot;* \(#,##0.00\);_(&quot;$&quot;* &quot;-&quot;??_);_(@_)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Spectrum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'Buy List'!$R$19</c:f>
              <c:strCache>
                <c:ptCount val="1"/>
                <c:pt idx="0">
                  <c:v>75th Percentile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[0]!_75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[0]!Spectrum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C4A-4762-AFFA-467BBC705161}"/>
            </c:ext>
          </c:extLst>
        </c:ser>
        <c:ser>
          <c:idx val="2"/>
          <c:order val="2"/>
          <c:tx>
            <c:strRef>
              <c:f>'Buy List'!$R$20</c:f>
              <c:strCache>
                <c:ptCount val="1"/>
                <c:pt idx="0">
                  <c:v>80th Percentile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[0]!_80</c:f>
            </c:numRef>
          </c:val>
          <c:extLst>
            <c:ext xmlns:c16="http://schemas.microsoft.com/office/drawing/2014/chart" uri="{C3380CC4-5D6E-409C-BE32-E72D297353CC}">
              <c16:uniqueId val="{00000004-5C4A-4762-AFFA-467BBC705161}"/>
            </c:ext>
          </c:extLst>
        </c:ser>
        <c:ser>
          <c:idx val="3"/>
          <c:order val="3"/>
          <c:tx>
            <c:strRef>
              <c:f>'Buy List'!$R$21</c:f>
              <c:strCache>
                <c:ptCount val="1"/>
                <c:pt idx="0">
                  <c:v>85th Percentile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[0]!_85</c:f>
            </c:numRef>
          </c:val>
          <c:extLst>
            <c:ext xmlns:c16="http://schemas.microsoft.com/office/drawing/2014/chart" uri="{C3380CC4-5D6E-409C-BE32-E72D297353CC}">
              <c16:uniqueId val="{00000005-5C4A-4762-AFFA-467BBC705161}"/>
            </c:ext>
          </c:extLst>
        </c:ser>
        <c:ser>
          <c:idx val="4"/>
          <c:order val="4"/>
          <c:tx>
            <c:strRef>
              <c:f>'Buy List'!$R$22</c:f>
              <c:strCache>
                <c:ptCount val="1"/>
                <c:pt idx="0">
                  <c:v>90th Percentile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[0]!_90</c:f>
            </c:numRef>
          </c:val>
          <c:extLst>
            <c:ext xmlns:c16="http://schemas.microsoft.com/office/drawing/2014/chart" uri="{C3380CC4-5D6E-409C-BE32-E72D297353CC}">
              <c16:uniqueId val="{00000006-5C4A-4762-AFFA-467BBC705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96288"/>
        <c:axId val="1043996768"/>
      </c:areaChart>
      <c:lineChart>
        <c:grouping val="standard"/>
        <c:varyColors val="0"/>
        <c:ser>
          <c:idx val="0"/>
          <c:order val="0"/>
          <c:tx>
            <c:strRef>
              <c:f>'Buy List'!$U$2</c:f>
              <c:strCache>
                <c:ptCount val="1"/>
                <c:pt idx="0">
                  <c:v>Probability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[0]!Prob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[0]!Spectrum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C4A-4762-AFFA-467BBC705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996288"/>
        <c:axId val="1043996768"/>
      </c:lineChart>
      <c:catAx>
        <c:axId val="1043996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96768"/>
        <c:crosses val="autoZero"/>
        <c:auto val="1"/>
        <c:lblAlgn val="ctr"/>
        <c:lblOffset val="100"/>
        <c:noMultiLvlLbl val="0"/>
      </c:catAx>
      <c:valAx>
        <c:axId val="10439967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0_);_(* \(#,##0.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9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330572</xdr:colOff>
      <xdr:row>1</xdr:row>
      <xdr:rowOff>29135</xdr:rowOff>
    </xdr:from>
    <xdr:to>
      <xdr:col>38</xdr:col>
      <xdr:colOff>156881</xdr:colOff>
      <xdr:row>28</xdr:row>
      <xdr:rowOff>11205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43B743-E401-7A2A-3453-EE3166FF7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" refreshedDate="46207.705549768521" createdVersion="8" refreshedVersion="8" minRefreshableVersion="3" recordCount="601" xr:uid="{5477B1F1-2B4F-4FC3-9AB7-DE6B48F054CC}">
  <cacheSource type="worksheet">
    <worksheetSource ref="A1:Z602" sheet="Collection"/>
  </cacheSource>
  <cacheFields count="26">
    <cacheField name="id" numFmtId="0">
      <sharedItems containsString="0" containsBlank="1" containsNumber="1" containsInteger="1" minValue="76305" maxValue="13280701"/>
    </cacheField>
    <cacheField name="product-name" numFmtId="0">
      <sharedItems containsBlank="1"/>
    </cacheField>
    <cacheField name="console-name" numFmtId="0">
      <sharedItems containsBlank="1"/>
    </cacheField>
    <cacheField name="price-in-pennies" numFmtId="0">
      <sharedItems containsString="0" containsBlank="1" containsNumber="1" containsInteger="1" minValue="0" maxValue="28311"/>
    </cacheField>
    <cacheField name="include-string" numFmtId="0">
      <sharedItems containsBlank="1"/>
    </cacheField>
    <cacheField name="condition-string" numFmtId="0">
      <sharedItems containsBlank="1"/>
    </cacheField>
    <cacheField name="sku" numFmtId="0">
      <sharedItems containsNonDate="0" containsString="0" containsBlank="1"/>
    </cacheField>
    <cacheField name="notes" numFmtId="0">
      <sharedItems containsBlank="1"/>
    </cacheField>
    <cacheField name="cost-basis-in-pennies" numFmtId="0">
      <sharedItems containsString="0" containsBlank="1" containsNumber="1" containsInteger="1" minValue="0" maxValue="21609"/>
    </cacheField>
    <cacheField name="quantity" numFmtId="0">
      <sharedItems containsString="0" containsBlank="1" containsNumber="1" containsInteger="1" minValue="1" maxValue="1"/>
    </cacheField>
    <cacheField name="date-entered" numFmtId="14">
      <sharedItems containsNonDate="0" containsDate="1" containsString="0" containsBlank="1" minDate="2026-04-15T00:00:00" maxDate="2026-06-25T00:00:00"/>
    </cacheField>
    <cacheField name="date-purchased" numFmtId="14">
      <sharedItems containsNonDate="0" containsDate="1" containsString="0" containsBlank="1" minDate="2026-04-16T00:00:00" maxDate="2026-06-22T00:00:00"/>
    </cacheField>
    <cacheField name="grading-company" numFmtId="0">
      <sharedItems containsBlank="1"/>
    </cacheField>
    <cacheField name="grading-cert-id" numFmtId="0">
      <sharedItems containsString="0" containsBlank="1" containsNumber="1" containsInteger="1" minValue="1" maxValue="79810203"/>
    </cacheField>
    <cacheField name="folder" numFmtId="0">
      <sharedItems containsNonDate="0" containsString="0" containsBlank="1"/>
    </cacheField>
    <cacheField name="Player Label" numFmtId="0">
      <sharedItems containsBlank="1"/>
    </cacheField>
    <cacheField name="Set Name" numFmtId="0">
      <sharedItems containsBlank="1"/>
    </cacheField>
    <cacheField name="Variant" numFmtId="0">
      <sharedItems containsBlank="1"/>
    </cacheField>
    <cacheField name="Number" numFmtId="0">
      <sharedItems containsBlank="1"/>
    </cacheField>
    <cacheField name="Value" numFmtId="44">
      <sharedItems containsString="0" containsBlank="1" containsNumber="1" minValue="0" maxValue="283.11"/>
    </cacheField>
    <cacheField name="PSV Player Label" numFmtId="0">
      <sharedItems containsBlank="1" count="170">
        <s v="Cooper Flagg"/>
        <s v="Deommodore Lenoir"/>
        <s v="Kobe Bryant"/>
        <s v="Luka Doncic"/>
        <s v="Mac McClung"/>
        <s v="Michael Jordan"/>
        <s v="Spider-Man"/>
        <s v="Victor Wembanyama"/>
        <s v="Austin Reaves"/>
        <s v="Dirk Nowitzki"/>
        <s v="Gary Payton"/>
        <s v="Grant Hill"/>
        <s v="Jason Williams"/>
        <s v="Ken Griffey Jr."/>
        <s v="Mark Jackson"/>
        <s v="Nikola Jokic"/>
        <s v="Shai Gilgeous-Alexander"/>
        <s v="Tim Duncan"/>
        <s v="Tyrese Maxey"/>
        <s v="Wolverine Crippled"/>
        <s v="Allen Iverson"/>
        <s v="Alonzo Mourning"/>
        <s v="Anfernee Hardaway"/>
        <s v="Branco"/>
        <s v="Charles Barkley"/>
        <s v="Daniel Gafford"/>
        <s v="David Platt"/>
        <s v="Devin Carter"/>
        <s v="Dino Baggio"/>
        <s v="Donovan Mitchell"/>
        <s v="Earvin Johnson"/>
        <s v="Eric Wynalda"/>
        <s v="JA Morant"/>
        <s v="Jaden McDaniels"/>
        <s v="Jarrett Culver"/>
        <s v="Jayson Tatum"/>
        <s v="Joe Burrow"/>
        <s v="Joel Embiid"/>
        <s v="John Stockton"/>
        <s v="Joy Fawcett"/>
        <s v="Julie Foudy"/>
        <s v="Karl Malone"/>
        <s v="Kevin Garnett"/>
        <s v="LeBron James"/>
        <s v="Maximum Carnage"/>
        <s v="Michael Jordan / Scottie Pippen / Dennis Rodman / Toni Kukoc / Ron Harper"/>
        <s v="Michael vs. Magic"/>
        <s v="Miles Bridges"/>
        <s v="Muller"/>
        <s v="Paolo Banchero"/>
        <s v="Patrick Ewing"/>
        <s v="Patrick Mahomes II"/>
        <s v="Return of Excellence"/>
        <s v="Ruud Gullit"/>
        <s v="Sam Vincent"/>
        <s v="Scottie Pippen"/>
        <s v="Shaquille O'Neal"/>
        <s v="Spider-Demon"/>
        <s v="Stephon Castle"/>
        <s v="Stephon Marbury"/>
        <s v="Thomas Dooley"/>
        <s v="Tyrese Haliburton"/>
        <s v="Vince Carter"/>
        <s v="Yamil Benitez"/>
        <s v="Antawn Jamison"/>
        <s v="Anthony Edwards"/>
        <s v="Antoine Walker"/>
        <s v="Antonio Daniels"/>
        <s v="Antonio McDyess"/>
        <s v="Bam Adebayo"/>
        <s v="Barry Bonds"/>
        <s v="Bulls Victory Tour '95-96: Win"/>
        <s v="Cade Cunningham"/>
        <s v="Cameron Johnson"/>
        <s v="Chet Holmgren"/>
        <s v="Chris Webber"/>
        <s v="Clyde Drexler"/>
        <s v="Cobi Jones"/>
        <s v="Cotie McMahon"/>
        <s v="Damon Stoudamire"/>
        <s v="Darrell Armstrong"/>
        <s v="David Robinson"/>
        <s v="Dean Palmer"/>
        <s v="Delanie Walker"/>
        <s v="Dennis Rodman"/>
        <s v="Dylan Harper"/>
        <s v="Dyson Daniels"/>
        <s v="Edmundo"/>
        <s v="Emmitt Smith"/>
        <s v="George Pickens"/>
        <s v="Giannis Antetokounmpo"/>
        <s v="Glenn Robinson"/>
        <s v="Heathcliff Slocumb"/>
        <s v="Jaden Hardy"/>
        <s v="Jalen Brunson"/>
        <s v="Jalen Green"/>
        <s v="Jamal Murray"/>
        <s v="Jaren Jackson Jr."/>
        <s v="Jason Kidd"/>
        <s v="Jason Kidd Single"/>
        <s v="Jaylen Brown"/>
        <s v="Jerry Rice"/>
        <s v="Jerry Stackhouse"/>
        <s v="JT Toppin"/>
        <s v="Katie Lou Samuelson"/>
        <s v="Keith Van Horn"/>
        <s v="Kevin Morton"/>
        <s v="Kyrie Irving"/>
        <s v="Kyrie Irving / Luka Doncic"/>
        <s v="Larry Bird"/>
        <s v="Latrell Sprewell"/>
        <s v="Luka DoncÌŒic"/>
        <s v="Magic Johnson"/>
        <s v="Marcelo Balboa"/>
        <s v="Marcus Camby"/>
        <s v="Maurice Taylor"/>
        <s v="Maxime Raynaud"/>
        <s v="Michael Finley"/>
        <s v="Mike Bibby"/>
        <s v="Pat Lennon"/>
        <s v="Punisher 2099"/>
        <s v="Rasheed Wallace"/>
        <s v="Ray Allen"/>
        <s v="Reed Sheppard"/>
        <s v="Robert Parish"/>
        <s v="Ruben Patterson"/>
        <s v="Ryan Giggs"/>
        <s v="Shai Gilgeous Alexander"/>
        <s v="Shareef Abdur-Rahim"/>
        <s v="Shawn Kemp"/>
        <s v="Shohei Ohtani"/>
        <s v="Stephen Curry"/>
        <s v="Steve Francis"/>
        <s v="Tab Ramos"/>
        <s v="Terrence Shannon Jr."/>
        <s v="Thomas Sorber"/>
        <s v="Tim Thomas"/>
        <s v="Tracy McGrady"/>
        <s v="VJ Edgecombe"/>
        <s v="Bolivia"/>
        <s v="Caris LeVert"/>
        <s v="Chaz Lanier"/>
        <s v="Cole Anthony"/>
        <s v="Craig Lefferts"/>
        <s v="Dalton Schultz"/>
        <s v="Dereck Lively II"/>
        <s v="Draymond Green"/>
        <s v="Eddie Jones"/>
        <s v="Gheorghe MureÈ™an"/>
        <s v="Italy"/>
        <s v="James Harden"/>
        <s v="John Doyle"/>
        <s v="Jrue Holiday"/>
        <s v="Karl-Anthony Towns"/>
        <s v="Kyle Pitts"/>
        <s v="Lamar Jackson"/>
        <s v="Michael Doleac"/>
        <s v="Nolan Ryan"/>
        <s v="Romario"/>
        <s v="Statistics Keycard"/>
        <s v="Tidjane Salaun"/>
        <s v="Tim Teufel"/>
        <s v="Wim Jonk"/>
        <s v="Zetti"/>
        <m/>
        <s v="Building a Winner" u="1"/>
        <s v="Reggie Miller" u="1"/>
        <s v="De'Aaron Fox" u="1"/>
        <s v="Kevin Durant" u="1"/>
        <s v="Gheorghe Muresan" u="1"/>
      </sharedItems>
    </cacheField>
    <cacheField name="Status" numFmtId="0">
      <sharedItems containsBlank="1"/>
    </cacheField>
    <cacheField name="Count" numFmtId="0">
      <sharedItems containsString="0" containsBlank="1" containsNumber="1" containsInteger="1" minValue="0" maxValue="9"/>
    </cacheField>
    <cacheField name="Tier" numFmtId="0">
      <sharedItems containsString="0" containsBlank="1" containsNumber="1" containsInteger="1" minValue="1" maxValue="5"/>
    </cacheField>
    <cacheField name="Desired Price" numFmtId="44">
      <sharedItems containsString="0" containsBlank="1" containsNumber="1" minValue="0.25" maxValue="340"/>
    </cacheField>
    <cacheField name="Minimum Price" numFmtId="44">
      <sharedItems containsString="0" containsBlank="1" containsNumber="1" minValue="0.25" maxValue="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" refreshedDate="46207.705550347222" createdVersion="8" refreshedVersion="8" minRefreshableVersion="3" recordCount="600" xr:uid="{5E86260A-35C4-4CBD-A2F4-FF2221452D97}">
  <cacheSource type="worksheet">
    <worksheetSource ref="A1:Z601" sheet="Collection"/>
  </cacheSource>
  <cacheFields count="26">
    <cacheField name="id" numFmtId="0">
      <sharedItems containsString="0" containsBlank="1" containsNumber="1" containsInteger="1" minValue="76305" maxValue="13280701" count="520">
        <n v="11484449"/>
        <n v="11498132"/>
        <n v="10819468"/>
        <n v="12613839"/>
        <n v="12530822"/>
        <n v="87362"/>
        <n v="87296"/>
        <n v="85652"/>
        <n v="3225482"/>
        <n v="114784"/>
        <n v="116892"/>
        <n v="158107"/>
        <n v="9267400"/>
        <n v="3607580"/>
        <n v="2857292"/>
        <n v="4536815"/>
        <n v="9960699"/>
        <n v="8846235"/>
        <n v="2967050"/>
        <n v="8537652"/>
        <n v="5507557"/>
        <n v="920589"/>
        <n v="2491470"/>
        <n v="4950668"/>
        <n v="10339925"/>
        <n v="2884706"/>
        <n v="7511275"/>
        <n v="9804304"/>
        <n v="10024204"/>
        <n v="6834778"/>
        <n v="10199082"/>
        <n v="10122943"/>
        <n v="4245820"/>
        <n v="2946119"/>
        <n v="5289298"/>
        <n v="7375322"/>
        <n v="12962084"/>
        <n v="3484717"/>
        <n v="6059252"/>
        <n v="95654"/>
        <n v="4116083"/>
        <n v="9259984"/>
        <n v="5289892"/>
        <n v="10121893"/>
        <n v="5750462"/>
        <n v="2482733"/>
        <n v="2948779"/>
        <n v="8537640"/>
        <n v="9265985"/>
        <n v="5001342"/>
        <n v="2945900"/>
        <n v="4245780"/>
        <n v="6421639"/>
        <n v="6422084"/>
        <n v="4116797"/>
        <n v="5050142"/>
        <n v="10199090"/>
        <n v="3114681"/>
        <n v="8561174"/>
        <n v="3727503"/>
        <n v="8560255"/>
        <n v="8394422"/>
        <n v="8771795"/>
        <n v="8560406"/>
        <n v="6713723"/>
        <n v="4166936"/>
        <n v="4754153"/>
        <n v="8404075"/>
        <n v="4235113"/>
        <n v="6292612"/>
        <n v="6284400"/>
        <n v="5463644"/>
        <n v="8406896"/>
        <n v="9259985"/>
        <n v="2483033"/>
        <n v="5463744"/>
        <n v="11360390"/>
        <n v="13280701"/>
        <n v="3351202"/>
        <n v="89006"/>
        <n v="85372"/>
        <n v="85449"/>
        <n v="3225488"/>
        <n v="3279930"/>
        <n v="1951621"/>
        <n v="85637"/>
        <n v="8958970"/>
        <n v="154462"/>
        <n v="87370"/>
        <n v="2263220"/>
        <n v="3296094"/>
        <n v="5550603"/>
        <n v="5550606"/>
        <n v="83773"/>
        <n v="83746"/>
        <n v="2755758"/>
        <n v="3296095"/>
        <n v="93699"/>
        <n v="154635"/>
        <n v="3296099"/>
        <n v="3296097"/>
        <n v="3219585"/>
        <n v="3296098"/>
        <n v="5790767"/>
        <n v="4423452"/>
        <n v="84142"/>
        <n v="87411"/>
        <n v="80786"/>
        <n v="154660"/>
        <n v="3225703"/>
        <n v="9277532"/>
        <n v="7292331"/>
        <n v="6066827"/>
        <n v="11909426"/>
        <n v="11830213"/>
        <n v="11497700"/>
        <n v="12957424"/>
        <n v="10819453"/>
        <n v="12615262"/>
        <n v="5021346"/>
        <n v="11493558"/>
        <n v="3727445"/>
        <n v="8776006"/>
        <n v="8395765"/>
        <n v="94070"/>
        <n v="10819755"/>
        <n v="11484094"/>
        <n v="13073269"/>
        <n v="6795696"/>
        <n v="3112963"/>
        <n v="83384"/>
        <n v="10117339"/>
        <n v="90556"/>
        <n v="8802260"/>
        <n v="3229566"/>
        <n v="3607582"/>
        <n v="5862286"/>
        <n v="92303"/>
        <n v="7149970"/>
        <n v="92108"/>
        <n v="5885838"/>
        <n v="10604045"/>
        <n v="92496"/>
        <n v="8672420"/>
        <n v="8192392"/>
        <n v="10052322"/>
        <n v="93096"/>
        <n v="5837032"/>
        <n v="8950906"/>
        <n v="8355826"/>
        <n v="93345"/>
        <n v="8306386"/>
        <n v="10597436"/>
        <n v="6314978"/>
        <n v="4476384"/>
        <n v="5923661"/>
        <n v="10597513"/>
        <n v="7211541"/>
        <n v="8326198"/>
        <n v="12757105"/>
        <n v="1943272"/>
        <n v="1958261"/>
        <n v="76305"/>
        <n v="95721"/>
        <n v="8388520"/>
        <n v="112623"/>
        <n v="2892569"/>
        <n v="11829461"/>
        <n v="6059248"/>
        <n v="10190248"/>
        <n v="12643617"/>
        <n v="2535681"/>
        <n v="11496915"/>
        <n v="7511050"/>
        <n v="105679"/>
        <n v="11830175"/>
        <n v="11909462"/>
        <n v="10193263"/>
        <n v="2963876"/>
        <n v="10210719"/>
        <n v="6822796"/>
        <n v="7808017"/>
        <n v="10212324"/>
        <n v="9259816"/>
        <n v="12957398"/>
        <n v="89022"/>
        <n v="90573"/>
        <n v="10482574"/>
        <n v="10192986"/>
        <n v="6115117"/>
        <n v="85425"/>
        <n v="2290904"/>
        <n v="87390"/>
        <n v="85669"/>
        <n v="85706"/>
        <n v="94050"/>
        <n v="2988190"/>
        <n v="87438"/>
        <n v="2290991"/>
        <n v="90405"/>
        <n v="2945570"/>
        <n v="13162354"/>
        <n v="5122085"/>
        <n v="90544"/>
        <n v="80971"/>
        <n v="81091"/>
        <n v="80255"/>
        <n v="7978881"/>
        <n v="9994315"/>
        <n v="12810125"/>
        <n v="8840471"/>
        <n v="6266239"/>
        <n v="2531677"/>
        <n v="5692223"/>
        <n v="8212140"/>
        <n v="11473930"/>
        <n v="10026506"/>
        <n v="11490416"/>
        <n v="4949792"/>
        <n v="120495"/>
        <n v="120468"/>
        <n v="10697652"/>
        <n v="154422"/>
        <n v="4360264"/>
        <n v="156855"/>
        <n v="156688"/>
        <n v="11909420"/>
        <n v="12104444"/>
        <n v="12957119"/>
        <n v="8013967"/>
        <n v="2102671"/>
        <n v="7296808"/>
        <n v="6014501"/>
        <n v="12520986"/>
        <n v="131835"/>
        <n v="5419755"/>
        <n v="9646041"/>
        <n v="11586600"/>
        <n v="6136569"/>
        <n v="2730174"/>
        <n v="2730173"/>
        <n v="13159385"/>
        <n v="89046"/>
        <n v="83392"/>
        <n v="13162333"/>
        <n v="5811066"/>
        <n v="3180064"/>
        <n v="87425"/>
        <n v="147563"/>
        <n v="9781694"/>
        <n v="2489255"/>
        <n v="6284261"/>
        <n v="2945777"/>
        <n v="2945720"/>
        <n v="5079399"/>
        <n v="87401"/>
        <n v="154508"/>
        <n v="3000560"/>
        <n v="9936923"/>
        <n v="11668252"/>
        <n v="10842357"/>
        <n v="6389627"/>
        <n v="5672077"/>
        <n v="9514806"/>
        <n v="83855"/>
        <n v="8802138"/>
        <n v="77612"/>
        <n v="81413"/>
        <n v="6755014"/>
        <n v="85375"/>
        <n v="94008"/>
        <n v="87421"/>
        <n v="2984810"/>
        <n v="87821"/>
        <n v="5233999"/>
        <n v="89013"/>
        <n v="85417"/>
        <n v="2920597"/>
        <n v="2920615"/>
        <n v="85405"/>
        <n v="94020"/>
        <n v="87383"/>
        <n v="85691"/>
        <n v="3225874"/>
        <n v="87297"/>
        <n v="89458"/>
        <n v="4683555"/>
        <n v="82478"/>
        <n v="85734"/>
        <n v="93764"/>
        <n v="80566"/>
        <n v="79500"/>
        <n v="85394"/>
        <n v="83761"/>
        <n v="5079441"/>
        <n v="12623502"/>
        <n v="8780219"/>
        <n v="12950314"/>
        <n v="3310996"/>
        <n v="6591225"/>
        <n v="6740207"/>
        <n v="7376857"/>
        <n v="87847"/>
        <n v="89035"/>
        <n v="87365"/>
        <n v="87387"/>
        <n v="87435"/>
        <n v="85398"/>
        <n v="85663"/>
        <n v="87243"/>
        <n v="85421"/>
        <n v="8088869"/>
        <n v="13163236"/>
        <n v="7641306"/>
        <n v="2478471"/>
        <n v="10134970"/>
        <n v="94143"/>
        <n v="10714956"/>
        <n v="2884415"/>
        <n v="6665822"/>
        <n v="93332"/>
        <n v="3401118"/>
        <n v="358012"/>
        <n v="87247"/>
        <n v="85634"/>
        <n v="87420"/>
        <n v="7444383"/>
        <n v="83769"/>
        <n v="83770"/>
        <n v="13163232"/>
        <n v="11589448"/>
        <n v="1938193"/>
        <n v="2002325"/>
        <n v="84144"/>
        <n v="5960361"/>
        <n v="11474841"/>
        <n v="3782640"/>
        <n v="2879876"/>
        <n v="5475661"/>
        <n v="3229156"/>
        <n v="89036"/>
        <n v="6740224"/>
        <n v="90696"/>
        <n v="5058426"/>
        <n v="5670089"/>
        <n v="80961"/>
        <n v="8306388"/>
        <n v="4830876"/>
        <n v="87400"/>
        <n v="4830850"/>
        <n v="83369"/>
        <n v="2532533"/>
        <n v="2730130"/>
        <n v="12627605"/>
        <n v="4125221"/>
        <n v="83398"/>
        <n v="87397"/>
        <n v="85693"/>
        <n v="4125235"/>
        <n v="2245258"/>
        <n v="12551745"/>
        <n v="81490"/>
        <n v="2193671"/>
        <n v="10819480"/>
        <n v="4341158"/>
        <n v="11668402"/>
        <n v="1105503"/>
        <n v="12522107"/>
        <n v="4838082"/>
        <n v="2932739"/>
        <n v="4948606"/>
        <n v="3086925"/>
        <n v="6358249"/>
        <n v="11909457"/>
        <n v="2965943"/>
        <n v="10122340"/>
        <n v="5178537"/>
        <n v="2856356"/>
        <n v="92995"/>
        <n v="81386"/>
        <n v="94053"/>
        <n v="10122547"/>
        <n v="10198347"/>
        <n v="1105658"/>
        <n v="83766"/>
        <n v="12628486"/>
        <n v="12642248"/>
        <n v="11741779"/>
        <n v="89029"/>
        <n v="3102405"/>
        <n v="3834726"/>
        <n v="11830171"/>
        <n v="6355545"/>
        <n v="4343792"/>
        <n v="5468137"/>
        <n v="6835303"/>
        <n v="78022"/>
        <n v="154457"/>
        <n v="4643480"/>
        <n v="12622531"/>
        <n v="78605"/>
        <n v="7641293"/>
        <n v="7978663"/>
        <n v="7323906"/>
        <n v="8212141"/>
        <n v="2336254"/>
        <n v="11486782"/>
        <n v="83394"/>
        <n v="6303461"/>
        <n v="93419"/>
        <n v="93331"/>
        <n v="3102440"/>
        <n v="5079396"/>
        <n v="83768"/>
        <n v="83399"/>
        <n v="85400"/>
        <n v="9782911"/>
        <n v="12615114"/>
        <n v="8151713"/>
        <n v="94132"/>
        <n v="2730182"/>
        <n v="4110760"/>
        <n v="4815724"/>
        <n v="3727518"/>
        <n v="11673540"/>
        <n v="2368478"/>
        <n v="8306999"/>
        <n v="6663973"/>
        <n v="77646"/>
        <n v="11881353"/>
        <n v="10210235"/>
        <n v="9778659"/>
        <n v="95756"/>
        <n v="9265999"/>
        <n v="9943175"/>
        <n v="11497213"/>
        <n v="2973499"/>
        <n v="7641308"/>
        <n v="8555315"/>
        <n v="12102811"/>
        <n v="12986613"/>
        <n v="6654217"/>
        <n v="93011"/>
        <n v="94061"/>
        <n v="10895833"/>
        <n v="11105433"/>
        <n v="10122040"/>
        <n v="12955099"/>
        <n v="7798609"/>
        <n v="10818843"/>
        <n v="3226146"/>
        <n v="12523724"/>
        <n v="9779919"/>
        <n v="12952668"/>
        <n v="5157791"/>
        <n v="6854632"/>
        <n v="13162475"/>
        <n v="11105434"/>
        <n v="12950794"/>
        <n v="7641295"/>
        <n v="6060362"/>
        <n v="11829215"/>
        <n v="12518888"/>
        <n v="11145114"/>
        <n v="13163237"/>
        <n v="8312191"/>
        <n v="6329652"/>
        <n v="11668414"/>
        <n v="11668389"/>
        <n v="10818673"/>
        <n v="2245299"/>
        <n v="11105424"/>
        <n v="10024601"/>
        <m/>
        <n v="11909415" u="1"/>
        <n v="93989" u="1"/>
        <n v="93981" u="1"/>
        <n v="10826665" u="1"/>
        <n v="94023" u="1"/>
        <n v="2965563" u="1"/>
        <n v="94017" u="1"/>
        <n v="7723336" u="1"/>
        <n v="108730" u="1"/>
        <n v="93956" u="1"/>
        <n v="93960" u="1"/>
        <n v="85396" u="1"/>
        <n v="85431" u="1"/>
        <n v="9778816" u="1"/>
        <n v="90520" u="1"/>
        <n v="93958" u="1"/>
        <n v="87406" u="1"/>
        <n v="5134024" u="1"/>
        <n v="4951411" u="1"/>
        <n v="85401" u="1"/>
        <n v="6422089" u="1"/>
        <n v="7148998" u="1"/>
        <n v="2263350" u="1"/>
        <n v="10201287" u="1"/>
        <n v="5885939" u="1"/>
        <n v="93968" u="1"/>
        <n v="87381" u="1"/>
        <n v="12415755" u="1"/>
        <n v="4732090" u="1"/>
        <n v="145531" u="1"/>
        <n v="11830197" u="1"/>
        <n v="5158571" u="1"/>
        <n v="83402" u="1"/>
        <n v="6059234" u="1"/>
        <n v="93972" u="1"/>
        <n v="93952" u="1"/>
        <n v="6857907" u="1"/>
        <n v="93948" u="1"/>
        <n v="85723" u="1"/>
        <n v="84113" u="1"/>
        <n v="8800692" u="1"/>
        <n v="6059255" u="1"/>
        <n v="93985" u="1"/>
        <n v="7094582" u="1"/>
        <n v="93964" u="1"/>
        <n v="105646" u="1"/>
      </sharedItems>
    </cacheField>
    <cacheField name="product-name" numFmtId="0">
      <sharedItems containsBlank="1"/>
    </cacheField>
    <cacheField name="console-name" numFmtId="0">
      <sharedItems containsBlank="1"/>
    </cacheField>
    <cacheField name="price-in-pennies" numFmtId="0">
      <sharedItems containsString="0" containsBlank="1" containsNumber="1" containsInteger="1" minValue="0" maxValue="28311"/>
    </cacheField>
    <cacheField name="include-string" numFmtId="0">
      <sharedItems containsBlank="1"/>
    </cacheField>
    <cacheField name="condition-string" numFmtId="0">
      <sharedItems containsBlank="1"/>
    </cacheField>
    <cacheField name="sku" numFmtId="0">
      <sharedItems containsNonDate="0" containsString="0" containsBlank="1"/>
    </cacheField>
    <cacheField name="notes" numFmtId="0">
      <sharedItems containsBlank="1"/>
    </cacheField>
    <cacheField name="cost-basis-in-pennies" numFmtId="0">
      <sharedItems containsString="0" containsBlank="1" containsNumber="1" containsInteger="1" minValue="0" maxValue="21609"/>
    </cacheField>
    <cacheField name="quantity" numFmtId="0">
      <sharedItems containsString="0" containsBlank="1" containsNumber="1" containsInteger="1" minValue="1" maxValue="1"/>
    </cacheField>
    <cacheField name="date-entered" numFmtId="14">
      <sharedItems containsNonDate="0" containsDate="1" containsString="0" containsBlank="1" minDate="2026-04-15T00:00:00" maxDate="2026-06-25T00:00:00"/>
    </cacheField>
    <cacheField name="date-purchased" numFmtId="14">
      <sharedItems containsNonDate="0" containsDate="1" containsString="0" containsBlank="1" minDate="2026-04-16T00:00:00" maxDate="2026-06-22T00:00:00"/>
    </cacheField>
    <cacheField name="grading-company" numFmtId="0">
      <sharedItems containsBlank="1"/>
    </cacheField>
    <cacheField name="grading-cert-id" numFmtId="0">
      <sharedItems containsString="0" containsBlank="1" containsNumber="1" containsInteger="1" minValue="1" maxValue="79810203"/>
    </cacheField>
    <cacheField name="folder" numFmtId="0">
      <sharedItems containsNonDate="0" containsString="0" containsBlank="1"/>
    </cacheField>
    <cacheField name="Player Label" numFmtId="0">
      <sharedItems containsBlank="1"/>
    </cacheField>
    <cacheField name="Set Name" numFmtId="0">
      <sharedItems containsBlank="1"/>
    </cacheField>
    <cacheField name="Variant" numFmtId="0">
      <sharedItems containsBlank="1"/>
    </cacheField>
    <cacheField name="Number" numFmtId="0">
      <sharedItems containsBlank="1"/>
    </cacheField>
    <cacheField name="Value" numFmtId="44">
      <sharedItems containsString="0" containsBlank="1" containsNumber="1" minValue="0" maxValue="283.11"/>
    </cacheField>
    <cacheField name="PSV Player Label" numFmtId="0">
      <sharedItems containsBlank="1" count="171">
        <s v="Cooper Flagg"/>
        <s v="Deommodore Lenoir"/>
        <s v="Kobe Bryant"/>
        <s v="Luka Doncic"/>
        <s v="Mac McClung"/>
        <s v="Michael Jordan"/>
        <s v="Spider-Man"/>
        <s v="Victor Wembanyama"/>
        <s v="Austin Reaves"/>
        <s v="Dirk Nowitzki"/>
        <s v="Gary Payton"/>
        <s v="Grant Hill"/>
        <s v="Jason Williams"/>
        <s v="Ken Griffey Jr."/>
        <s v="Mark Jackson"/>
        <s v="Nikola Jokic"/>
        <s v="Shai Gilgeous-Alexander"/>
        <s v="Tim Duncan"/>
        <s v="Tyrese Maxey"/>
        <s v="Wolverine Crippled"/>
        <s v="Allen Iverson"/>
        <s v="Alonzo Mourning"/>
        <s v="Anfernee Hardaway"/>
        <s v="Branco"/>
        <s v="Charles Barkley"/>
        <s v="Daniel Gafford"/>
        <s v="David Platt"/>
        <s v="Devin Carter"/>
        <s v="Dino Baggio"/>
        <s v="Donovan Mitchell"/>
        <s v="Earvin Johnson"/>
        <s v="Eric Wynalda"/>
        <s v="JA Morant"/>
        <s v="Jaden McDaniels"/>
        <s v="Jarrett Culver"/>
        <s v="Jayson Tatum"/>
        <s v="Joe Burrow"/>
        <s v="Joel Embiid"/>
        <s v="John Stockton"/>
        <s v="Joy Fawcett"/>
        <s v="Julie Foudy"/>
        <s v="Karl Malone"/>
        <s v="Kevin Garnett"/>
        <s v="LeBron James"/>
        <s v="Maximum Carnage"/>
        <s v="Michael Jordan / Scottie Pippen / Dennis Rodman / Toni Kukoc / Ron Harper"/>
        <s v="Michael vs. Magic"/>
        <s v="Miles Bridges"/>
        <s v="Muller"/>
        <s v="Paolo Banchero"/>
        <s v="Patrick Ewing"/>
        <s v="Patrick Mahomes II"/>
        <s v="Return of Excellence"/>
        <s v="Ruud Gullit"/>
        <s v="Sam Vincent"/>
        <s v="Scottie Pippen"/>
        <s v="Shaquille O'Neal"/>
        <s v="Spider-Demon"/>
        <s v="Stephon Castle"/>
        <s v="Stephon Marbury"/>
        <s v="Thomas Dooley"/>
        <s v="Tyrese Haliburton"/>
        <s v="Vince Carter"/>
        <s v="Yamil Benitez"/>
        <s v="Antawn Jamison"/>
        <s v="Anthony Edwards"/>
        <s v="Antoine Walker"/>
        <s v="Antonio Daniels"/>
        <s v="Antonio McDyess"/>
        <s v="Bam Adebayo"/>
        <s v="Barry Bonds"/>
        <s v="Bulls Victory Tour '95-96: Win"/>
        <s v="Cade Cunningham"/>
        <s v="Cameron Johnson"/>
        <s v="Chet Holmgren"/>
        <s v="Chris Webber"/>
        <s v="Clyde Drexler"/>
        <s v="Cobi Jones"/>
        <s v="Cotie McMahon"/>
        <s v="Damon Stoudamire"/>
        <s v="Darrell Armstrong"/>
        <s v="David Robinson"/>
        <s v="Dean Palmer"/>
        <s v="Delanie Walker"/>
        <s v="Dennis Rodman"/>
        <s v="Dylan Harper"/>
        <s v="Dyson Daniels"/>
        <s v="Edmundo"/>
        <s v="Emmitt Smith"/>
        <s v="George Pickens"/>
        <s v="Giannis Antetokounmpo"/>
        <s v="Glenn Robinson"/>
        <s v="Heathcliff Slocumb"/>
        <s v="Jaden Hardy"/>
        <s v="Jalen Brunson"/>
        <s v="Jalen Green"/>
        <s v="Jamal Murray"/>
        <s v="Jaren Jackson Jr."/>
        <s v="Jason Kidd"/>
        <s v="Jason Kidd Single"/>
        <s v="Jaylen Brown"/>
        <s v="Jerry Rice"/>
        <s v="Jerry Stackhouse"/>
        <s v="JT Toppin"/>
        <s v="Katie Lou Samuelson"/>
        <s v="Keith Van Horn"/>
        <s v="Kevin Morton"/>
        <s v="Kyrie Irving"/>
        <s v="Kyrie Irving / Luka Doncic"/>
        <s v="Larry Bird"/>
        <s v="Latrell Sprewell"/>
        <s v="Luka DoncÌŒic"/>
        <s v="Magic Johnson"/>
        <s v="Marcelo Balboa"/>
        <s v="Marcus Camby"/>
        <s v="Maurice Taylor"/>
        <s v="Maxime Raynaud"/>
        <s v="Michael Finley"/>
        <s v="Mike Bibby"/>
        <s v="Pat Lennon"/>
        <s v="Punisher 2099"/>
        <s v="Rasheed Wallace"/>
        <s v="Ray Allen"/>
        <s v="Reed Sheppard"/>
        <s v="Robert Parish"/>
        <s v="Ruben Patterson"/>
        <s v="Ryan Giggs"/>
        <s v="Shai Gilgeous Alexander"/>
        <s v="Shareef Abdur-Rahim"/>
        <s v="Shawn Kemp"/>
        <s v="Shohei Ohtani"/>
        <s v="Stephen Curry"/>
        <s v="Steve Francis"/>
        <s v="Tab Ramos"/>
        <s v="Terrence Shannon Jr."/>
        <s v="Thomas Sorber"/>
        <s v="Tim Thomas"/>
        <s v="Tracy McGrady"/>
        <s v="VJ Edgecombe"/>
        <s v="Bolivia"/>
        <s v="Caris LeVert"/>
        <s v="Chaz Lanier"/>
        <s v="Cole Anthony"/>
        <s v="Craig Lefferts"/>
        <s v="Dalton Schultz"/>
        <s v="Dereck Lively II"/>
        <s v="Draymond Green"/>
        <s v="Eddie Jones"/>
        <s v="Gheorghe MureÈ™an"/>
        <s v="Italy"/>
        <s v="James Harden"/>
        <s v="John Doyle"/>
        <s v="Jrue Holiday"/>
        <s v="Karl-Anthony Towns"/>
        <s v="Kyle Pitts"/>
        <s v="Lamar Jackson"/>
        <s v="Michael Doleac"/>
        <s v="Nolan Ryan"/>
        <s v="Romario"/>
        <s v="Statistics Keycard"/>
        <s v="Tidjane Salaun"/>
        <s v="Tim Teufel"/>
        <s v="Wim Jonk"/>
        <s v="Zetti"/>
        <m/>
        <s v="Building a Winner" u="1"/>
        <s v="Gheorghe Muresan" u="1"/>
        <s v="Reggie Miller" u="1"/>
        <s v="Kevin Durant" u="1"/>
        <s v="De'Aaron Fox" u="1"/>
        <s v="Devonte' Graham" u="1"/>
      </sharedItems>
    </cacheField>
    <cacheField name="Status" numFmtId="0">
      <sharedItems containsBlank="1"/>
    </cacheField>
    <cacheField name="Count" numFmtId="0">
      <sharedItems containsString="0" containsBlank="1" containsNumber="1" containsInteger="1" minValue="0" maxValue="9"/>
    </cacheField>
    <cacheField name="Tier" numFmtId="0">
      <sharedItems containsString="0" containsBlank="1" containsNumber="1" containsInteger="1" minValue="1" maxValue="5"/>
    </cacheField>
    <cacheField name="Desired Price" numFmtId="44">
      <sharedItems containsString="0" containsBlank="1" containsNumber="1" minValue="0.25" maxValue="340"/>
    </cacheField>
    <cacheField name="Minimum Price" numFmtId="44">
      <sharedItems containsString="0" containsBlank="1" containsNumber="1" minValue="0.25" maxValue="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" refreshedDate="46207.705550694445" createdVersion="8" refreshedVersion="8" minRefreshableVersion="3" recordCount="231" xr:uid="{A7E01471-4E45-4F78-A9E3-35EF4B661CA6}">
  <cacheSource type="worksheet">
    <worksheetSource ref="B3:Y234" sheet="Purchase Log"/>
  </cacheSource>
  <cacheFields count="24">
    <cacheField name="Status" numFmtId="0">
      <sharedItems/>
    </cacheField>
    <cacheField name="Seller" numFmtId="0">
      <sharedItems count="51">
        <s v="Hoot2000"/>
        <s v="kenjay_cards"/>
        <s v="Tanner346"/>
        <s v="Capital_Sports"/>
        <s v="NorCal_Collector"/>
        <s v="Tasrelics"/>
        <s v="djbsports"/>
        <s v="iceball"/>
        <s v="jrtcardsandcollectibles"/>
        <s v="cardboardbeast"/>
        <s v="plymouthsportscards"/>
        <s v="grizzkid"/>
        <s v="gogreen_sportscards"/>
        <s v="jaytheselller"/>
        <s v="hotmamajamacards"/>
        <s v="swansonscards"/>
        <s v="demarco210"/>
        <s v="card_fire"/>
        <s v="millenniumcards"/>
        <s v="sbgcards"/>
        <s v="chubbayboy"/>
        <s v="pullwax"/>
        <s v="gerberlifebb"/>
        <s v="wesperiod"/>
        <s v="jurcar"/>
        <s v="fzmn77"/>
        <s v="wadek2332"/>
        <s v="everydaysingles"/>
        <s v="blakewaldron4"/>
        <s v="jayspopup"/>
        <s v="colexcardco"/>
        <s v="grazicards"/>
        <s v="sycotik"/>
        <s v="ritchievault"/>
        <s v="noketownstar32"/>
        <s v="ronnierippzcards"/>
        <s v="kadenjc1"/>
        <s v="kidds_cards"/>
        <s v="mc_sportscards"/>
        <s v="pbdreamlove"/>
        <s v="cardyoinkers"/>
        <s v="revivecollectibles"/>
        <s v="cardseal"/>
        <s v="jjcards23"/>
        <s v="dcollectorsclub"/>
        <s v="brash1986"/>
        <s v="stealsndealscollectibles"/>
        <s v="peba_66"/>
        <s v="freddievar84"/>
        <s v="kassab_cards"/>
        <s v="msuburress"/>
      </sharedItems>
    </cacheField>
    <cacheField name="Date Purchased" numFmtId="14">
      <sharedItems containsSemiMixedTypes="0" containsNonDate="0" containsDate="1" containsString="0" minDate="2026-05-03T00:00:00" maxDate="2026-06-11T00:00:00"/>
    </cacheField>
    <cacheField name="Show#" numFmtId="0">
      <sharedItems containsMixedTypes="1" containsNumber="1" containsInteger="1" minValue="1" maxValue="1352"/>
    </cacheField>
    <cacheField name="Price" numFmtId="44">
      <sharedItems containsSemiMixedTypes="0" containsString="0" containsNumber="1" minValue="-22.05" maxValue="190"/>
    </cacheField>
    <cacheField name="Shipping" numFmtId="44">
      <sharedItems containsSemiMixedTypes="0" containsString="0" containsNumber="1" minValue="0" maxValue="8.6"/>
    </cacheField>
    <cacheField name="Tax" numFmtId="44">
      <sharedItems containsSemiMixedTypes="0" containsString="0" containsNumber="1" minValue="0" maxValue="20.09"/>
    </cacheField>
    <cacheField name="Player" numFmtId="0">
      <sharedItems/>
    </cacheField>
    <cacheField name="ID" numFmtId="0">
      <sharedItems containsBlank="1" containsMixedTypes="1" containsNumber="1" containsInteger="1" minValue="92496" maxValue="13280701"/>
    </cacheField>
    <cacheField name="Item #" numFmtId="0">
      <sharedItems containsMixedTypes="1" containsNumber="1" containsInteger="1" minValue="6" maxValue="79810203"/>
    </cacheField>
    <cacheField name="Link" numFmtId="0">
      <sharedItems/>
    </cacheField>
    <cacheField name="TEXT" numFmtId="0">
      <sharedItems/>
    </cacheField>
    <cacheField name="CONCAT" numFmtId="0">
      <sharedItems/>
    </cacheField>
    <cacheField name="WhatNot Total" numFmtId="44">
      <sharedItems containsSemiMixedTypes="0" containsString="0" containsNumber="1" minValue="-22.05" maxValue="216.09"/>
    </cacheField>
    <cacheField name="Adjusted Shipping" numFmtId="44">
      <sharedItems containsSemiMixedTypes="0" containsString="0" containsNumber="1" minValue="0" maxValue="8.6"/>
    </cacheField>
    <cacheField name="Adjusted Price/Shipping" numFmtId="44">
      <sharedItems containsSemiMixedTypes="0" containsString="0" containsNumber="1" minValue="-19.62" maxValue="196"/>
    </cacheField>
    <cacheField name="Adjusted Tax" numFmtId="44">
      <sharedItems containsSemiMixedTypes="0" containsString="0" containsNumber="1" minValue="0" maxValue="20.09"/>
    </cacheField>
    <cacheField name="Adjusted Total" numFmtId="44">
      <sharedItems containsSemiMixedTypes="0" containsString="0" containsNumber="1" minValue="-19.62" maxValue="216.09"/>
    </cacheField>
    <cacheField name="Value" numFmtId="44">
      <sharedItems containsMixedTypes="1" containsNumber="1" minValue="0" maxValue="194.25"/>
    </cacheField>
    <cacheField name="Variance" numFmtId="44">
      <sharedItems containsSemiMixedTypes="0" containsString="0" containsNumber="1" minValue="-21.840000000000003" maxValue="39.574275"/>
    </cacheField>
    <cacheField name="Count" numFmtId="0">
      <sharedItems containsSemiMixedTypes="0" containsString="0" containsNumber="1" containsInteger="1" minValue="0" maxValue="5"/>
    </cacheField>
    <cacheField name="Set" numFmtId="0">
      <sharedItems/>
    </cacheField>
    <cacheField name="Description" numFmtId="0">
      <sharedItems containsMixedTypes="1" containsNumber="1" containsInteger="1" minValue="0" maxValue="0"/>
    </cacheField>
    <cacheField name="Notes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n v="11484449"/>
    <s v="Cooper Flagg #251"/>
    <s v="Basketball Cards 2025 Topps Chrome"/>
    <n v="2104"/>
    <s v="Ungraded"/>
    <s v="Normal wear"/>
    <m/>
    <s v="eBay"/>
    <n v="2944"/>
    <n v="1"/>
    <d v="2026-04-21T00:00:00"/>
    <d v="2026-04-20T00:00:00"/>
    <m/>
    <n v="13"/>
    <m/>
    <s v="Cooper Flagg"/>
    <s v="2025 Topps Chrome"/>
    <s v="-"/>
    <s v="251"/>
    <n v="21.04"/>
    <x v="0"/>
    <s v="Keep"/>
    <n v="1"/>
    <n v="1"/>
    <n v="35"/>
    <n v="21"/>
  </r>
  <r>
    <n v="11484449"/>
    <s v="Cooper Flagg #251"/>
    <s v="Basketball Cards 2025 Topps Chrome"/>
    <n v="2104"/>
    <s v="Ungraded"/>
    <s v="Normal wear"/>
    <m/>
    <s v="&quot;whatnot.com/order/JCCEshFbNE7KuEUh3Kjd6B_x000d__x000a_$15.00 + $1.05 (Shared Shipping) + $1.65 Tax = Total of $17.70&quot;"/>
    <n v="1770"/>
    <n v="1"/>
    <d v="2026-06-10T00:00:00"/>
    <d v="2026-06-09T00:00:00"/>
    <m/>
    <n v="14"/>
    <m/>
    <s v="Cooper Flagg"/>
    <s v="2025 Topps Chrome"/>
    <s v="-"/>
    <s v="251"/>
    <n v="21.04"/>
    <x v="0"/>
    <s v="For Sale"/>
    <n v="1"/>
    <n v="1"/>
    <n v="25"/>
    <n v="18"/>
  </r>
  <r>
    <n v="11498132"/>
    <s v="Cooper Flagg #SY-11"/>
    <s v="Basketball Cards 2025 Topps Chrome Serenity"/>
    <n v="1311"/>
    <s v="Ungraded"/>
    <s v="Normal wear"/>
    <m/>
    <s v="&quot;https://www.whatnot.com/order/P6hZiMYk2ffSa8sLEMVeWQ_x000d__x000a_$0.00 + $0.91 (Shared Shipping) + $0.09 Tax = Total of $1.00&quot;"/>
    <n v="100"/>
    <n v="1"/>
    <d v="2026-06-01T00:00:00"/>
    <d v="2026-05-31T00:00:00"/>
    <m/>
    <n v="26"/>
    <m/>
    <s v="Cooper Flagg"/>
    <s v="2025 Topps Chrome Serenity"/>
    <s v="-"/>
    <s v="SY-11"/>
    <n v="13.11"/>
    <x v="0"/>
    <s v="For Sale"/>
    <n v="1"/>
    <n v="1"/>
    <n v="16"/>
    <n v="1"/>
  </r>
  <r>
    <n v="10819468"/>
    <s v="Cooper Flagg #201"/>
    <s v="Basketball Cards 2025 Topps"/>
    <n v="488"/>
    <s v="Ungraded"/>
    <s v="Normal wear"/>
    <m/>
    <s v="&quot;https://www.whatnot.com/order/WKa7ntNswTBEf2VahSBtgB_x000d__x000a_$4.00 + $0.55 (Shared Shipping) + $0.47 Tax = Total of $5.01&quot;"/>
    <n v="501"/>
    <n v="1"/>
    <d v="2026-05-12T00:00:00"/>
    <d v="2026-05-10T00:00:00"/>
    <m/>
    <n v="129"/>
    <m/>
    <s v="Cooper Flagg"/>
    <s v="2025 Topps"/>
    <s v="-"/>
    <s v="201"/>
    <n v="4.88"/>
    <x v="0"/>
    <s v="For Sale"/>
    <n v="1"/>
    <n v="1"/>
    <n v="6"/>
    <n v="5"/>
  </r>
  <r>
    <n v="12613839"/>
    <s v="Cooper Flagg #1"/>
    <s v="Basketball Cards 2025 Bowman"/>
    <n v="371"/>
    <s v="Ungraded"/>
    <s v="Normal wear"/>
    <m/>
    <s v="&quot;https://www.whatnot.com/order/cVAH6c2Ha2VVKr4oHxHUDo_x000d__x000a_$2.00 + $4.55 (Shared Shipping) + $0.67 Tax = Total of $7.22&quot;"/>
    <n v="722"/>
    <n v="1"/>
    <d v="2026-05-19T00:00:00"/>
    <d v="2026-05-19T00:00:00"/>
    <m/>
    <n v="149"/>
    <m/>
    <s v="Cooper Flagg"/>
    <s v="2025 Bowman"/>
    <s v="-"/>
    <s v="1"/>
    <n v="3.71"/>
    <x v="0"/>
    <s v="For Sale"/>
    <n v="1"/>
    <n v="1"/>
    <n v="9"/>
    <n v="4"/>
  </r>
  <r>
    <n v="12530822"/>
    <s v="Deommodore Lenoir #269"/>
    <s v="Football Cards 2025 Topps Chrome"/>
    <n v="1231"/>
    <s v="Ungraded"/>
    <s v="Normal wear"/>
    <m/>
    <m/>
    <n v="0"/>
    <n v="1"/>
    <d v="2026-05-30T00:00:00"/>
    <m/>
    <m/>
    <n v="526"/>
    <m/>
    <s v="Deommodore Lenoir"/>
    <s v="2025 Topps Chrome"/>
    <s v="-"/>
    <s v="269"/>
    <n v="12.31"/>
    <x v="1"/>
    <s v="For Sale"/>
    <n v="1"/>
    <n v="1"/>
    <n v="15"/>
    <n v="12"/>
  </r>
  <r>
    <n v="87362"/>
    <s v="Kobe Bryant #R10"/>
    <s v="Basketball Cards 1996 Upper Deck Rookie Exclusives"/>
    <n v="5550"/>
    <s v="Ungraded"/>
    <s v="Normal wear"/>
    <m/>
    <m/>
    <n v="0"/>
    <n v="1"/>
    <d v="2026-04-15T00:00:00"/>
    <m/>
    <m/>
    <n v="2"/>
    <m/>
    <s v="Kobe Bryant"/>
    <s v="1996 Upper Deck Rookie Exclusives"/>
    <s v="-"/>
    <s v="R10"/>
    <n v="55.5"/>
    <x v="2"/>
    <s v="Keep"/>
    <n v="0"/>
    <n v="1"/>
    <n v="67"/>
    <n v="56"/>
  </r>
  <r>
    <n v="87296"/>
    <s v="Kobe Bryant #52"/>
    <s v="Basketball Cards 1996 Ultra"/>
    <n v="4475"/>
    <s v="Ungraded"/>
    <s v="Normal wear"/>
    <m/>
    <m/>
    <n v="0"/>
    <n v="1"/>
    <d v="2026-04-15T00:00:00"/>
    <m/>
    <m/>
    <n v="4"/>
    <m/>
    <s v="Kobe Bryant"/>
    <s v="1996 Ultra"/>
    <s v="-"/>
    <s v="52"/>
    <n v="44.75"/>
    <x v="2"/>
    <s v="For Sale"/>
    <n v="1"/>
    <n v="1"/>
    <n v="54"/>
    <n v="45"/>
  </r>
  <r>
    <n v="85652"/>
    <s v="Kobe Bryant #55"/>
    <s v="Basketball Cards 1996 Skybox Premium"/>
    <n v="3697"/>
    <s v="Ungraded"/>
    <s v="Normal wear"/>
    <m/>
    <m/>
    <n v="0"/>
    <n v="1"/>
    <d v="2026-04-15T00:00:00"/>
    <m/>
    <m/>
    <n v="5"/>
    <m/>
    <s v="Kobe Bryant"/>
    <s v="1996 Skybox Premium"/>
    <s v="-"/>
    <s v="55"/>
    <n v="36.97"/>
    <x v="2"/>
    <s v="For Sale"/>
    <n v="1"/>
    <n v="1"/>
    <n v="44"/>
    <n v="37"/>
  </r>
  <r>
    <n v="3225482"/>
    <s v="Kobe Bryant #31"/>
    <s v="Basketball Cards 1997 Fleer Million Dollar Moments"/>
    <n v="299"/>
    <s v="Ungraded"/>
    <s v="Normal wear"/>
    <m/>
    <m/>
    <n v="0"/>
    <n v="1"/>
    <d v="2026-06-13T00:00:00"/>
    <m/>
    <m/>
    <n v="192"/>
    <m/>
    <s v="Kobe Bryant"/>
    <s v="1997 Fleer Million Dollar Moments"/>
    <s v="-"/>
    <s v="31"/>
    <n v="2.99"/>
    <x v="2"/>
    <s v="For Sale"/>
    <n v="1"/>
    <n v="1"/>
    <n v="4"/>
    <n v="3"/>
  </r>
  <r>
    <n v="114784"/>
    <s v="Luka Doncic #280"/>
    <s v="Basketball Cards 2018 Panini Prizm"/>
    <n v="19425"/>
    <s v="PSA 10"/>
    <s v="Normal wear"/>
    <m/>
    <s v="&quot;https://order.ebay.com/ord/show?orderId=04-14670-36767&amp;purchaseOrderId=04-1467-036766#/_x000d__x000a_$190.00 + $6.00 (Shared Shipping) + $20.09 Tax = Total of $216.09&quot;"/>
    <n v="21609"/>
    <n v="1"/>
    <d v="2026-05-20T00:00:00"/>
    <d v="2026-05-19T00:00:00"/>
    <s v="PSA"/>
    <n v="44578691"/>
    <m/>
    <s v="Luka Doncic"/>
    <s v="2018 Panini Prizm"/>
    <s v="-"/>
    <s v="280"/>
    <n v="194.25"/>
    <x v="3"/>
    <s v="Keep"/>
    <n v="0"/>
    <n v="1"/>
    <n v="259"/>
    <n v="194"/>
  </r>
  <r>
    <n v="116892"/>
    <s v="Luka Doncic #122"/>
    <s v="Basketball Cards 2018 Panini Status"/>
    <n v="12000"/>
    <s v="PSA 10"/>
    <s v="Normal wear"/>
    <m/>
    <s v="$85.00 + Shipping $5.75 + Tax $9.30 = $100.05"/>
    <n v="10005"/>
    <n v="1"/>
    <d v="2026-06-19T00:00:00"/>
    <d v="2026-06-13T00:00:00"/>
    <s v="PSA"/>
    <n v="78077713"/>
    <m/>
    <s v="Luka Doncic"/>
    <s v="2018 Panini Status"/>
    <s v="-"/>
    <s v="122"/>
    <n v="120"/>
    <x v="3"/>
    <s v="For Sale"/>
    <n v="1"/>
    <n v="1"/>
    <n v="144"/>
    <n v="100"/>
  </r>
  <r>
    <n v="158107"/>
    <s v="Luka Doncic #3"/>
    <s v="Basketball Cards 2018 Panini Hoops Class of 2018"/>
    <n v="1849"/>
    <s v="Ungraded"/>
    <s v="Normal wear"/>
    <m/>
    <s v="Traded for Victor Wembanyama #HP-VW 2025 Topps Match Attax Hot Prospects valued at $7.34"/>
    <n v="734"/>
    <n v="1"/>
    <d v="2026-06-16T00:00:00"/>
    <d v="2026-06-13T00:00:00"/>
    <m/>
    <n v="16"/>
    <m/>
    <s v="Luka Doncic"/>
    <s v="2018 Panini Hoops Class of 2018"/>
    <s v="-"/>
    <s v="3"/>
    <n v="18.489999999999998"/>
    <x v="3"/>
    <s v="For Sale"/>
    <n v="1"/>
    <n v="1"/>
    <n v="22"/>
    <n v="7"/>
  </r>
  <r>
    <n v="9267400"/>
    <s v="Luka Doncic [Blue Astro] #9"/>
    <s v="Basketball Cards 2024 Panini Revolution Star Gazing"/>
    <n v="1400"/>
    <s v="Ungraded"/>
    <s v="Normal wear"/>
    <m/>
    <s v="&quot;whatnot.com/order/n8cE95JzPotDagv8zS8364_x000d__x000a_$11.00 + $1.05 (Shared Shipping) + $1.24 Tax = Total of $13.29&quot;"/>
    <n v="1329"/>
    <n v="1"/>
    <d v="2026-06-10T00:00:00"/>
    <d v="2026-06-09T00:00:00"/>
    <m/>
    <n v="23"/>
    <m/>
    <s v="Luka Doncic"/>
    <s v="2024 Panini Revolution Star Gazing"/>
    <s v="Blue Astro"/>
    <s v="9"/>
    <n v="14"/>
    <x v="3"/>
    <s v="For Sale"/>
    <n v="1"/>
    <n v="1"/>
    <n v="17"/>
    <n v="13"/>
  </r>
  <r>
    <n v="3607580"/>
    <s v="Luka Doncic #5"/>
    <s v="Basketball Cards 2020 Panini Hoops SLAM"/>
    <n v="1151"/>
    <s v="Ungraded"/>
    <s v="Normal wear"/>
    <m/>
    <s v="&quot;https://www.ebay.com/itm/318340938096_x000d__x000a_$8.50 + $1.32 (Shared Shipping) + $1.01 Tax = Total of $10.83&quot;"/>
    <n v="1083"/>
    <n v="1"/>
    <d v="2026-05-29T00:00:00"/>
    <d v="2026-05-28T00:00:00"/>
    <m/>
    <n v="29"/>
    <m/>
    <s v="Luka Doncic"/>
    <s v="2020 Panini Hoops SLAM"/>
    <s v="-"/>
    <s v="5"/>
    <n v="11.51"/>
    <x v="3"/>
    <s v="Keep"/>
    <n v="0"/>
    <n v="1"/>
    <n v="14"/>
    <n v="11"/>
  </r>
  <r>
    <n v="2857292"/>
    <s v="Luka Doncic [Teal] #15"/>
    <s v="Basketball Cards 2019 Panini Chronicles"/>
    <n v="587"/>
    <s v="Ungraded"/>
    <s v="Normal wear"/>
    <m/>
    <s v="&quot;https://www.whatnot.com/order/THjJHwGpnJ2cNFaSnvcckW_x000d__x000a_$1.00 + $1.00 (Shared Shipping) + $0.21 Tax = Total of $2.21&quot;"/>
    <n v="221"/>
    <n v="1"/>
    <d v="2026-05-12T00:00:00"/>
    <d v="2026-05-08T00:00:00"/>
    <m/>
    <n v="110"/>
    <m/>
    <s v="Luka Doncic"/>
    <s v="2019 Panini Chronicles"/>
    <s v="Teal"/>
    <s v="15"/>
    <n v="5.87"/>
    <x v="3"/>
    <s v="For Sale"/>
    <n v="1"/>
    <n v="1"/>
    <n v="7"/>
    <n v="2"/>
  </r>
  <r>
    <n v="4536815"/>
    <s v="Luka Doncic [Holo] #15"/>
    <s v="Basketball Cards 2020 Panini Donruss Optic Splash"/>
    <n v="418"/>
    <s v="Ungraded"/>
    <s v="Normal wear"/>
    <m/>
    <s v="&quot;https://www.whatnot.com/order/F9dPhgureZfuamzmCSWsoz_x000d__x000a_$2.00 + $1.39 (Shared Shipping) + $0.35 Tax = Total of $3.74&quot;"/>
    <n v="374"/>
    <n v="1"/>
    <d v="2026-06-01T00:00:00"/>
    <d v="2026-05-31T00:00:00"/>
    <m/>
    <n v="132"/>
    <m/>
    <s v="Luka Doncic"/>
    <s v="2020 Panini Donruss Optic Splash"/>
    <s v="Holo"/>
    <s v="15"/>
    <n v="4.18"/>
    <x v="3"/>
    <s v="For Sale"/>
    <n v="1"/>
    <n v="1"/>
    <n v="5"/>
    <n v="4"/>
  </r>
  <r>
    <n v="9960699"/>
    <s v="Luka Doncic [Green] #10"/>
    <s v="Basketball Cards 2024 Panini Mosaic Epic Performers"/>
    <n v="311"/>
    <s v="Ungraded"/>
    <s v="Normal wear"/>
    <m/>
    <s v="&quot;whatnot.com/order/3YdoTRkTxViD7gGBZ6h9iY_x000d__x000a_$2.00 + $0.63 (Shared Shipping) + $0.27 Tax = Total of $2.90&quot;"/>
    <n v="290"/>
    <n v="1"/>
    <d v="2026-05-12T00:00:00"/>
    <d v="2026-05-13T00:00:00"/>
    <m/>
    <n v="155"/>
    <m/>
    <s v="Luka Doncic"/>
    <s v="2024 Panini Mosaic Epic Performers"/>
    <s v="Green"/>
    <s v="10"/>
    <n v="3.11"/>
    <x v="3"/>
    <s v="For Sale"/>
    <n v="2"/>
    <n v="1"/>
    <n v="4"/>
    <n v="2.5"/>
  </r>
  <r>
    <n v="9960699"/>
    <s v="Luka Doncic [Green] #10"/>
    <s v="Basketball Cards 2024 Panini Mosaic Epic Performers"/>
    <n v="311"/>
    <s v="Ungraded"/>
    <s v="Normal wear"/>
    <m/>
    <s v="&quot;whatnot.com/order/7eozouSEnosHtokHHfAAYH_x000d__x000a_$1.67 + $1.02 (Shared Shipping) + $0.28 Tax = Total of $2.97&quot;"/>
    <n v="297"/>
    <n v="1"/>
    <d v="2026-06-10T00:00:00"/>
    <d v="2026-05-08T00:00:00"/>
    <m/>
    <n v="156"/>
    <m/>
    <s v="Luka Doncic"/>
    <s v="2024 Panini Mosaic Epic Performers"/>
    <s v="Green"/>
    <s v="10"/>
    <n v="3.11"/>
    <x v="3"/>
    <s v="For Sale"/>
    <n v="2"/>
    <n v="1"/>
    <n v="4"/>
    <n v="3"/>
  </r>
  <r>
    <n v="8846235"/>
    <s v="Luka Doncic [Green] #89"/>
    <s v="Basketball Cards 2024 Panini Prizm"/>
    <n v="302"/>
    <s v="Ungraded"/>
    <s v="Normal wear"/>
    <m/>
    <s v="&quot;https://www.whatnot.com/order/Qz7U5ppnESxTUaQq9NtVok_x000d__x000a_$2.00 + $0.55 (Shared Shipping) + $0.26 Tax = Total of $2.81&quot;"/>
    <n v="281"/>
    <n v="1"/>
    <d v="2026-05-12T00:00:00"/>
    <d v="2026-05-12T00:00:00"/>
    <m/>
    <n v="215"/>
    <m/>
    <s v="Luka Doncic"/>
    <s v="2024 Panini Prizm"/>
    <s v="Green"/>
    <s v="89"/>
    <n v="3.02"/>
    <x v="3"/>
    <s v="For Sale"/>
    <n v="1"/>
    <n v="1"/>
    <n v="4"/>
    <n v="3"/>
  </r>
  <r>
    <n v="2967050"/>
    <s v="Luka Doncic [Sapphire] #43"/>
    <s v="Basketball Cards 2020 Panini Illusions"/>
    <n v="300"/>
    <s v="Ungraded"/>
    <s v="Normal wear"/>
    <m/>
    <s v="&quot;https://www.whatnot.com/order/QTaAU7BuEKWFVBSztLHVZt_x000d__x000a_$2.00 + $0.36 (Shared Shipping) + $0.24 Tax = Total of $2.61&quot;"/>
    <n v="261"/>
    <n v="1"/>
    <d v="2026-06-16T00:00:00"/>
    <d v="2026-05-12T00:00:00"/>
    <m/>
    <n v="176"/>
    <m/>
    <s v="Luka Doncic"/>
    <s v="2020 Panini Illusions"/>
    <s v="Sapphire"/>
    <s v="43"/>
    <n v="3"/>
    <x v="3"/>
    <s v="For Sale"/>
    <n v="1"/>
    <n v="1"/>
    <n v="4"/>
    <n v="3"/>
  </r>
  <r>
    <n v="8537652"/>
    <s v="Luka Doncic [Pink Ice] #89"/>
    <s v="Basketball Cards 2024 Panini Prizm"/>
    <n v="288"/>
    <s v="Ungraded"/>
    <s v="Normal wear"/>
    <m/>
    <s v="&quot;https://www.whatnot.com/order/aE4kEgCLAeDJfnfFh8U4bA_x000d__x000a_$4.00 + $0.78 (Shared Shipping) + $0.49 Tax = Total of $5.27&quot;"/>
    <n v="527"/>
    <n v="1"/>
    <d v="2026-05-17T00:00:00"/>
    <d v="2026-05-17T00:00:00"/>
    <m/>
    <n v="202"/>
    <m/>
    <s v="Luka Doncic"/>
    <s v="2024 Panini Prizm"/>
    <s v="Pink Ice"/>
    <s v="89"/>
    <n v="2.88"/>
    <x v="3"/>
    <s v="For Sale"/>
    <n v="1"/>
    <n v="1"/>
    <n v="6"/>
    <n v="3"/>
  </r>
  <r>
    <n v="5507557"/>
    <s v="Luka Doncic [Pink] #257"/>
    <s v="Basketball Cards 2022 Panini Chronicles"/>
    <n v="244"/>
    <s v="Ungraded"/>
    <s v="Normal wear"/>
    <m/>
    <s v="&quot;https://www.whatnot.com/order/PH2i3WhAY5rePqutCdgM8c_x000d__x000a_$1.29 + $0.29 (Shared Shipping) + $0.16 Tax = Total of $1.74&quot;"/>
    <n v="174"/>
    <n v="1"/>
    <d v="2026-05-24T00:00:00"/>
    <d v="2026-05-22T00:00:00"/>
    <m/>
    <n v="210"/>
    <m/>
    <s v="Luka Doncic"/>
    <s v="2022 Panini Chronicles"/>
    <s v="Pink"/>
    <s v="257"/>
    <n v="2.44"/>
    <x v="3"/>
    <s v="For Sale"/>
    <n v="1"/>
    <n v="1"/>
    <n v="3"/>
    <n v="1.5"/>
  </r>
  <r>
    <n v="920589"/>
    <s v="Luka Doncic #254"/>
    <s v="Basketball Cards 2019 Panini Chronicles"/>
    <n v="238"/>
    <s v="Ungraded"/>
    <s v="Normal wear"/>
    <m/>
    <s v="&quot;https://www.whatnot.com/order/GhBCHwczCmrh6F7iQjEyTX_x000d__x000a_$1.43 + $0.29 (Shared Shipping) + $0.18 Tax = Total of $1.90&quot;"/>
    <n v="190"/>
    <n v="1"/>
    <d v="2026-05-24T00:00:00"/>
    <d v="2026-05-22T00:00:00"/>
    <m/>
    <n v="336"/>
    <m/>
    <s v="Luka Doncic"/>
    <s v="2019 Panini Chronicles"/>
    <s v="-"/>
    <s v="254"/>
    <n v="2.38"/>
    <x v="3"/>
    <s v="For Sale"/>
    <n v="1"/>
    <n v="1"/>
    <n v="3"/>
    <n v="2"/>
  </r>
  <r>
    <n v="2491470"/>
    <s v="Luka Doncic [Red White Orange Shimmer] #150"/>
    <s v="Basketball Cards 2020 Panini Select"/>
    <n v="237"/>
    <s v="Ungraded"/>
    <s v="Normal wear"/>
    <m/>
    <s v="&quot;https://www.whatnot.com/order/ZtB4ZVd8p4oiJnLmAJs7tz_x000d__x000a_$2.00 + $0.78 (Shared Shipping) + $0.28 Tax = Total of $3.06&quot;"/>
    <n v="306"/>
    <n v="1"/>
    <d v="2026-05-22T00:00:00"/>
    <d v="2026-05-17T00:00:00"/>
    <m/>
    <n v="224"/>
    <m/>
    <s v="Luka Doncic"/>
    <s v="2020 Panini Select"/>
    <s v="Red White Orange Shimmer"/>
    <s v="150"/>
    <n v="2.37"/>
    <x v="3"/>
    <s v="For Sale"/>
    <n v="1"/>
    <n v="1"/>
    <n v="4"/>
    <n v="2.5"/>
  </r>
  <r>
    <n v="4950668"/>
    <s v="Luka Doncic #26"/>
    <s v="Basketball Cards 2021 Panini Mosaic Montage"/>
    <n v="236"/>
    <s v="Ungraded"/>
    <s v="Normal wear"/>
    <m/>
    <s v="&quot;https://www.whatnot.com/order/eZzEmrYrFPTX2ciq7zw7Hi_x000d__x000a_$2.00 + $0.00 (Shared Shipping) + $0.21 Tax = Total of $2.21&quot;_x000d__x000a_"/>
    <n v="221"/>
    <n v="1"/>
    <d v="2026-06-09T00:00:00"/>
    <d v="2026-06-08T00:00:00"/>
    <m/>
    <n v="220"/>
    <m/>
    <s v="Luka Doncic"/>
    <s v="2021 Panini Mosaic Montage"/>
    <s v="-"/>
    <s v="26"/>
    <n v="2.36"/>
    <x v="3"/>
    <s v="For Sale"/>
    <n v="1"/>
    <n v="1"/>
    <n v="3"/>
    <n v="2"/>
  </r>
  <r>
    <n v="10339925"/>
    <s v="Luka Doncic [Mosaic] #16"/>
    <s v="Basketball Cards 2024 Panini Mosaic Elevate"/>
    <n v="232"/>
    <s v="Ungraded"/>
    <s v="Normal wear"/>
    <m/>
    <s v="&quot;https://www.whatnot.com/order/8DwoNWn73teh8obUuAY5eP_x000d__x000a_$2.50 + $0.21 (Shared Shipping) + $0.28 Tax = Total of $2.98&quot;"/>
    <n v="298"/>
    <n v="1"/>
    <d v="2026-05-12T00:00:00"/>
    <d v="2026-05-06T00:00:00"/>
    <m/>
    <n v="216"/>
    <m/>
    <s v="Luka Doncic"/>
    <s v="2024 Panini Mosaic Elevate"/>
    <s v="Mosaic"/>
    <s v="16"/>
    <n v="2.3199999999999998"/>
    <x v="3"/>
    <s v="For Sale"/>
    <n v="1"/>
    <n v="1"/>
    <n v="4"/>
    <n v="2.5"/>
  </r>
  <r>
    <n v="2884706"/>
    <s v="Luka Doncic #29"/>
    <s v="Basketball Cards 2019 Panini Donruss Franchise Features"/>
    <n v="225"/>
    <s v="Ungraded"/>
    <s v="Normal wear"/>
    <m/>
    <s v="&quot;https://www.whatnot.com/order/BgoaXMcouJPo8C7yxmzWdd_x000d__x000a_$1.00 + $0.78 (Shared Shipping) + $0.18 Tax = Total of $1.96&quot;"/>
    <n v="196"/>
    <n v="1"/>
    <d v="2026-05-12T00:00:00"/>
    <d v="2026-05-10T00:00:00"/>
    <m/>
    <n v="228"/>
    <m/>
    <s v="Luka Doncic"/>
    <s v="2019 Panini Donruss Franchise Features"/>
    <s v="-"/>
    <s v="29"/>
    <n v="2.25"/>
    <x v="3"/>
    <s v="For Sale"/>
    <n v="1"/>
    <n v="1"/>
    <n v="3"/>
    <n v="2"/>
  </r>
  <r>
    <n v="7511275"/>
    <s v="Luka Doncic [Red Ice] #18"/>
    <s v="Basketball Cards 2023 Panini Phoenix Fade To Black"/>
    <n v="225"/>
    <s v="Ungraded"/>
    <s v="Normal wear"/>
    <m/>
    <s v="&quot;https://www.whatnot.com/order/5X36yCiHaJsMeN64D6uPLA_x000d__x000a_$1.50 + $2.28 (Shared Shipping) + $0.39 Tax = Total of $4.16&quot;"/>
    <n v="416"/>
    <n v="1"/>
    <d v="2026-05-17T00:00:00"/>
    <d v="2026-05-16T00:00:00"/>
    <m/>
    <n v="225"/>
    <m/>
    <s v="Luka Doncic"/>
    <s v="2023 Panini Phoenix Fade To Black"/>
    <s v="Red Ice"/>
    <s v="18"/>
    <n v="2.25"/>
    <x v="3"/>
    <s v="For Sale"/>
    <n v="1"/>
    <n v="1"/>
    <n v="5"/>
    <n v="2.5"/>
  </r>
  <r>
    <n v="9804304"/>
    <s v="Luka Doncic #9"/>
    <s v="Basketball Cards 2024 Panini Select En Fuego"/>
    <n v="225"/>
    <s v="Ungraded"/>
    <s v="Normal wear"/>
    <m/>
    <s v="&quot;https://www.whatnot.com/order/UJkddQRLVRPS28Tdsjeg99_x000d__x000a_$1.00 + $0.43 (Shared Shipping) + $0.15 Tax = Total of $1.57&quot;"/>
    <n v="157"/>
    <n v="1"/>
    <d v="2026-05-22T00:00:00"/>
    <d v="2026-05-19T00:00:00"/>
    <m/>
    <n v="236"/>
    <m/>
    <s v="Luka Doncic"/>
    <s v="2024 Panini Select En Fuego"/>
    <s v="-"/>
    <s v="9"/>
    <n v="2.25"/>
    <x v="3"/>
    <s v="For Sale"/>
    <n v="1"/>
    <n v="1"/>
    <n v="3"/>
    <n v="1.5"/>
  </r>
  <r>
    <n v="10024204"/>
    <s v="Luka Doncic [Green White Purple Prizm] #141"/>
    <s v="Basketball Cards 2024 Panini Select"/>
    <n v="208"/>
    <s v="Ungraded"/>
    <s v="Normal wear"/>
    <m/>
    <s v="&quot;https://www.whatnot.com/order/X5K6umEJWi23LicF99oSTD_x000d__x000a_$2.00 + $0.63 (Shared Shipping) + $0.27 Tax = Total of $2.90&quot;"/>
    <n v="290"/>
    <n v="1"/>
    <d v="2026-05-14T00:00:00"/>
    <d v="2026-05-13T00:00:00"/>
    <m/>
    <n v="240"/>
    <m/>
    <s v="Luka Doncic"/>
    <s v="2024 Panini Select"/>
    <s v="Green White Purple Prizm"/>
    <s v="141"/>
    <n v="2.08"/>
    <x v="3"/>
    <s v="For Sale"/>
    <n v="1"/>
    <n v="1"/>
    <n v="3"/>
    <n v="2"/>
  </r>
  <r>
    <n v="6834778"/>
    <s v="Luka Doncic  [Purple] #13"/>
    <s v="Basketball Cards 2023 Donruss Optic Express Lane"/>
    <n v="205"/>
    <s v="Ungraded"/>
    <s v="Normal wear"/>
    <m/>
    <s v="&quot;https://www.whatnot.com/order/N3ommW2GZtgbdFUhrqPhaC_x000d__x000a_$2.33 + $0.21 (Shared Shipping) + $0.26 Tax = Total of $2.80&quot;"/>
    <n v="280"/>
    <n v="1"/>
    <d v="2026-05-12T00:00:00"/>
    <d v="2026-05-06T00:00:00"/>
    <m/>
    <n v="312"/>
    <m/>
    <s v="Luka Doncic"/>
    <s v="2023 Donruss Optic Express Lane"/>
    <s v="Purple"/>
    <s v="13"/>
    <n v="2.0499999999999998"/>
    <x v="3"/>
    <s v="For Sale"/>
    <n v="1"/>
    <n v="1"/>
    <n v="3"/>
    <n v="2"/>
  </r>
  <r>
    <n v="10199082"/>
    <s v="Luka Doncic [Green Seismic] #214"/>
    <s v="Basketball Cards 2024 Panini Donruss Optic"/>
    <n v="204"/>
    <s v="Ungraded"/>
    <s v="Normal wear"/>
    <m/>
    <s v="&quot;https://www.whatnot.com/order/RzUW8ZqubfD3RCjL2VoBop_x000d__x000a_$2.00 + $0.63 (Shared Shipping) + $0.27 Tax = Total of $2.90&quot;"/>
    <n v="290"/>
    <n v="1"/>
    <d v="2026-05-14T00:00:00"/>
    <d v="2026-05-13T00:00:00"/>
    <m/>
    <n v="246"/>
    <m/>
    <s v="Luka Doncic"/>
    <s v="2024 Panini Donruss Optic"/>
    <s v="Green Seismic"/>
    <s v="214"/>
    <n v="2.04"/>
    <x v="3"/>
    <s v="For Sale"/>
    <n v="1"/>
    <n v="1"/>
    <n v="3"/>
    <n v="2"/>
  </r>
  <r>
    <n v="10122943"/>
    <s v="Luka Doncic [Slime] #281"/>
    <s v="Basketball Cards 2024 Panini Haunted Hoops"/>
    <n v="201"/>
    <s v="Ungraded"/>
    <s v="Normal wear"/>
    <m/>
    <s v="&quot;https://www.whatnot.com/order/NKDpWFDEF9zthvWQGx6hjv_x000d__x000a_$2.00 + $0.36 (Shared Shipping) + $0.24 Tax = Total of $2.61&quot;"/>
    <n v="261"/>
    <n v="1"/>
    <d v="2026-05-15T00:00:00"/>
    <d v="2026-05-14T00:00:00"/>
    <m/>
    <n v="207"/>
    <m/>
    <s v="Luka Doncic"/>
    <s v="2024 Panini Haunted Hoops"/>
    <s v="Slime"/>
    <s v="281"/>
    <n v="2.0099999999999998"/>
    <x v="3"/>
    <s v="For Sale"/>
    <n v="1"/>
    <n v="1"/>
    <n v="3"/>
    <n v="2"/>
  </r>
  <r>
    <n v="4245820"/>
    <s v="Luka Doncic [Blue Prizm] #7"/>
    <s v="Basketball Cards 2021 Panini Select Numbers"/>
    <n v="200"/>
    <s v="Ungraded"/>
    <s v="Normal wear"/>
    <m/>
    <s v="&quot;https://www.whatnot.com/order/UJkddQRLVRPS28Tdsjeg99_x000d__x000a_$1.00 + $0.43 (Shared Shipping) + $0.15 Tax = Total of $1.57&quot;"/>
    <n v="157"/>
    <n v="1"/>
    <d v="2026-05-22T00:00:00"/>
    <d v="2026-05-19T00:00:00"/>
    <m/>
    <n v="259"/>
    <m/>
    <s v="Luka Doncic"/>
    <s v="2021 Panini Select Numbers"/>
    <s v="Blue Prizm"/>
    <s v="7"/>
    <n v="2"/>
    <x v="3"/>
    <s v="For Sale"/>
    <n v="1"/>
    <n v="1"/>
    <n v="2.5"/>
    <n v="1.5"/>
  </r>
  <r>
    <n v="2946119"/>
    <s v="Luka Doncic #519"/>
    <s v="Basketball Cards 2020 Panini Chronicles"/>
    <n v="199"/>
    <s v="Ungraded"/>
    <s v="Normal wear"/>
    <m/>
    <s v="&quot;https://www.whatnot.com/order/N3ommW2GZtgbdFUhrqPhaC_x000d__x000a_$2.33 + $0.21 (Shared Shipping) + $0.26 Tax = Total of $2.80&quot;"/>
    <n v="280"/>
    <n v="1"/>
    <d v="2026-05-12T00:00:00"/>
    <d v="2026-05-06T00:00:00"/>
    <m/>
    <n v="281"/>
    <m/>
    <s v="Luka Doncic"/>
    <s v="2020 Panini Chronicles"/>
    <s v="-"/>
    <s v="519"/>
    <n v="1.99"/>
    <x v="3"/>
    <s v="For Sale"/>
    <n v="1"/>
    <n v="1"/>
    <n v="3"/>
    <n v="2"/>
  </r>
  <r>
    <n v="5289298"/>
    <s v="Luka Doncic #3"/>
    <s v="Basketball Cards 2022 Panini Donruss Optic My House"/>
    <n v="199"/>
    <s v="Ungraded"/>
    <s v="Normal wear"/>
    <m/>
    <s v="&quot;https://www.whatnot.com/order/GhBCHwczCmrh6F7iQjEyTX_x000d__x000a_$1.43 + $0.29 (Shared Shipping) + $0.18 Tax = Total of $1.90&quot;"/>
    <n v="190"/>
    <n v="1"/>
    <d v="2026-05-24T00:00:00"/>
    <d v="2026-05-22T00:00:00"/>
    <m/>
    <n v="287"/>
    <m/>
    <s v="Luka Doncic"/>
    <s v="2022 Panini Donruss Optic My House"/>
    <s v="-"/>
    <s v="3"/>
    <n v="1.99"/>
    <x v="3"/>
    <s v="For Sale"/>
    <n v="1"/>
    <n v="1"/>
    <n v="2.5"/>
    <n v="2"/>
  </r>
  <r>
    <n v="7375322"/>
    <s v="Luka Doncic #9"/>
    <s v="Basketball Cards 2023 Panini Haunted Hoops"/>
    <n v="199"/>
    <s v="Ungraded"/>
    <s v="Normal wear"/>
    <m/>
    <s v="&quot;https://www.whatnot.com/order/PH2i3WhAY5rePqutCdgM8c_x000d__x000a_$1.29 + $0.29 (Shared Shipping) + $0.16 Tax = Total of $1.74&quot;"/>
    <n v="174"/>
    <n v="1"/>
    <d v="2026-05-24T00:00:00"/>
    <d v="2026-05-22T00:00:00"/>
    <m/>
    <n v="276"/>
    <m/>
    <s v="Luka Doncic"/>
    <s v="2023 Panini Haunted Hoops"/>
    <s v="-"/>
    <s v="9"/>
    <n v="1.99"/>
    <x v="3"/>
    <s v="For Sale"/>
    <n v="1"/>
    <n v="1"/>
    <n v="2.5"/>
    <n v="1.5"/>
  </r>
  <r>
    <n v="12962084"/>
    <s v="Luka Doncic #NTN-11"/>
    <s v="Basketball Cards 2025 Topps NBA Hoops Net 2 Net"/>
    <n v="199"/>
    <s v="Ungraded"/>
    <s v="Normal wear"/>
    <m/>
    <s v="&quot;https://www.whatnot.com/order/BqMdVKL98MMvHMvRADiqy8_x000d__x000a_$4.00 + $0.91 (Shared Shipping) + $0.50 Tax = Total of $5.41&quot;"/>
    <n v="541"/>
    <n v="1"/>
    <d v="2026-06-01T00:00:00"/>
    <d v="2026-05-31T00:00:00"/>
    <m/>
    <n v="266"/>
    <m/>
    <s v="Luka Doncic"/>
    <s v="2025 Topps NBA Hoops Net 2 Net"/>
    <s v="-"/>
    <s v="NTN-11"/>
    <n v="1.99"/>
    <x v="3"/>
    <s v="For Sale"/>
    <n v="1"/>
    <n v="1"/>
    <n v="6"/>
    <n v="2"/>
  </r>
  <r>
    <n v="3484717"/>
    <s v="Luka Doncic [Bronze] #18"/>
    <s v="Basketball Cards 2021 Panini Contenders"/>
    <n v="196"/>
    <s v="Ungraded"/>
    <s v="Normal wear"/>
    <m/>
    <s v="&quot;https://www.whatnot.com/order/PH2i3WhAY5rePqutCdgM8c_x000d__x000a_$0.00 + $0.27 (Shared Shipping) + $0.03 Tax = Total of $0.30&quot;"/>
    <n v="30"/>
    <n v="1"/>
    <d v="2026-05-30T00:00:00"/>
    <d v="2026-05-22T00:00:00"/>
    <m/>
    <n v="282"/>
    <m/>
    <s v="Luka Doncic"/>
    <s v="2021 Panini Contenders"/>
    <s v="Bronze"/>
    <s v="18"/>
    <n v="1.96"/>
    <x v="3"/>
    <s v="For Sale"/>
    <n v="1"/>
    <n v="1"/>
    <n v="2.5"/>
    <n v="0.25"/>
  </r>
  <r>
    <n v="6059252"/>
    <s v="Luka Doncic #295"/>
    <s v="Basketball Cards 2023 Panini Hoops"/>
    <n v="196"/>
    <s v="Ungraded"/>
    <s v="Normal wear"/>
    <m/>
    <s v="&quot;https://www.whatnot.com/order/PH2i3WhAY5rePqutCdgM8c_x000d__x000a_$1.29 + $0.29 (Shared Shipping) + $0.16 Tax = Total of $1.74&quot;"/>
    <n v="174"/>
    <n v="1"/>
    <d v="2026-05-24T00:00:00"/>
    <d v="2026-05-22T00:00:00"/>
    <m/>
    <n v="368"/>
    <m/>
    <s v="Luka Doncic"/>
    <s v="2023 Panini Hoops"/>
    <s v="-"/>
    <s v="295"/>
    <n v="1.96"/>
    <x v="3"/>
    <s v="For Sale"/>
    <n v="1"/>
    <n v="1"/>
    <n v="2.5"/>
    <n v="1.5"/>
  </r>
  <r>
    <n v="95654"/>
    <s v="Luka Doncic #75"/>
    <s v="Basketball Cards 2019 Panini Prizm"/>
    <n v="190"/>
    <s v="Ungraded"/>
    <s v="Normal wear"/>
    <m/>
    <s v="&quot;https://www.whatnot.com/order/LzxCN3kkWJX8nCqy8qr5nU_x000d__x000a_$1.00 + $0.55 (Shared Shipping) + $0.16 Tax = Total of $1.70&quot;"/>
    <n v="170"/>
    <n v="1"/>
    <d v="2026-05-12T00:00:00"/>
    <d v="2026-05-12T00:00:00"/>
    <m/>
    <n v="320"/>
    <m/>
    <s v="Luka Doncic"/>
    <s v="2019 Panini Prizm"/>
    <s v="-"/>
    <s v="75"/>
    <n v="1.9"/>
    <x v="3"/>
    <s v="For Sale"/>
    <n v="1"/>
    <n v="1"/>
    <n v="2.5"/>
    <n v="1.5"/>
  </r>
  <r>
    <n v="4116083"/>
    <s v="Luka Doncic [Holo] #7"/>
    <s v="Basketball Cards 2021 Panini Donruss Optic Express Lane"/>
    <n v="188"/>
    <s v="Ungraded"/>
    <s v="Normal wear"/>
    <m/>
    <s v="&quot;https://www.whatnot.com/order/ZtB4ZVd8p4oiJnLmAJs7tz_x000d__x000a_$2.00 + $0.78 (Shared Shipping) + $0.28 Tax = Total of $3.06&quot;"/>
    <n v="306"/>
    <n v="1"/>
    <d v="2026-05-22T00:00:00"/>
    <d v="2026-05-17T00:00:00"/>
    <m/>
    <n v="305"/>
    <m/>
    <s v="Luka Doncic"/>
    <s v="2021 Panini Donruss Optic Express Lane"/>
    <s v="Holo"/>
    <s v="7"/>
    <n v="1.88"/>
    <x v="3"/>
    <s v="For Sale"/>
    <n v="1"/>
    <n v="1"/>
    <n v="4"/>
    <n v="2"/>
  </r>
  <r>
    <n v="9259984"/>
    <s v="Luka Doncic [Astro] #13"/>
    <s v="Basketball Cards 2024 Panini Revolution"/>
    <n v="188"/>
    <s v="Ungraded"/>
    <s v="Normal wear"/>
    <m/>
    <s v="&quot;https://www.whatnot.com/order/5scJ87fFG7iaQkajYWq4bV_x000d__x000a_$2.00 + $0.74 (Shared Shipping) + $0.28 Tax = Total of $3.02&quot;"/>
    <n v="302"/>
    <n v="1"/>
    <d v="2026-05-12T00:00:00"/>
    <d v="2026-05-12T00:00:00"/>
    <m/>
    <n v="241"/>
    <m/>
    <s v="Luka Doncic"/>
    <s v="2024 Panini Revolution"/>
    <s v="Astro"/>
    <s v="13"/>
    <n v="1.88"/>
    <x v="3"/>
    <s v="For Sale"/>
    <n v="1"/>
    <n v="1"/>
    <n v="4"/>
    <n v="2"/>
  </r>
  <r>
    <n v="5289892"/>
    <s v="Luka Doncic [Purple] #7"/>
    <s v="Basketball Cards 2022 Panini Donruss Optic T Minus 3 2 1"/>
    <n v="186"/>
    <s v="Ungraded"/>
    <s v="Normal wear"/>
    <m/>
    <s v="&quot;https://www.whatnot.com/order/YdoZr7RTzDToYz6PByf22R_x000d__x000a_$3.00 + $0.45 (Shared Shipping) + $0.35 Tax = Total of $3.78&quot;"/>
    <n v="378"/>
    <n v="1"/>
    <d v="2026-05-09T00:00:00"/>
    <d v="2026-05-04T00:00:00"/>
    <m/>
    <n v="311"/>
    <m/>
    <s v="Luka Doncic"/>
    <s v="2022 Panini Donruss Optic T Minus 3 2 1"/>
    <s v="Purple"/>
    <s v="7"/>
    <n v="1.86"/>
    <x v="3"/>
    <s v="For Sale"/>
    <n v="1"/>
    <n v="1"/>
    <n v="5"/>
    <n v="2"/>
  </r>
  <r>
    <n v="10121893"/>
    <s v="Luka Doncic #134"/>
    <s v="Basketball Cards 2024 Panini Haunted Hoops"/>
    <n v="185"/>
    <s v="Ungraded"/>
    <s v="Normal wear"/>
    <m/>
    <s v="&quot;https://www.whatnot.com/order/CcgKgfJ5nvryvvKXiQFRF3_x000d__x000a_$0.16 + $0.14 (Shared Shipping) + $0.03 Tax = Total of $0.33&quot;"/>
    <n v="33"/>
    <n v="1"/>
    <d v="2026-05-21T00:00:00"/>
    <d v="2026-05-14T00:00:00"/>
    <m/>
    <n v="318"/>
    <m/>
    <s v="Luka Doncic"/>
    <s v="2024 Panini Haunted Hoops"/>
    <s v="-"/>
    <s v="134"/>
    <n v="1.85"/>
    <x v="3"/>
    <s v="For Sale"/>
    <n v="1"/>
    <n v="1"/>
    <n v="2"/>
    <n v="0.25"/>
  </r>
  <r>
    <n v="5750462"/>
    <s v="Luka Doncic #9"/>
    <s v="Basketball Cards 2022 Panini Mosaic Thunder Road"/>
    <n v="179"/>
    <s v="Ungraded"/>
    <s v="Normal wear"/>
    <m/>
    <s v="&quot;https://www.whatnot.com/order/PH2i3WhAY5rePqutCdgM8c_x000d__x000a_$1.29 + $0.29 (Shared Shipping) + $0.16 Tax = Total of $1.74&quot;"/>
    <n v="174"/>
    <n v="1"/>
    <d v="2026-05-24T00:00:00"/>
    <d v="2026-05-22T00:00:00"/>
    <m/>
    <n v="326"/>
    <m/>
    <s v="Luka Doncic"/>
    <s v="2022 Panini Mosaic Thunder Road"/>
    <s v="-"/>
    <s v="9"/>
    <n v="1.79"/>
    <x v="3"/>
    <s v="For Sale"/>
    <n v="1"/>
    <n v="1"/>
    <n v="2"/>
    <n v="1.5"/>
  </r>
  <r>
    <n v="2482733"/>
    <s v="Luka Doncic #15"/>
    <s v="Basketball Cards 2020 Panini Select"/>
    <n v="175"/>
    <s v="Ungraded"/>
    <s v="Normal wear"/>
    <m/>
    <s v="&quot;https://www.whatnot.com/order/2Nc9bVsk5chVoBa3qBE7ru_x000d__x000a_$1.00 + $0.00 (Shared Shipping) + $0.10 Tax = Total of $1.10&quot;"/>
    <n v="110"/>
    <n v="1"/>
    <d v="2026-06-09T00:00:00"/>
    <d v="2026-06-08T00:00:00"/>
    <m/>
    <n v="333"/>
    <m/>
    <s v="Luka Doncic"/>
    <s v="2020 Panini Select"/>
    <s v="-"/>
    <s v="15"/>
    <n v="1.75"/>
    <x v="3"/>
    <s v="For Sale"/>
    <n v="1"/>
    <n v="1"/>
    <n v="2"/>
    <n v="1"/>
  </r>
  <r>
    <n v="2948779"/>
    <s v="Luka Doncic [Pink] #228"/>
    <s v="Basketball Cards 2020 Panini Chronicles"/>
    <n v="174"/>
    <s v="Ungraded"/>
    <s v="Normal wear"/>
    <m/>
    <s v="&quot;https://www.whatnot.com/order/N3ommW2GZtgbdFUhrqPhaC_x000d__x000a_$2.33 + $0.21 (Shared Shipping) + $0.26 Tax = Total of $2.80&quot;"/>
    <n v="280"/>
    <n v="1"/>
    <d v="2026-05-12T00:00:00"/>
    <d v="2026-05-06T00:00:00"/>
    <m/>
    <n v="365"/>
    <m/>
    <s v="Luka Doncic"/>
    <s v="2020 Panini Chronicles"/>
    <s v="Pink"/>
    <s v="228"/>
    <n v="1.74"/>
    <x v="3"/>
    <s v="For Sale"/>
    <n v="1"/>
    <n v="1"/>
    <n v="3"/>
    <n v="1.5"/>
  </r>
  <r>
    <n v="8537640"/>
    <s v="Luka Doncic #89"/>
    <s v="Basketball Cards 2024 Panini Prizm"/>
    <n v="171"/>
    <s v="Ungraded"/>
    <s v="Normal wear"/>
    <m/>
    <s v="&quot;https://www.whatnot.com/order/N3ommW2GZtgbdFUhrqPhaC_x000d__x000a_$2.33 + $0.21 (Shared Shipping) + $0.26 Tax = Total of $2.80&quot;"/>
    <n v="280"/>
    <n v="1"/>
    <d v="2026-05-12T00:00:00"/>
    <d v="2026-05-06T00:00:00"/>
    <m/>
    <n v="361"/>
    <m/>
    <s v="Luka Doncic"/>
    <s v="2024 Panini Prizm"/>
    <s v="-"/>
    <s v="89"/>
    <n v="1.71"/>
    <x v="3"/>
    <s v="For Sale"/>
    <n v="1"/>
    <n v="1"/>
    <n v="3"/>
    <n v="1.5"/>
  </r>
  <r>
    <n v="9265985"/>
    <s v="Luka Doncic #1"/>
    <s v="Basketball Cards 2024 Panini Revolution Hardwood Legacy"/>
    <n v="169"/>
    <s v="Ungraded"/>
    <s v="Normal wear"/>
    <m/>
    <s v="&quot;https://www.whatnot.com/order/8DwoNWn73teh8obUuAY5eP_x000d__x000a_$2.50 + $0.21 (Shared Shipping) + $0.28 Tax = Total of $2.98&quot;_x000d__x000a_"/>
    <n v="298"/>
    <n v="1"/>
    <d v="2026-05-12T00:00:00"/>
    <d v="2026-05-06T00:00:00"/>
    <m/>
    <n v="378"/>
    <m/>
    <s v="Luka Doncic"/>
    <s v="2024 Panini Revolution Hardwood Legacy"/>
    <s v="-"/>
    <s v="1"/>
    <n v="1.69"/>
    <x v="3"/>
    <s v="For Sale"/>
    <n v="1"/>
    <n v="1"/>
    <n v="4"/>
    <n v="1.5"/>
  </r>
  <r>
    <n v="5001342"/>
    <s v="Luka Doncic #2"/>
    <s v="Basketball Cards 2022 Panini Donruss Magicians"/>
    <n v="167"/>
    <s v="Ungraded"/>
    <s v="Normal wear"/>
    <m/>
    <s v="&quot;https://www.whatnot.com/order/N3ommW2GZtgbdFUhrqPhaC_x000d__x000a_$2.33 + $0.21 (Shared Shipping) + $0.26 Tax = Total of $2.80&quot;"/>
    <n v="280"/>
    <n v="1"/>
    <d v="2026-05-12T00:00:00"/>
    <d v="2026-05-06T00:00:00"/>
    <m/>
    <n v="362"/>
    <m/>
    <s v="Luka Doncic"/>
    <s v="2022 Panini Donruss Magicians"/>
    <s v="-"/>
    <s v="2"/>
    <n v="1.67"/>
    <x v="3"/>
    <s v="For Sale"/>
    <n v="1"/>
    <n v="1"/>
    <n v="3"/>
    <n v="1.5"/>
  </r>
  <r>
    <n v="2945900"/>
    <s v="Luka Doncic #300"/>
    <s v="Basketball Cards 2020 Panini Chronicles"/>
    <n v="163"/>
    <s v="Ungraded"/>
    <s v="Normal wear"/>
    <m/>
    <s v="&quot;https://www.whatnot.com/order/j5AumEDPb4dAWPPgEGjD26_x000d__x000a_$1.00 + $0.00 (Shared Shipping) + $0.10 Tax = Total of $1.10&quot;"/>
    <n v="110"/>
    <n v="1"/>
    <d v="2026-06-09T00:00:00"/>
    <d v="2026-06-08T00:00:00"/>
    <m/>
    <n v="566"/>
    <m/>
    <s v="Luka Doncic"/>
    <s v="2020 Panini Chronicles"/>
    <s v="-"/>
    <s v="300"/>
    <n v="1.63"/>
    <x v="3"/>
    <s v="For Sale"/>
    <n v="1"/>
    <n v="1"/>
    <n v="2"/>
    <n v="1"/>
  </r>
  <r>
    <n v="4245780"/>
    <s v="Luka Doncic #7"/>
    <s v="Basketball Cards 2021 Panini Select Numbers"/>
    <n v="160"/>
    <s v="Ungraded"/>
    <s v="Normal wear"/>
    <m/>
    <s v="&quot;https://www.whatnot.com/order/GPS2oVEvpYFQarAZqquyDW_x000d__x000a_$4.00 + $0.43 (Shared Shipping) + $0.45 Tax = Total of $4.88&quot;"/>
    <n v="488"/>
    <n v="1"/>
    <d v="2026-05-24T00:00:00"/>
    <d v="2026-05-19T00:00:00"/>
    <m/>
    <n v="384"/>
    <m/>
    <s v="Luka Doncic"/>
    <s v="2021 Panini Select Numbers"/>
    <s v="-"/>
    <s v="7"/>
    <n v="1.6"/>
    <x v="3"/>
    <s v="For Sale"/>
    <n v="1"/>
    <n v="1"/>
    <n v="6"/>
    <n v="1.5"/>
  </r>
  <r>
    <n v="6421639"/>
    <s v="Luka Doncic #6"/>
    <s v="Basketball Cards 2023 Panini Prizm Deep Space"/>
    <n v="160"/>
    <s v="Ungraded"/>
    <s v="Normal wear"/>
    <m/>
    <s v="&quot;https://www.whatnot.com/order/GhBCHwczCmrh6F7iQjEyTX_x000d__x000a_$1.43 + $0.29 (Shared Shipping) + $0.18 Tax = Total of $1.90&quot;"/>
    <n v="190"/>
    <n v="1"/>
    <d v="2026-05-24T00:00:00"/>
    <d v="2026-05-22T00:00:00"/>
    <m/>
    <n v="484"/>
    <m/>
    <s v="Luka Doncic"/>
    <s v="2023 Panini Prizm Deep Space"/>
    <s v="-"/>
    <s v="6"/>
    <n v="1.6"/>
    <x v="3"/>
    <s v="For Sale"/>
    <n v="1"/>
    <n v="1"/>
    <n v="2.5"/>
    <n v="1.5"/>
  </r>
  <r>
    <n v="6422084"/>
    <s v="Luka Doncic #1"/>
    <s v="Basketball Cards 2023 Panini Prizm Global Reach"/>
    <n v="158"/>
    <s v="Ungraded"/>
    <s v="Normal wear"/>
    <m/>
    <s v="&quot;https://www.whatnot.com/order/8DwoNWn73teh8obUuAY5eP_x000d__x000a_$2.50 + $0.21 (Shared Shipping) + $0.28 Tax = Total of $2.98&quot;_x000d__x000a_"/>
    <n v="298"/>
    <n v="1"/>
    <d v="2026-05-12T00:00:00"/>
    <d v="2026-05-06T00:00:00"/>
    <m/>
    <n v="387"/>
    <m/>
    <s v="Luka Doncic"/>
    <s v="2023 Panini Prizm Global Reach"/>
    <s v="-"/>
    <s v="1"/>
    <n v="1.58"/>
    <x v="3"/>
    <s v="For Sale"/>
    <n v="1"/>
    <n v="1"/>
    <n v="4"/>
    <n v="1.5"/>
  </r>
  <r>
    <n v="4116797"/>
    <s v="Luka Doncic #4"/>
    <s v="Basketball Cards 2021 Panini Donruss Optic Splash"/>
    <n v="155"/>
    <s v="Ungraded"/>
    <s v="Normal wear"/>
    <m/>
    <s v="&quot;https://www.whatnot.com/order/UfG2uFVzbc3XCQZDoAnZnQ_x000d__x000a_$4.00 + $0.45 (Shared Shipping) + $0.47 Tax = Total of $5.04&quot;"/>
    <n v="503"/>
    <n v="1"/>
    <d v="2026-05-09T00:00:00"/>
    <d v="2026-05-04T00:00:00"/>
    <m/>
    <n v="397"/>
    <m/>
    <s v="Luka Doncic"/>
    <s v="2021 Panini Donruss Optic Splash"/>
    <s v="-"/>
    <s v="4"/>
    <n v="1.55"/>
    <x v="3"/>
    <s v="For Sale"/>
    <n v="1"/>
    <n v="1"/>
    <n v="6"/>
    <n v="1.5"/>
  </r>
  <r>
    <n v="5050142"/>
    <s v="Luka Doncic #57"/>
    <s v="Basketball Cards 2022 Panini Contenders"/>
    <n v="150"/>
    <s v="Ungraded"/>
    <s v="Normal wear"/>
    <m/>
    <s v="&quot;https://www.whatnot.com/order/PH2i3WhAY5rePqutCdgM8c_x000d__x000a_$1.29 + $0.29 (Shared Shipping) + $0.16 Tax = Total of $1.74&quot;"/>
    <n v="174"/>
    <n v="1"/>
    <d v="2026-05-24T00:00:00"/>
    <d v="2026-05-22T00:00:00"/>
    <m/>
    <n v="421"/>
    <m/>
    <s v="Luka Doncic"/>
    <s v="2022 Panini Contenders"/>
    <s v="-"/>
    <s v="57"/>
    <n v="1.5"/>
    <x v="3"/>
    <s v="For Sale"/>
    <n v="1"/>
    <n v="1"/>
    <n v="2"/>
    <n v="1.5"/>
  </r>
  <r>
    <n v="10199090"/>
    <s v="Luka Doncic [Hyper Pink] #214"/>
    <s v="Basketball Cards 2024 Panini Donruss Optic"/>
    <n v="150"/>
    <s v="Ungraded"/>
    <s v="Normal wear"/>
    <m/>
    <s v="&quot;https://www.whatnot.com/order/Mqc2Uuzq8b8WstsiTribsF_x000d__x000a_$3.00 + $0.78 (Shared Shipping) + $0.39 Tax = Total of $4.17&quot;"/>
    <n v="417"/>
    <n v="1"/>
    <d v="2026-05-18T00:00:00"/>
    <d v="2026-05-17T00:00:00"/>
    <m/>
    <n v="357"/>
    <m/>
    <s v="Luka Doncic"/>
    <s v="2024 Panini Donruss Optic"/>
    <s v="Hyper Pink"/>
    <s v="214"/>
    <n v="1.5"/>
    <x v="3"/>
    <s v="For Sale"/>
    <n v="1"/>
    <n v="1"/>
    <n v="5"/>
    <n v="1.5"/>
  </r>
  <r>
    <n v="3114681"/>
    <s v="Luka Doncic [Purple] #62"/>
    <s v="Basketball Cards 2021 Panini Hoops"/>
    <n v="149"/>
    <s v="Ungraded"/>
    <s v="Normal wear"/>
    <m/>
    <s v="&quot;https://www.whatnot.com/order/AFcBHwTXfggkzDpK3hRwdb_x000d__x000a_$2.00 + $0.36 (Shared Shipping) + $0.24 Tax = Total of $2.61&quot;"/>
    <n v="261"/>
    <n v="1"/>
    <d v="2026-05-12T00:00:00"/>
    <d v="2026-05-12T00:00:00"/>
    <m/>
    <n v="304"/>
    <m/>
    <s v="Luka Doncic"/>
    <s v="2021 Panini Hoops"/>
    <s v="Purple"/>
    <s v="62"/>
    <n v="1.49"/>
    <x v="3"/>
    <s v="For Sale"/>
    <n v="1"/>
    <n v="1"/>
    <n v="3"/>
    <n v="1.25"/>
  </r>
  <r>
    <n v="8561174"/>
    <s v="Luka Doncic #8"/>
    <s v="Basketball Cards 2024 Panini Prizm Global Reach"/>
    <n v="149"/>
    <s v="Ungraded"/>
    <s v="Normal wear"/>
    <m/>
    <s v="&quot;https://www.whatnot.com/order/GhBCHwczCmrh6F7iQjEyTX_x000d__x000a_$1.43 + $0.29 (Shared Shipping) + $0.18 Tax = Total of $1.90&quot;"/>
    <n v="190"/>
    <n v="1"/>
    <d v="2026-05-24T00:00:00"/>
    <d v="2026-05-22T00:00:00"/>
    <m/>
    <n v="433"/>
    <m/>
    <s v="Luka Doncic"/>
    <s v="2024 Panini Prizm Global Reach"/>
    <s v="-"/>
    <s v="8"/>
    <n v="1.49"/>
    <x v="3"/>
    <s v="For Sale"/>
    <n v="1"/>
    <n v="1"/>
    <n v="2.5"/>
    <n v="1.25"/>
  </r>
  <r>
    <n v="3727503"/>
    <s v="Luka Doncic #223"/>
    <s v="Basketball Cards 2021 Panini Prizm"/>
    <n v="147"/>
    <s v="Ungraded"/>
    <s v="Normal wear"/>
    <m/>
    <s v="&quot;https://www.whatnot.com/order/8DwoNWn73teh8obUuAY5eP_x000d__x000a_$2.50 + $0.21 (Shared Shipping) + $0.28 Tax = Total of $2.98&quot;"/>
    <n v="298"/>
    <n v="1"/>
    <d v="2026-05-12T00:00:00"/>
    <d v="2026-05-06T00:00:00"/>
    <m/>
    <n v="396"/>
    <m/>
    <s v="Luka Doncic"/>
    <s v="2021 Panini Prizm"/>
    <s v="-"/>
    <s v="223"/>
    <n v="1.47"/>
    <x v="3"/>
    <s v="For Sale"/>
    <n v="1"/>
    <n v="1"/>
    <n v="4"/>
    <n v="1.25"/>
  </r>
  <r>
    <n v="8560255"/>
    <s v="Luka Doncic #4"/>
    <s v="Basketball Cards 2024 Panini Prizm Deep Space"/>
    <n v="144"/>
    <s v="Ungraded"/>
    <s v="Normal wear"/>
    <m/>
    <s v="&quot;https://www.whatnot.com/order/8DwoNWn73teh8obUuAY5eP_x000d__x000a_$2.50 + $0.21 (Shared Shipping) + $0.28 Tax = Total of $2.98&quot;"/>
    <n v="298"/>
    <n v="1"/>
    <d v="2026-05-12T00:00:00"/>
    <d v="2026-05-06T00:00:00"/>
    <m/>
    <n v="393"/>
    <m/>
    <s v="Luka Doncic"/>
    <s v="2024 Panini Prizm Deep Space"/>
    <s v="-"/>
    <s v="4"/>
    <n v="1.44"/>
    <x v="3"/>
    <s v="For Sale"/>
    <n v="1"/>
    <n v="1"/>
    <n v="4"/>
    <n v="1.25"/>
  </r>
  <r>
    <n v="8394422"/>
    <s v="Luka Doncic #115"/>
    <s v="Basketball Cards 2024 Panini NBA Hoops"/>
    <n v="142"/>
    <s v="Ungraded"/>
    <s v="Normal wear"/>
    <m/>
    <s v="&quot;https://www.whatnot.com/order/CcgKgfJ5nvryvvKXiQFRF3_x000d__x000a_$0.16 + $0.14 (Shared Shipping) + $0.03 Tax = Total of $0.33&quot;"/>
    <n v="33"/>
    <n v="1"/>
    <d v="2026-05-21T00:00:00"/>
    <d v="2026-05-14T00:00:00"/>
    <m/>
    <n v="417"/>
    <m/>
    <s v="Luka Doncic"/>
    <s v="2024 Panini NBA Hoops"/>
    <s v="-"/>
    <s v="115"/>
    <n v="1.42"/>
    <x v="3"/>
    <s v="For Sale"/>
    <n v="2"/>
    <n v="1"/>
    <n v="1.5"/>
    <n v="0.25"/>
  </r>
  <r>
    <n v="8394422"/>
    <s v="Luka Doncic #115"/>
    <s v="Basketball Cards 2024 Panini NBA Hoops"/>
    <n v="142"/>
    <s v="Ungraded"/>
    <s v="Normal wear"/>
    <m/>
    <s v="&quot;https://www.whatnot.com/order/GhBCHwczCmrh6F7iQjEyTX_x000d__x000a_$1.43 + $0.29 (Shared Shipping) + $0.18 Tax = Total of $1.90&quot;"/>
    <n v="190"/>
    <n v="1"/>
    <d v="2026-05-24T00:00:00"/>
    <d v="2026-05-22T00:00:00"/>
    <m/>
    <n v="422"/>
    <m/>
    <s v="Luka Doncic"/>
    <s v="2024 Panini NBA Hoops"/>
    <s v="-"/>
    <s v="115"/>
    <n v="1.42"/>
    <x v="3"/>
    <s v="For Sale"/>
    <n v="2"/>
    <n v="1"/>
    <n v="2.5"/>
    <n v="1"/>
  </r>
  <r>
    <n v="8771795"/>
    <s v="Luka Doncic #82"/>
    <s v="Basketball Cards 2024 Panini Donruss"/>
    <n v="140"/>
    <s v="Ungraded"/>
    <s v="Normal wear"/>
    <m/>
    <s v="&quot;whatnot.com/order/CcgKgfJ5nvryvvKXiQFRF3_x000d__x000a_$0.17 + $0.14 (Shared Shipping) + $0.03 Tax = Total of $0.34&quot;"/>
    <n v="34"/>
    <n v="1"/>
    <d v="2026-06-10T00:00:00"/>
    <d v="2026-05-14T00:00:00"/>
    <m/>
    <n v="416"/>
    <m/>
    <s v="Luka Doncic"/>
    <s v="2024 Panini Donruss"/>
    <s v="-"/>
    <s v="82"/>
    <n v="1.4"/>
    <x v="3"/>
    <s v="For Sale"/>
    <n v="3"/>
    <n v="1"/>
    <n v="1.5"/>
    <n v="0.25"/>
  </r>
  <r>
    <n v="8771795"/>
    <s v="Luka Doncic #82"/>
    <s v="Basketball Cards 2024 Panini Donruss"/>
    <n v="140"/>
    <s v="Ungraded"/>
    <s v="Normal wear"/>
    <m/>
    <s v="&quot;whatnot.com/order/CcgKgfJ5nvryvvKXiQFRF3_x000d__x000a_$0.17 + $0.14 (Shared Shipping) + $0.03 Tax = Total of $0.34&quot;"/>
    <n v="34"/>
    <n v="1"/>
    <d v="2026-06-10T00:00:00"/>
    <d v="2026-05-14T00:00:00"/>
    <m/>
    <n v="418"/>
    <m/>
    <s v="Luka Doncic"/>
    <s v="2024 Panini Donruss"/>
    <s v="-"/>
    <s v="82"/>
    <n v="1.4"/>
    <x v="3"/>
    <s v="For Sale"/>
    <n v="3"/>
    <n v="1"/>
    <n v="1.5"/>
    <n v="0.25"/>
  </r>
  <r>
    <n v="8771795"/>
    <s v="Luka Doncic #82"/>
    <s v="Basketball Cards 2024 Panini Donruss"/>
    <n v="140"/>
    <s v="Ungraded"/>
    <s v="Normal wear"/>
    <m/>
    <s v="&quot;whatnot.com/order/CcgKgfJ5nvryvvKXiQFRF3_x000d__x000a_$0.17 + $0.14 (Shared Shipping) + $0.03 Tax = Total of $0.34&quot;"/>
    <n v="34"/>
    <n v="1"/>
    <d v="2026-06-10T00:00:00"/>
    <d v="2026-05-14T00:00:00"/>
    <m/>
    <n v="423"/>
    <m/>
    <s v="Luka Doncic"/>
    <s v="2024 Panini Donruss"/>
    <s v="-"/>
    <s v="82"/>
    <n v="1.4"/>
    <x v="3"/>
    <s v="For Sale"/>
    <n v="3"/>
    <n v="1"/>
    <n v="1.5"/>
    <n v="0.25"/>
  </r>
  <r>
    <n v="8560406"/>
    <s v="Luka Doncic #12"/>
    <s v="Basketball Cards 2024 Panini Prizm Dominance"/>
    <n v="139"/>
    <s v="Ungraded"/>
    <s v="Normal wear"/>
    <m/>
    <s v="&quot;whatnot.com/order/YAUQiahE9jPotBCmxaNkUS_x000d__x000a_$3.00 + $1.36 (Shared Shipping) + $0.45 Tax = Total of $4.81&quot;"/>
    <n v="481"/>
    <n v="1"/>
    <d v="2026-05-17T00:00:00"/>
    <d v="2026-05-15T00:00:00"/>
    <m/>
    <n v="454"/>
    <m/>
    <s v="Luka Doncic"/>
    <s v="2024 Panini Prizm Dominance"/>
    <s v="-"/>
    <s v="12"/>
    <n v="1.39"/>
    <x v="3"/>
    <s v="For Sale"/>
    <n v="2"/>
    <n v="1"/>
    <n v="6"/>
    <n v="1"/>
  </r>
  <r>
    <n v="8560406"/>
    <s v="Luka Doncic #12"/>
    <s v="Basketball Cards 2024 Panini Prizm Dominance"/>
    <n v="139"/>
    <s v="Ungraded"/>
    <s v="Normal wear"/>
    <m/>
    <s v="&quot;whatnot.com/order/5X36yCiHaJsMeN64D6uPLA_x000d__x000a_$1.50 + $2.28 (Shared Shipping) + $0.39 Tax = Total of $4.16&quot;"/>
    <n v="416"/>
    <n v="1"/>
    <d v="2026-06-10T00:00:00"/>
    <d v="2026-05-16T00:00:00"/>
    <m/>
    <n v="456"/>
    <m/>
    <s v="Luka Doncic"/>
    <s v="2024 Panini Prizm Dominance"/>
    <s v="-"/>
    <s v="12"/>
    <n v="1.39"/>
    <x v="3"/>
    <s v="For Sale"/>
    <n v="2"/>
    <n v="1"/>
    <n v="5"/>
    <n v="1"/>
  </r>
  <r>
    <n v="6713723"/>
    <s v="Luka Doncic #3"/>
    <s v="Basketball Cards 2023 Panini Select Thunder Lane"/>
    <n v="135"/>
    <s v="Ungraded"/>
    <s v="Normal wear"/>
    <m/>
    <s v="&quot;https://www.whatnot.com/order/8DwoNWn73teh8obUuAY5eP_x000d__x000a_$2.50 + $0.21 (Shared Shipping) + $0.28 Tax = Total of $2.98&quot;_x000d__x000a_"/>
    <n v="298"/>
    <n v="1"/>
    <d v="2026-05-12T00:00:00"/>
    <d v="2026-05-06T00:00:00"/>
    <m/>
    <n v="323"/>
    <m/>
    <s v="Luka Doncic"/>
    <s v="2023 Panini Select Thunder Lane"/>
    <s v="-"/>
    <s v="3"/>
    <n v="1.35"/>
    <x v="3"/>
    <s v="For Sale"/>
    <n v="1"/>
    <n v="1"/>
    <n v="4"/>
    <n v="1.25"/>
  </r>
  <r>
    <n v="4166936"/>
    <s v="Luka Doncic #304"/>
    <s v="Basketball Cards 2021 Panini Chronicles"/>
    <n v="130"/>
    <s v="Ungraded"/>
    <s v="Normal wear"/>
    <m/>
    <s v="https://www.whatnot.com/order/gS3Pko5Lnk9cRAzYzXbJeF_x000d__x000a_$3.00 + $0.36 (Shared Shipping) + $0.34 Tax = Total of $3.71"/>
    <n v="371"/>
    <n v="1"/>
    <d v="2026-05-08T00:00:00"/>
    <d v="2026-05-03T00:00:00"/>
    <m/>
    <n v="474"/>
    <m/>
    <s v="Luka Doncic"/>
    <s v="2021 Panini Chronicles"/>
    <s v="-"/>
    <s v="304"/>
    <n v="1.3"/>
    <x v="3"/>
    <s v="For Sale"/>
    <n v="1"/>
    <n v="1"/>
    <n v="4"/>
    <n v="1.25"/>
  </r>
  <r>
    <n v="4754153"/>
    <s v="Luka Doncic #8"/>
    <s v="Basketball Cards 2022 Panini Hoops Skyview"/>
    <n v="130"/>
    <s v="Ungraded"/>
    <s v="Normal wear"/>
    <m/>
    <s v="&quot;https://www.whatnot.com/order/PH2i3WhAY5rePqutCdgM8c_x000d__x000a_$1.29 + $0.29 (Shared Shipping) + $0.16 Tax = Total of $1.74&quot;"/>
    <n v="174"/>
    <n v="1"/>
    <d v="2026-05-24T00:00:00"/>
    <d v="2026-05-22T00:00:00"/>
    <m/>
    <n v="469"/>
    <m/>
    <s v="Luka Doncic"/>
    <s v="2022 Panini Hoops Skyview"/>
    <s v="-"/>
    <s v="8"/>
    <n v="1.3"/>
    <x v="3"/>
    <s v="For Sale"/>
    <n v="1"/>
    <n v="1"/>
    <n v="2"/>
    <n v="1.25"/>
  </r>
  <r>
    <n v="8404075"/>
    <s v="Luka Doncic #281"/>
    <s v="Basketball Cards 2024 Panini NBA Hoops"/>
    <n v="129"/>
    <s v="Ungraded"/>
    <s v="Normal wear"/>
    <m/>
    <s v="&quot;https://www.whatnot.com/order/GhBCHwczCmrh6F7iQjEyTX_x000d__x000a_$1.43 + $0.29 (Shared Shipping) + $0.18 Tax = Total of $1.90&quot;"/>
    <n v="190"/>
    <n v="1"/>
    <d v="2026-05-24T00:00:00"/>
    <d v="2026-05-22T00:00:00"/>
    <m/>
    <n v="460"/>
    <m/>
    <s v="Luka Doncic"/>
    <s v="2024 Panini NBA Hoops"/>
    <s v="-"/>
    <s v="281"/>
    <n v="1.29"/>
    <x v="3"/>
    <s v="For Sale"/>
    <n v="1"/>
    <n v="1"/>
    <n v="2.5"/>
    <n v="1.25"/>
  </r>
  <r>
    <n v="4235113"/>
    <s v="Luka Doncic [Blue Prizm] #12"/>
    <s v="Basketball Cards 2021 Panini Select"/>
    <n v="127"/>
    <s v="Ungraded"/>
    <s v="Normal wear"/>
    <m/>
    <s v="&quot;https://www.whatnot.com/order/A2VyUVWvtd6f5zu7wQpMgK_x000d__x000a_$4.00 + $0.45 (Shared Shipping) + $0.47 Tax = Total of $5.04&quot;"/>
    <n v="504"/>
    <n v="1"/>
    <d v="2026-05-09T00:00:00"/>
    <d v="2026-05-04T00:00:00"/>
    <m/>
    <n v="411"/>
    <m/>
    <s v="Luka Doncic"/>
    <s v="2021 Panini Select"/>
    <s v="Blue Prizm"/>
    <s v="12"/>
    <n v="1.27"/>
    <x v="3"/>
    <s v="For Sale"/>
    <n v="1"/>
    <n v="1"/>
    <n v="6"/>
    <n v="1.25"/>
  </r>
  <r>
    <n v="6292612"/>
    <s v="Luka Doncic #3"/>
    <s v="Basketball Cards 2023 Panini Donruss Bomb Squad"/>
    <n v="123"/>
    <s v="Ungraded"/>
    <s v="Normal wear"/>
    <m/>
    <s v="&quot;https://www.whatnot.com/order/m7u6JPnkRPdg3KPtvFYypQ_x000d__x000a_$1.00 + $0.36 (Shared Shipping) + $0.14 Tax = Total of $1.50&quot;"/>
    <n v="150"/>
    <n v="1"/>
    <d v="2026-05-15T00:00:00"/>
    <d v="2026-05-14T00:00:00"/>
    <m/>
    <n v="498"/>
    <m/>
    <s v="Luka Doncic"/>
    <s v="2023 Panini Donruss Bomb Squad"/>
    <s v="-"/>
    <s v="3"/>
    <n v="1.23"/>
    <x v="3"/>
    <s v="For Sale"/>
    <n v="1"/>
    <n v="1"/>
    <n v="2"/>
    <n v="1"/>
  </r>
  <r>
    <n v="6284400"/>
    <s v="Luka Doncic #141"/>
    <s v="Basketball Cards 2023 Panini Donruss"/>
    <n v="121"/>
    <s v="Ungraded"/>
    <s v="Normal wear"/>
    <m/>
    <s v="&quot;https://www.whatnot.com/order/N3ommW2GZtgbdFUhrqPhaC_x000d__x000a_$2.33 + $0.21 (Shared Shipping) + $0.26 Tax = Total of $2.80&quot;_x000d__x000a_"/>
    <n v="280"/>
    <n v="1"/>
    <d v="2026-05-12T00:00:00"/>
    <d v="2026-05-06T00:00:00"/>
    <m/>
    <n v="436"/>
    <m/>
    <s v="Luka Doncic"/>
    <s v="2023 Panini Donruss"/>
    <s v="-"/>
    <s v="141"/>
    <n v="1.21"/>
    <x v="3"/>
    <s v="For Sale"/>
    <n v="1"/>
    <n v="1"/>
    <n v="3"/>
    <n v="1"/>
  </r>
  <r>
    <n v="5463644"/>
    <s v="Luka Doncic #51"/>
    <s v="Basketball Cards 2022 Panini Select"/>
    <n v="113"/>
    <s v="Ungraded"/>
    <s v="Normal wear"/>
    <m/>
    <s v="&quot;https://www.whatnot.com/order/GhBCHwczCmrh6F7iQjEyTX_x000d__x000a_$1.43 + $0.29 (Shared Shipping) + $0.18 Tax = Total of $1.90&quot;"/>
    <n v="190"/>
    <n v="1"/>
    <d v="2026-05-24T00:00:00"/>
    <d v="2026-05-22T00:00:00"/>
    <m/>
    <n v="516"/>
    <m/>
    <s v="Luka Doncic"/>
    <s v="2022 Panini Select"/>
    <s v="-"/>
    <s v="51"/>
    <n v="1.1299999999999999"/>
    <x v="3"/>
    <s v="For Sale"/>
    <n v="1"/>
    <n v="1"/>
    <n v="2.5"/>
    <n v="1"/>
  </r>
  <r>
    <n v="8406896"/>
    <s v="Luka Doncic #3"/>
    <s v="Basketball Cards 2024 Panini NBA Hoops Frequent Flyers"/>
    <n v="102"/>
    <s v="Ungraded"/>
    <s v="Normal wear"/>
    <m/>
    <s v="&quot;https://www.whatnot.com/order/N3ommW2GZtgbdFUhrqPhaC_x000d__x000a_$2.33 + $0.21 (Shared Shipping) + $0.26 Tax = Total of $2.80&quot;_x000d__x000a_"/>
    <n v="280"/>
    <n v="1"/>
    <d v="2026-05-12T00:00:00"/>
    <d v="2026-05-06T00:00:00"/>
    <m/>
    <n v="515"/>
    <m/>
    <s v="Luka Doncic"/>
    <s v="2024 Panini NBA Hoops Frequent Flyers"/>
    <s v="-"/>
    <s v="3"/>
    <n v="1.02"/>
    <x v="3"/>
    <s v="For Sale"/>
    <n v="1"/>
    <n v="1"/>
    <n v="3"/>
    <n v="1"/>
  </r>
  <r>
    <n v="9259985"/>
    <s v="Luka Doncic #13"/>
    <s v="Basketball Cards 2024 Panini Revolution"/>
    <n v="100"/>
    <s v="Ungraded"/>
    <s v="Normal wear"/>
    <m/>
    <s v="&quot;https://www.whatnot.com/order/RBy2pvRpcvEutM74HSJXng_x000d__x000a_$1.00 + $0.55 (Shared Shipping) + $0.16 Tax = Total of $1.70&quot;"/>
    <n v="170"/>
    <n v="1"/>
    <d v="2026-05-15T00:00:00"/>
    <d v="2026-05-10T00:00:00"/>
    <m/>
    <n v="542"/>
    <m/>
    <s v="Luka Doncic"/>
    <s v="2024 Panini Revolution"/>
    <s v="-"/>
    <s v="13"/>
    <n v="1"/>
    <x v="3"/>
    <s v="For Sale"/>
    <n v="1"/>
    <n v="1"/>
    <n v="2"/>
    <n v="1"/>
  </r>
  <r>
    <n v="2483033"/>
    <s v="Luka Doncic [Blue Retail] #15"/>
    <s v="Basketball Cards 2020 Panini Select"/>
    <n v="99"/>
    <s v="Ungraded"/>
    <s v="Normal wear"/>
    <m/>
    <s v="&quot;https://www.whatnot.com/order/PH2i3WhAY5rePqutCdgM8c_x000d__x000a_$1.29 + $0.29 (Shared Shipping) + $0.16 Tax = Total of $1.74&quot;"/>
    <n v="174"/>
    <n v="1"/>
    <d v="2026-05-24T00:00:00"/>
    <d v="2026-05-22T00:00:00"/>
    <m/>
    <n v="559"/>
    <m/>
    <s v="Luka Doncic"/>
    <s v="2020 Panini Select"/>
    <s v="Blue Retail"/>
    <s v="15"/>
    <n v="0.99"/>
    <x v="3"/>
    <s v="For Sale"/>
    <n v="1"/>
    <n v="1"/>
    <n v="2"/>
    <n v="0.75"/>
  </r>
  <r>
    <n v="5463744"/>
    <s v="Luka Doncic #151"/>
    <s v="Basketball Cards 2022 Panini Select"/>
    <n v="62"/>
    <s v="Ungraded"/>
    <s v="Normal wear"/>
    <m/>
    <s v="&quot;https://www.whatnot.com/order/hQVu9JLwFefwSJcu3QwY6E_x000d__x000a_$4.00 + $0.45 (Shared Shipping) + $0.47 Tax = Total of $5.04&quot;"/>
    <n v="504"/>
    <n v="1"/>
    <d v="2026-05-09T00:00:00"/>
    <d v="2026-05-04T00:00:00"/>
    <m/>
    <n v="584"/>
    <m/>
    <s v="Luka Doncic"/>
    <s v="2022 Panini Select"/>
    <s v="-"/>
    <s v="151"/>
    <n v="0.62"/>
    <x v="3"/>
    <s v="For Sale"/>
    <n v="1"/>
    <n v="1"/>
    <n v="6"/>
    <n v="0.5"/>
  </r>
  <r>
    <n v="11360390"/>
    <s v="Luka Doncic #554"/>
    <s v="Basketball Cards 2020 Panini Chronicles Hometown Heroes Rookie Autographs"/>
    <n v="0"/>
    <s v="Ungraded"/>
    <s v="Normal wear"/>
    <m/>
    <s v="&quot;https://www.whatnot.com/order/N3ommW2GZtgbdFUhrqPhaC_x000d__x000a_$2.33 + $0.21 (Shared Shipping) + $0.26 Tax = Total of $2.80&quot;"/>
    <n v="280"/>
    <n v="1"/>
    <d v="2026-05-12T00:00:00"/>
    <d v="2026-05-06T00:00:00"/>
    <m/>
    <n v="599"/>
    <m/>
    <s v="Luka Doncic"/>
    <s v="2020 Panini Chronicles Hometown Heroes Rookie Autographs"/>
    <s v="-"/>
    <s v="554"/>
    <n v="0"/>
    <x v="3"/>
    <s v="For Sale"/>
    <n v="1"/>
    <n v="1"/>
    <n v="3"/>
    <n v="0.25"/>
  </r>
  <r>
    <n v="13280701"/>
    <s v="Mac McClung [Red] #DP-MMC"/>
    <s v="Basketball Cards 2021 Panini Prizm Draft Picks Autographs"/>
    <n v="2063"/>
    <s v="Ungraded"/>
    <s v="Normal wear"/>
    <m/>
    <s v="https://www.ebay.com/itm/298388905739_x000d__x000a_$28.00 + $8.60 (Shared Shipping) + $3.75 Tax = Total of $40.35"/>
    <n v="4035"/>
    <n v="1"/>
    <d v="2026-06-09T00:00:00"/>
    <d v="2026-06-09T00:00:00"/>
    <m/>
    <n v="22"/>
    <m/>
    <s v="Mac McClung"/>
    <s v="2021 Panini Prizm Draft Picks Autographs"/>
    <s v="Red"/>
    <s v="DP-MMC"/>
    <n v="20.63"/>
    <x v="4"/>
    <s v="For Sale"/>
    <n v="1"/>
    <n v="1"/>
    <n v="48"/>
    <n v="21"/>
  </r>
  <r>
    <n v="3351202"/>
    <s v="Mac McClung #39"/>
    <s v="Basketball Cards 2021 Panini Prizm Draft Picks"/>
    <n v="149"/>
    <s v="Ungraded"/>
    <s v="Normal wear"/>
    <m/>
    <s v="&quot;https://www.whatnot.com/order/4zv9Y8T8uHjVEzhSWdVnjf_x000d__x000a_$4.00 + $0.00 (Shared Shipping) + $0.41 Tax = Total of $4.41&quot;"/>
    <n v="441"/>
    <n v="1"/>
    <d v="2026-06-09T00:00:00"/>
    <d v="2026-06-08T00:00:00"/>
    <m/>
    <n v="429"/>
    <m/>
    <s v="Mac McClung"/>
    <s v="2021 Panini Prizm Draft Picks"/>
    <s v="-"/>
    <s v="39"/>
    <n v="1.49"/>
    <x v="4"/>
    <s v="For Sale"/>
    <n v="1"/>
    <n v="1"/>
    <n v="5"/>
    <n v="1.25"/>
  </r>
  <r>
    <n v="89006"/>
    <s v="Michael Jordan #23"/>
    <s v="Basketball Cards 1997 Metal Universe"/>
    <n v="28311"/>
    <s v="Ungraded"/>
    <s v="Normal wear"/>
    <m/>
    <m/>
    <n v="500"/>
    <n v="1"/>
    <d v="2026-06-10T00:00:00"/>
    <m/>
    <m/>
    <n v="1"/>
    <m/>
    <s v="Michael Jordan"/>
    <s v="1997 Metal Universe"/>
    <s v="-"/>
    <s v="23"/>
    <n v="283.11"/>
    <x v="5"/>
    <s v="Keep"/>
    <n v="0"/>
    <n v="1"/>
    <n v="340"/>
    <n v="5"/>
  </r>
  <r>
    <n v="85372"/>
    <s v="Michael Jordan #11"/>
    <s v="Basketball Cards 1996 Fleer Metal"/>
    <n v="5000"/>
    <s v="Ungraded"/>
    <s v="Normal wear"/>
    <m/>
    <m/>
    <n v="500"/>
    <n v="1"/>
    <d v="2026-06-24T00:00:00"/>
    <m/>
    <m/>
    <n v="11"/>
    <m/>
    <s v="Michael Jordan"/>
    <s v="1996 Fleer Metal"/>
    <s v="-"/>
    <s v="11"/>
    <n v="50"/>
    <x v="5"/>
    <s v="Keep"/>
    <n v="1"/>
    <n v="1"/>
    <n v="60"/>
    <n v="5"/>
  </r>
  <r>
    <n v="85372"/>
    <s v="Michael Jordan #11"/>
    <s v="Basketball Cards 1996 Fleer Metal"/>
    <n v="5000"/>
    <s v="Ungraded"/>
    <s v="Normal wear"/>
    <m/>
    <m/>
    <n v="500"/>
    <n v="1"/>
    <d v="2026-06-10T00:00:00"/>
    <m/>
    <m/>
    <n v="3"/>
    <m/>
    <s v="Michael Jordan"/>
    <s v="1996 Fleer Metal"/>
    <s v="-"/>
    <s v="11"/>
    <n v="50"/>
    <x v="5"/>
    <s v="For Sale"/>
    <n v="1"/>
    <n v="1"/>
    <n v="60"/>
    <n v="5"/>
  </r>
  <r>
    <n v="85449"/>
    <s v="Michael Jordan #241"/>
    <s v="Basketball Cards 1996 Fleer Metal"/>
    <n v="3049"/>
    <s v="Ungraded"/>
    <s v="Normal wear"/>
    <m/>
    <m/>
    <n v="250"/>
    <n v="1"/>
    <d v="2026-04-17T00:00:00"/>
    <m/>
    <m/>
    <n v="7"/>
    <m/>
    <s v="Michael Jordan"/>
    <s v="1996 Fleer Metal"/>
    <s v="-"/>
    <s v="241"/>
    <n v="30.49"/>
    <x v="5"/>
    <s v="For Sale"/>
    <n v="1"/>
    <n v="1"/>
    <n v="37"/>
    <n v="3"/>
  </r>
  <r>
    <n v="3225488"/>
    <s v="Michael Jordan #100"/>
    <s v="Basketball Cards 1994 E Motion"/>
    <n v="2970"/>
    <s v="Ungraded"/>
    <s v="Normal wear"/>
    <m/>
    <s v="&quot;ebay.com/itm/298423082887_x000d__x000a_$20.00 + $5.48 (Shared Shipping) + $2.61 Tax = Total of $28.09&quot;"/>
    <n v="2809"/>
    <n v="1"/>
    <d v="2026-06-22T00:00:00"/>
    <d v="2026-06-21T00:00:00"/>
    <m/>
    <n v="8"/>
    <m/>
    <s v="Michael Jordan"/>
    <s v="1994 E Motion"/>
    <s v="-"/>
    <s v="100"/>
    <n v="29.7"/>
    <x v="5"/>
    <s v="Keep"/>
    <n v="0"/>
    <n v="1"/>
    <n v="36"/>
    <n v="28"/>
  </r>
  <r>
    <n v="3279930"/>
    <s v="Michael Jordan #T59"/>
    <s v="Basketball Cards 1997 Upper Deck Teammates"/>
    <n v="2152"/>
    <s v="Ungraded"/>
    <s v="Normal wear"/>
    <m/>
    <m/>
    <n v="0"/>
    <n v="1"/>
    <d v="2026-04-15T00:00:00"/>
    <m/>
    <m/>
    <n v="10"/>
    <m/>
    <s v="Michael Jordan"/>
    <s v="1997 Upper Deck Teammates"/>
    <s v="-"/>
    <s v="T59"/>
    <n v="21.52"/>
    <x v="5"/>
    <s v="For Sale"/>
    <n v="1"/>
    <n v="1"/>
    <n v="26"/>
    <n v="22"/>
  </r>
  <r>
    <n v="1951621"/>
    <s v="Michael Jordan #SP1"/>
    <s v="Baseball Cards 1991 Upper Deck"/>
    <n v="2034"/>
    <s v="Ungraded"/>
    <s v="Normal wear"/>
    <m/>
    <m/>
    <n v="0"/>
    <n v="1"/>
    <d v="2026-04-17T00:00:00"/>
    <m/>
    <m/>
    <n v="9"/>
    <m/>
    <s v="Michael Jordan"/>
    <s v="1991 Upper Deck"/>
    <s v="-"/>
    <s v="SP1"/>
    <n v="20.34"/>
    <x v="5"/>
    <s v="For Sale"/>
    <n v="1"/>
    <n v="1"/>
    <n v="24"/>
    <n v="20"/>
  </r>
  <r>
    <n v="85637"/>
    <s v="Michael Jordan #16"/>
    <s v="Basketball Cards 1996 Skybox Premium"/>
    <n v="1573"/>
    <s v="Ungraded"/>
    <s v="Normal wear"/>
    <m/>
    <m/>
    <n v="0"/>
    <n v="1"/>
    <d v="2026-06-10T00:00:00"/>
    <m/>
    <m/>
    <n v="17"/>
    <m/>
    <s v="Michael Jordan"/>
    <s v="1996 Skybox Premium"/>
    <s v="-"/>
    <s v="16"/>
    <n v="15.73"/>
    <x v="5"/>
    <s v="For Sale"/>
    <n v="2"/>
    <n v="1"/>
    <n v="19"/>
    <n v="13"/>
  </r>
  <r>
    <n v="85637"/>
    <s v="Michael Jordan #16"/>
    <s v="Basketball Cards 1996 Skybox Premium"/>
    <n v="1573"/>
    <s v="Ungraded"/>
    <s v="Normal wear"/>
    <m/>
    <m/>
    <n v="0"/>
    <n v="1"/>
    <d v="2026-04-16T00:00:00"/>
    <d v="2026-04-16T00:00:00"/>
    <m/>
    <n v="18"/>
    <m/>
    <s v="Michael Jordan"/>
    <s v="1996 Skybox Premium"/>
    <s v="-"/>
    <s v="16"/>
    <n v="15.73"/>
    <x v="5"/>
    <s v="For Sale"/>
    <n v="2"/>
    <n v="1"/>
    <n v="19"/>
    <n v="13"/>
  </r>
  <r>
    <n v="8958970"/>
    <s v="Michael Jordan #M25"/>
    <s v="Basketball Cards 1998 Upper Deck MJ23"/>
    <n v="795"/>
    <s v="Ungraded"/>
    <s v="Normal wear"/>
    <m/>
    <m/>
    <n v="0"/>
    <n v="1"/>
    <d v="2026-05-30T00:00:00"/>
    <m/>
    <m/>
    <n v="37"/>
    <m/>
    <s v="Michael Jordan"/>
    <s v="1998 Upper Deck MJ23"/>
    <s v="-"/>
    <s v="M25"/>
    <n v="7.95"/>
    <x v="5"/>
    <s v="For Sale"/>
    <n v="1"/>
    <n v="1"/>
    <n v="10"/>
    <n v="8"/>
  </r>
  <r>
    <n v="154462"/>
    <s v="Michael Jordan #39"/>
    <s v="Basketball Cards 1991 Skybox"/>
    <n v="507"/>
    <s v="Ungraded"/>
    <s v="Normal wear"/>
    <m/>
    <m/>
    <n v="0"/>
    <n v="1"/>
    <d v="2026-04-15T00:00:00"/>
    <m/>
    <m/>
    <n v="111"/>
    <m/>
    <s v="Michael Jordan"/>
    <s v="1991 Skybox"/>
    <s v="-"/>
    <s v="39"/>
    <n v="5.07"/>
    <x v="5"/>
    <s v="For Sale"/>
    <n v="1"/>
    <n v="1"/>
    <n v="6"/>
    <n v="5"/>
  </r>
  <r>
    <n v="87370"/>
    <s v="Michael Jordan #16"/>
    <s v="Basketball Cards 1996 Upper Deck"/>
    <n v="399"/>
    <s v="Ungraded"/>
    <s v="Normal wear"/>
    <m/>
    <m/>
    <n v="0"/>
    <n v="1"/>
    <d v="2026-04-15T00:00:00"/>
    <m/>
    <m/>
    <n v="163"/>
    <m/>
    <s v="Michael Jordan"/>
    <s v="1996 Upper Deck"/>
    <s v="-"/>
    <s v="16"/>
    <n v="3.99"/>
    <x v="5"/>
    <s v="For Sale"/>
    <n v="1"/>
    <n v="1"/>
    <n v="5"/>
    <n v="4"/>
  </r>
  <r>
    <n v="2263220"/>
    <s v="Michael Jordan #CA10"/>
    <s v="Basketball Cards 1996 Collector's Choice Jordan Cut Above"/>
    <n v="398"/>
    <s v="Ungraded"/>
    <s v="Normal wear"/>
    <m/>
    <m/>
    <n v="0"/>
    <n v="1"/>
    <d v="2026-04-17T00:00:00"/>
    <m/>
    <m/>
    <n v="161"/>
    <m/>
    <s v="Michael Jordan"/>
    <s v="1996 Collector's Choice Jordan Cut Above"/>
    <s v="-"/>
    <s v="CA10"/>
    <n v="3.98"/>
    <x v="5"/>
    <s v="For Sale"/>
    <n v="1"/>
    <n v="1"/>
    <n v="5"/>
    <n v="4"/>
  </r>
  <r>
    <n v="3296094"/>
    <s v="Michael Jordan #CA9"/>
    <s v="Basketball Cards 1996 Collector's Choice Jordan Cut Above"/>
    <n v="397"/>
    <s v="Ungraded"/>
    <s v="Normal wear"/>
    <m/>
    <m/>
    <n v="0"/>
    <n v="1"/>
    <d v="2026-04-17T00:00:00"/>
    <m/>
    <m/>
    <n v="147"/>
    <m/>
    <s v="Michael Jordan"/>
    <s v="1996 Collector's Choice Jordan Cut Above"/>
    <s v="-"/>
    <s v="CA9"/>
    <n v="3.97"/>
    <x v="5"/>
    <s v="For Sale"/>
    <n v="1"/>
    <n v="1"/>
    <n v="5"/>
    <n v="4"/>
  </r>
  <r>
    <n v="5550603"/>
    <s v="Michael Jordan #AT3"/>
    <s v="Basketball Cards 1997 Upper Deck Jordan Air Time"/>
    <n v="392"/>
    <s v="Ungraded"/>
    <s v="Normal wear"/>
    <m/>
    <m/>
    <n v="0"/>
    <n v="1"/>
    <d v="2026-04-15T00:00:00"/>
    <m/>
    <m/>
    <n v="135"/>
    <m/>
    <s v="Michael Jordan"/>
    <s v="1997 Upper Deck Jordan Air Time"/>
    <s v="-"/>
    <s v="AT3"/>
    <n v="3.92"/>
    <x v="5"/>
    <s v="For Sale"/>
    <n v="1"/>
    <n v="1"/>
    <n v="5"/>
    <n v="4"/>
  </r>
  <r>
    <n v="5550606"/>
    <s v="Michael Jordan #AT5"/>
    <s v="Basketball Cards 1997 Upper Deck Jordan Air Time"/>
    <n v="376"/>
    <s v="Ungraded"/>
    <s v="Normal wear"/>
    <m/>
    <m/>
    <n v="0"/>
    <n v="1"/>
    <d v="2026-05-07T00:00:00"/>
    <m/>
    <m/>
    <n v="144"/>
    <m/>
    <s v="Michael Jordan"/>
    <s v="1997 Upper Deck Jordan Air Time"/>
    <s v="-"/>
    <s v="AT5"/>
    <n v="3.76"/>
    <x v="5"/>
    <s v="For Sale"/>
    <n v="1"/>
    <n v="1"/>
    <n v="5"/>
    <n v="4"/>
  </r>
  <r>
    <n v="83773"/>
    <s v="Michael Jordan #137"/>
    <s v="Basketball Cards 1995 Upper Deck"/>
    <n v="350"/>
    <s v="Ungraded"/>
    <s v="Normal wear"/>
    <m/>
    <m/>
    <n v="0"/>
    <n v="1"/>
    <d v="2026-04-17T00:00:00"/>
    <m/>
    <m/>
    <n v="172"/>
    <m/>
    <s v="Michael Jordan"/>
    <s v="1995 Upper Deck"/>
    <s v="-"/>
    <s v="137"/>
    <n v="3.5"/>
    <x v="5"/>
    <s v="For Sale"/>
    <n v="1"/>
    <n v="1"/>
    <n v="4"/>
    <n v="4"/>
  </r>
  <r>
    <n v="83746"/>
    <s v="Michael Jordan #23"/>
    <s v="Basketball Cards 1995 Upper Deck"/>
    <n v="330"/>
    <s v="Ungraded"/>
    <s v="Normal wear"/>
    <m/>
    <m/>
    <n v="0"/>
    <n v="1"/>
    <d v="2026-06-10T00:00:00"/>
    <m/>
    <m/>
    <n v="167"/>
    <m/>
    <s v="Michael Jordan"/>
    <s v="1995 Upper Deck"/>
    <s v="-"/>
    <s v="23"/>
    <n v="3.3"/>
    <x v="5"/>
    <s v="For Sale"/>
    <n v="2"/>
    <n v="1"/>
    <n v="4"/>
    <n v="3"/>
  </r>
  <r>
    <n v="83746"/>
    <s v="Michael Jordan #23"/>
    <s v="Basketball Cards 1995 Upper Deck"/>
    <n v="330"/>
    <s v="Ungraded"/>
    <s v="Normal wear"/>
    <m/>
    <m/>
    <n v="0"/>
    <n v="1"/>
    <d v="2026-04-15T00:00:00"/>
    <m/>
    <m/>
    <n v="168"/>
    <m/>
    <s v="Michael Jordan"/>
    <s v="1995 Upper Deck"/>
    <s v="-"/>
    <s v="23"/>
    <n v="3.3"/>
    <x v="5"/>
    <s v="For Sale"/>
    <n v="2"/>
    <n v="1"/>
    <n v="4"/>
    <n v="3"/>
  </r>
  <r>
    <n v="2755758"/>
    <s v="Michael Jordan #CA1"/>
    <s v="Basketball Cards 1996 Collector's Choice Jordan Cut Above"/>
    <n v="319"/>
    <s v="Ungraded"/>
    <s v="Normal wear"/>
    <m/>
    <m/>
    <n v="0"/>
    <n v="1"/>
    <d v="2026-04-17T00:00:00"/>
    <m/>
    <m/>
    <n v="166"/>
    <m/>
    <s v="Michael Jordan"/>
    <s v="1996 Collector's Choice Jordan Cut Above"/>
    <s v="-"/>
    <s v="CA1"/>
    <n v="3.19"/>
    <x v="5"/>
    <s v="For Sale"/>
    <n v="1"/>
    <n v="1"/>
    <n v="4"/>
    <n v="3"/>
  </r>
  <r>
    <n v="3296095"/>
    <s v="Michael Jordan #CA2"/>
    <s v="Basketball Cards 1996 Collector's Choice Jordan Cut Above"/>
    <n v="309"/>
    <s v="Ungraded"/>
    <s v="Normal wear"/>
    <m/>
    <m/>
    <n v="0"/>
    <n v="1"/>
    <d v="2026-04-17T00:00:00"/>
    <m/>
    <m/>
    <n v="171"/>
    <m/>
    <s v="Michael Jordan"/>
    <s v="1996 Collector's Choice Jordan Cut Above"/>
    <s v="-"/>
    <s v="CA2"/>
    <n v="3.09"/>
    <x v="5"/>
    <s v="For Sale"/>
    <n v="1"/>
    <n v="1"/>
    <n v="4"/>
    <n v="3"/>
  </r>
  <r>
    <n v="93699"/>
    <s v="Michael Jordan #23"/>
    <s v="Basketball Cards 1998 UD Choice"/>
    <n v="299"/>
    <s v="Ungraded"/>
    <s v="Normal wear"/>
    <m/>
    <m/>
    <n v="0"/>
    <n v="1"/>
    <d v="2026-06-16T00:00:00"/>
    <m/>
    <m/>
    <n v="181"/>
    <m/>
    <s v="Michael Jordan"/>
    <s v="1998 UD Choice"/>
    <s v="-"/>
    <s v="23"/>
    <n v="2.99"/>
    <x v="5"/>
    <s v="For Sale"/>
    <n v="1"/>
    <n v="1"/>
    <n v="4"/>
    <n v="3"/>
  </r>
  <r>
    <n v="154635"/>
    <s v="Michael Jordan #44"/>
    <s v="Basketball Cards 1991 Upper Deck"/>
    <n v="298"/>
    <s v="Ungraded"/>
    <s v="Normal wear"/>
    <m/>
    <m/>
    <n v="0"/>
    <n v="1"/>
    <d v="2026-04-17T00:00:00"/>
    <m/>
    <m/>
    <n v="180"/>
    <m/>
    <s v="Michael Jordan"/>
    <s v="1991 Upper Deck"/>
    <s v="-"/>
    <s v="44"/>
    <n v="2.98"/>
    <x v="5"/>
    <s v="For Sale"/>
    <n v="1"/>
    <n v="1"/>
    <n v="4"/>
    <n v="3"/>
  </r>
  <r>
    <n v="3296099"/>
    <s v="Michael Jordan #CA7"/>
    <s v="Basketball Cards 1996 Collector's Choice Jordan Cut Above"/>
    <n v="296"/>
    <s v="Ungraded"/>
    <s v="Normal wear"/>
    <m/>
    <m/>
    <n v="0"/>
    <n v="1"/>
    <d v="2026-04-17T00:00:00"/>
    <m/>
    <m/>
    <n v="187"/>
    <m/>
    <s v="Michael Jordan"/>
    <s v="1996 Collector's Choice Jordan Cut Above"/>
    <s v="-"/>
    <s v="CA7"/>
    <n v="2.96"/>
    <x v="5"/>
    <s v="For Sale"/>
    <n v="1"/>
    <n v="1"/>
    <n v="4"/>
    <n v="3"/>
  </r>
  <r>
    <n v="3296097"/>
    <s v="Michael Jordan #CA5"/>
    <s v="Basketball Cards 1996 Collector's Choice Jordan Cut Above"/>
    <n v="293"/>
    <s v="Ungraded"/>
    <s v="Normal wear"/>
    <m/>
    <m/>
    <n v="0"/>
    <n v="1"/>
    <d v="2026-04-17T00:00:00"/>
    <m/>
    <m/>
    <n v="189"/>
    <m/>
    <s v="Michael Jordan"/>
    <s v="1996 Collector's Choice Jordan Cut Above"/>
    <s v="-"/>
    <s v="CA5"/>
    <n v="2.93"/>
    <x v="5"/>
    <s v="For Sale"/>
    <n v="1"/>
    <n v="1"/>
    <n v="4"/>
    <n v="3"/>
  </r>
  <r>
    <n v="3219585"/>
    <s v="Michael Jordan #CA4"/>
    <s v="Basketball Cards 1996 Collector's Choice Jordan Cut Above"/>
    <n v="288"/>
    <s v="Ungraded"/>
    <s v="Normal wear"/>
    <m/>
    <m/>
    <n v="0"/>
    <n v="1"/>
    <d v="2026-04-17T00:00:00"/>
    <m/>
    <m/>
    <n v="188"/>
    <m/>
    <s v="Michael Jordan"/>
    <s v="1996 Collector's Choice Jordan Cut Above"/>
    <s v="-"/>
    <s v="CA4"/>
    <n v="2.88"/>
    <x v="5"/>
    <s v="For Sale"/>
    <n v="1"/>
    <n v="1"/>
    <n v="3"/>
    <n v="3"/>
  </r>
  <r>
    <n v="3296098"/>
    <s v="Michael Jordan #CA6"/>
    <s v="Basketball Cards 1996 Collector's Choice Jordan Cut Above"/>
    <n v="272"/>
    <s v="Ungraded"/>
    <s v="Normal wear"/>
    <m/>
    <m/>
    <n v="0"/>
    <n v="1"/>
    <d v="2026-04-17T00:00:00"/>
    <m/>
    <m/>
    <n v="200"/>
    <m/>
    <s v="Michael Jordan"/>
    <s v="1996 Collector's Choice Jordan Cut Above"/>
    <s v="-"/>
    <s v="CA6"/>
    <n v="2.72"/>
    <x v="5"/>
    <s v="For Sale"/>
    <n v="1"/>
    <n v="1"/>
    <n v="3"/>
    <n v="3"/>
  </r>
  <r>
    <n v="5790767"/>
    <s v="Michael Jordan #159"/>
    <s v="Basketball Cards 1998 UD Choice"/>
    <n v="269"/>
    <s v="Ungraded"/>
    <s v="Normal wear"/>
    <m/>
    <m/>
    <n v="0"/>
    <n v="1"/>
    <d v="2026-05-31T00:00:00"/>
    <m/>
    <m/>
    <n v="195"/>
    <m/>
    <s v="Michael Jordan"/>
    <s v="1998 UD Choice"/>
    <s v="-"/>
    <s v="159"/>
    <n v="2.69"/>
    <x v="5"/>
    <s v="For Sale"/>
    <n v="1"/>
    <n v="1"/>
    <n v="3"/>
    <n v="3"/>
  </r>
  <r>
    <n v="4423452"/>
    <s v="Michael Jordan #CA8"/>
    <s v="Basketball Cards 1996 Collector's Choice Jordan Cut Above"/>
    <n v="258"/>
    <s v="Ungraded"/>
    <s v="Normal wear"/>
    <m/>
    <m/>
    <n v="0"/>
    <n v="1"/>
    <d v="2026-04-17T00:00:00"/>
    <m/>
    <m/>
    <n v="204"/>
    <m/>
    <s v="Michael Jordan"/>
    <s v="1996 Collector's Choice Jordan Cut Above"/>
    <s v="-"/>
    <s v="CA8"/>
    <n v="2.58"/>
    <x v="5"/>
    <s v="For Sale"/>
    <n v="1"/>
    <n v="1"/>
    <n v="3"/>
    <n v="3"/>
  </r>
  <r>
    <n v="84142"/>
    <s v="Michael Jordan #23"/>
    <s v="Basketball Cards 1996 Collector's Choice"/>
    <n v="253"/>
    <s v="Ungraded"/>
    <s v="Normal wear"/>
    <m/>
    <m/>
    <n v="0"/>
    <n v="1"/>
    <d v="2026-04-17T00:00:00"/>
    <m/>
    <m/>
    <n v="184"/>
    <m/>
    <s v="Michael Jordan"/>
    <s v="1996 Collector's Choice"/>
    <s v="-"/>
    <s v="23"/>
    <n v="2.5299999999999998"/>
    <x v="5"/>
    <s v="For Sale"/>
    <n v="1"/>
    <n v="1"/>
    <n v="3"/>
    <n v="3"/>
  </r>
  <r>
    <n v="87411"/>
    <s v="Michael Jordan #165"/>
    <s v="Basketball Cards 1996 Upper Deck"/>
    <n v="251"/>
    <s v="Ungraded"/>
    <s v="Normal wear"/>
    <m/>
    <m/>
    <n v="0"/>
    <n v="1"/>
    <d v="2026-06-10T00:00:00"/>
    <m/>
    <m/>
    <n v="197"/>
    <m/>
    <s v="Michael Jordan"/>
    <s v="1996 Upper Deck"/>
    <s v="-"/>
    <s v="165"/>
    <n v="2.5099999999999998"/>
    <x v="5"/>
    <s v="For Sale"/>
    <n v="2"/>
    <n v="1"/>
    <n v="3"/>
    <n v="2"/>
  </r>
  <r>
    <n v="87411"/>
    <s v="Michael Jordan #165"/>
    <s v="Basketball Cards 1996 Upper Deck"/>
    <n v="251"/>
    <s v="Ungraded"/>
    <s v="Normal wear"/>
    <m/>
    <m/>
    <n v="0"/>
    <n v="1"/>
    <d v="2026-04-17T00:00:00"/>
    <m/>
    <m/>
    <n v="198"/>
    <m/>
    <s v="Michael Jordan"/>
    <s v="1996 Upper Deck"/>
    <s v="-"/>
    <s v="165"/>
    <n v="2.5099999999999998"/>
    <x v="5"/>
    <s v="For Sale"/>
    <n v="2"/>
    <n v="1"/>
    <n v="3"/>
    <n v="2"/>
  </r>
  <r>
    <n v="80786"/>
    <s v="Michael Jordan #199"/>
    <s v="Basketball Cards 1993 Topps"/>
    <n v="221"/>
    <s v="Ungraded"/>
    <s v="Normal wear"/>
    <m/>
    <m/>
    <n v="0"/>
    <n v="1"/>
    <d v="2026-05-07T00:00:00"/>
    <m/>
    <m/>
    <n v="169"/>
    <m/>
    <s v="Michael Jordan"/>
    <s v="1993 Topps"/>
    <s v="-"/>
    <s v="199"/>
    <n v="2.21"/>
    <x v="5"/>
    <s v="For Sale"/>
    <n v="1"/>
    <n v="1"/>
    <n v="3"/>
    <n v="2"/>
  </r>
  <r>
    <n v="154660"/>
    <s v="Michael Jordan #69"/>
    <s v="Basketball Cards 1991 Upper Deck"/>
    <n v="199"/>
    <s v="Ungraded"/>
    <s v="Normal wear"/>
    <m/>
    <m/>
    <n v="0"/>
    <n v="1"/>
    <d v="2026-06-13T00:00:00"/>
    <m/>
    <m/>
    <n v="229"/>
    <m/>
    <s v="Michael Jordan"/>
    <s v="1991 Upper Deck"/>
    <s v="-"/>
    <s v="69"/>
    <n v="1.99"/>
    <x v="5"/>
    <s v="For Sale"/>
    <n v="1"/>
    <n v="1"/>
    <n v="2.5"/>
    <n v="2"/>
  </r>
  <r>
    <n v="3225703"/>
    <s v="Michael Jordan #VP5"/>
    <s v="Basketball Cards 1997 Upper Deck Holojam"/>
    <n v="0"/>
    <s v="Ungraded"/>
    <s v="Normal wear"/>
    <m/>
    <m/>
    <n v="0"/>
    <n v="1"/>
    <d v="2026-05-07T00:00:00"/>
    <m/>
    <m/>
    <n v="595"/>
    <m/>
    <s v="Michael Jordan"/>
    <s v="1997 Upper Deck Holojam"/>
    <s v="-"/>
    <s v="VP5"/>
    <n v="0"/>
    <x v="5"/>
    <s v="For Sale"/>
    <n v="1"/>
    <n v="1"/>
    <n v="0.25"/>
    <n v="0.25"/>
  </r>
  <r>
    <n v="9277532"/>
    <s v="Spider-Man #4"/>
    <s v="Marvel 1994 Fleer Amazing Spider-Man Hologram"/>
    <n v="1649"/>
    <s v="Ungraded"/>
    <s v="Normal wear"/>
    <m/>
    <m/>
    <n v="0"/>
    <n v="1"/>
    <d v="2026-04-17T00:00:00"/>
    <m/>
    <m/>
    <n v="19"/>
    <m/>
    <s v="Spider-Man"/>
    <s v="Marvel 1994 Fleer Amazing Spider-Man Hologram"/>
    <s v="-"/>
    <s v="4"/>
    <n v="16.489999999999998"/>
    <x v="6"/>
    <s v="For Sale"/>
    <n v="1"/>
    <n v="1"/>
    <n v="20"/>
    <n v="16"/>
  </r>
  <r>
    <n v="7292331"/>
    <s v="Victor Wembanyama #1"/>
    <s v="Basketball Cards 2023 Topps Chrome"/>
    <n v="3400"/>
    <s v="Ungraded"/>
    <s v="Normal wear"/>
    <m/>
    <s v="&quot;https://www.whatnot.com/order/Z82h48WoJ3uJcg9xAmSGSz_x000d__x000a_$45.00 + $0.91 (Shared Shipping) + $4.71 Tax = Total of $50.62&quot;"/>
    <n v="5062"/>
    <n v="1"/>
    <d v="2026-06-01T00:00:00"/>
    <d v="2026-05-31T00:00:00"/>
    <m/>
    <n v="6"/>
    <m/>
    <s v="Victor Wembanyama"/>
    <s v="2023 Topps Chrome"/>
    <s v="-"/>
    <s v="1"/>
    <n v="34"/>
    <x v="7"/>
    <s v="Keep"/>
    <n v="0"/>
    <n v="1"/>
    <n v="61"/>
    <n v="34"/>
  </r>
  <r>
    <n v="6066827"/>
    <s v="Victor Wembanyama #1"/>
    <s v="Basketball Cards 2023 Panini Hoops Attack the Rack"/>
    <n v="1601"/>
    <s v="Ungraded"/>
    <s v="Normal wear"/>
    <m/>
    <s v="&quot;whatnot.com/order/LGPnRNkgKGF9RMDyPrydES_x000d__x000a_$14.00 + $1.05 (Shared Shipping) + $1.54 Tax = Total of $16.59&quot;"/>
    <n v="1659"/>
    <n v="1"/>
    <d v="2026-06-10T00:00:00"/>
    <d v="2026-06-09T00:00:00"/>
    <m/>
    <n v="20"/>
    <m/>
    <s v="Victor Wembanyama"/>
    <s v="2023 Panini Hoops Attack the Rack"/>
    <s v="-"/>
    <s v="1"/>
    <n v="16.010000000000002"/>
    <x v="7"/>
    <s v="Keep"/>
    <n v="0"/>
    <n v="1"/>
    <n v="20"/>
    <n v="16"/>
  </r>
  <r>
    <n v="11909426"/>
    <s v="Victor Wembanyama #KI-VW"/>
    <s v="Basketball Cards 2025 Topps Match Attax In Motion"/>
    <n v="1097"/>
    <s v="Ungraded"/>
    <s v="Normal wear"/>
    <m/>
    <s v="&quot;https://www.whatnot.com/order/YizRVYJABNSdo22iZwgKNb_x000d__x000a_$5.00 + $0.35 (Shared Shipping) + $0.55 Tax = Total of $5.89&quot;"/>
    <n v="589"/>
    <n v="1"/>
    <d v="2026-05-22T00:00:00"/>
    <d v="2026-05-15T00:00:00"/>
    <m/>
    <n v="30"/>
    <m/>
    <s v="Victor Wembanyama"/>
    <s v="2025 Topps Match Attax In Motion"/>
    <s v="-"/>
    <s v="KI-VW"/>
    <n v="10.97"/>
    <x v="7"/>
    <s v="For Sale"/>
    <n v="1"/>
    <n v="1"/>
    <n v="13"/>
    <n v="6"/>
  </r>
  <r>
    <n v="11830213"/>
    <s v="Victor Wembanyama #BB-VW"/>
    <s v="Basketball Cards 2025 Topps Match Attax Breakthrough Baller"/>
    <n v="552"/>
    <s v="Ungraded"/>
    <s v="Normal wear"/>
    <m/>
    <s v="&quot;whatnot.com/order/dreE2xdZz6eNaRJPKmkUNj_x000d__x000a_$3.00 + $0.35 (Shared Shipping) + $0.34 Tax = Total of $3.70&quot;"/>
    <n v="370"/>
    <n v="1"/>
    <d v="2026-05-22T00:00:00"/>
    <d v="2026-05-19T00:00:00"/>
    <m/>
    <n v="44"/>
    <m/>
    <s v="Victor Wembanyama"/>
    <s v="2025 Topps Match Attax Breakthrough Baller"/>
    <s v="-"/>
    <s v="BB-VW"/>
    <n v="5.52"/>
    <x v="7"/>
    <s v="For Sale"/>
    <n v="4"/>
    <n v="1"/>
    <n v="7"/>
    <n v="3"/>
  </r>
  <r>
    <n v="11830213"/>
    <s v="Victor Wembanyama #BB-VW"/>
    <s v="Basketball Cards 2025 Topps Match Attax Breakthrough Baller"/>
    <n v="552"/>
    <s v="Ungraded"/>
    <s v="Normal wear"/>
    <m/>
    <s v="&quot;whatnot.com/order/V7U6XPjihidFw6zF8nFVk5_x000d__x000a_$4.00 + $0.80 (Shared Shipping) + $0.49 Tax = Total of $5.29&quot;"/>
    <n v="529"/>
    <n v="1"/>
    <d v="2026-06-10T00:00:00"/>
    <d v="2026-05-19T00:00:00"/>
    <m/>
    <n v="45"/>
    <m/>
    <s v="Victor Wembanyama"/>
    <s v="2025 Topps Match Attax Breakthrough Baller"/>
    <s v="-"/>
    <s v="BB-VW"/>
    <n v="5.52"/>
    <x v="7"/>
    <s v="For Sale"/>
    <n v="4"/>
    <n v="1"/>
    <n v="7"/>
    <n v="4"/>
  </r>
  <r>
    <n v="11830213"/>
    <s v="Victor Wembanyama #BB-VW"/>
    <s v="Basketball Cards 2025 Topps Match Attax Breakthrough Baller"/>
    <n v="552"/>
    <s v="Ungraded"/>
    <s v="Normal wear"/>
    <m/>
    <s v="&quot;whatnot.com/order/V3RCUewZwCDfiBZPvUE9Az_x000d__x000a_$3.00 + $0.35 (Shared Shipping) + $0.34 Tax = Total of $3.70&quot;"/>
    <n v="370"/>
    <n v="1"/>
    <d v="2026-06-10T00:00:00"/>
    <d v="2026-05-19T00:00:00"/>
    <m/>
    <n v="46"/>
    <m/>
    <s v="Victor Wembanyama"/>
    <s v="2025 Topps Match Attax Breakthrough Baller"/>
    <s v="-"/>
    <s v="BB-VW"/>
    <n v="5.52"/>
    <x v="7"/>
    <s v="For Sale"/>
    <n v="4"/>
    <n v="1"/>
    <n v="7"/>
    <n v="3"/>
  </r>
  <r>
    <n v="11830213"/>
    <s v="Victor Wembanyama #BB-VW"/>
    <s v="Basketball Cards 2025 Topps Match Attax Breakthrough Baller"/>
    <n v="552"/>
    <s v="Ungraded"/>
    <s v="Normal wear"/>
    <m/>
    <s v="&quot;whatnot.com/order/XkjMoJAg278e8FP5go6RjV_x000d__x000a_$3.00 + $0.35 (Shared Shipping) + $0.34 Tax = Total of $3.70&quot;"/>
    <n v="370"/>
    <n v="1"/>
    <d v="2026-06-10T00:00:00"/>
    <d v="2026-05-19T00:00:00"/>
    <m/>
    <n v="47"/>
    <m/>
    <s v="Victor Wembanyama"/>
    <s v="2025 Topps Match Attax Breakthrough Baller"/>
    <s v="-"/>
    <s v="BB-VW"/>
    <n v="5.52"/>
    <x v="7"/>
    <s v="For Sale"/>
    <n v="4"/>
    <n v="1"/>
    <n v="7"/>
    <n v="3"/>
  </r>
  <r>
    <n v="11497700"/>
    <s v="Victor Wembanyama #IP-6"/>
    <s v="Basketball Cards 2025 Topps Chrome Inspirational"/>
    <n v="249"/>
    <s v="Ungraded"/>
    <s v="Normal wear"/>
    <m/>
    <s v="&quot;https://www.whatnot.com/order/oUotfyREdfzsNuUScDvio3_x000d__x000a_$11.00 + $0.78 (Shared Shipping) + $1.21 Tax = Total of $12.99&quot;"/>
    <n v="1299"/>
    <n v="1"/>
    <d v="2026-06-09T00:00:00"/>
    <d v="2026-06-08T00:00:00"/>
    <m/>
    <n v="211"/>
    <m/>
    <s v="Victor Wembanyama"/>
    <s v="2025 Topps Chrome Inspirational"/>
    <s v="-"/>
    <s v="IP-6"/>
    <n v="2.4900000000000002"/>
    <x v="7"/>
    <s v="For Sale"/>
    <n v="1"/>
    <n v="1"/>
    <n v="16"/>
    <n v="2.5"/>
  </r>
  <r>
    <n v="12957424"/>
    <s v="Victor Wembanyama #289"/>
    <s v="Basketball Cards 2025 Topps NBA Hoops"/>
    <n v="174"/>
    <s v="Ungraded"/>
    <s v="Normal wear"/>
    <m/>
    <m/>
    <n v="0"/>
    <n v="1"/>
    <d v="2026-06-16T00:00:00"/>
    <m/>
    <m/>
    <n v="214"/>
    <m/>
    <s v="Victor Wembanyama"/>
    <s v="2025 Topps NBA Hoops"/>
    <s v="-"/>
    <s v="289"/>
    <n v="1.74"/>
    <x v="7"/>
    <s v="For Sale"/>
    <n v="1"/>
    <n v="1"/>
    <n v="2"/>
    <n v="1.5"/>
  </r>
  <r>
    <n v="10819453"/>
    <s v="Victor Wembanyama #195"/>
    <s v="Basketball Cards 2025 Topps"/>
    <n v="142"/>
    <s v="Ungraded"/>
    <s v="Normal wear"/>
    <m/>
    <s v="&quot;https://www.whatnot.com/order/NMxKJ4hE9QKucKgDpADrjE_x000d__x000a_$2.50 + $0.00 (Shared Shipping) + $0.26 Tax = Total of $2.76&quot;_x000d__x000a_"/>
    <n v="276"/>
    <n v="1"/>
    <d v="2026-05-24T00:00:00"/>
    <d v="2026-05-23T00:00:00"/>
    <m/>
    <n v="530"/>
    <m/>
    <s v="Victor Wembanyama"/>
    <s v="2025 Topps"/>
    <s v="-"/>
    <s v="195"/>
    <n v="1.42"/>
    <x v="7"/>
    <s v="For Sale"/>
    <n v="1"/>
    <n v="1"/>
    <n v="3"/>
    <n v="1.25"/>
  </r>
  <r>
    <n v="12615262"/>
    <s v="Victor Wembanyama #143"/>
    <s v="Basketball Cards 2025 Bowman"/>
    <n v="135"/>
    <s v="Ungraded"/>
    <s v="Normal wear"/>
    <m/>
    <s v="&quot;whatnot.com/order/jrU4Q7xp5yH4tmGayj7YpY_x000d__x000a_$1.00 + $0.23 (Shared Shipping) + $0.13 Tax = Total of $1.36&quot;"/>
    <n v="136"/>
    <n v="1"/>
    <d v="2026-06-10T00:00:00"/>
    <d v="2026-05-14T00:00:00"/>
    <m/>
    <n v="414"/>
    <m/>
    <s v="Victor Wembanyama"/>
    <s v="2025 Bowman"/>
    <s v="-"/>
    <s v="143"/>
    <n v="1.35"/>
    <x v="7"/>
    <s v="For Sale"/>
    <n v="2"/>
    <n v="1"/>
    <n v="1.5"/>
    <n v="1"/>
  </r>
  <r>
    <n v="12615262"/>
    <s v="Victor Wembanyama #143"/>
    <s v="Basketball Cards 2025 Bowman"/>
    <n v="135"/>
    <s v="Ungraded"/>
    <s v="Normal wear"/>
    <m/>
    <s v="&quot;whatnot.com/order/7eozouSEnosHtokHHfAAYH_x000d__x000a_$1.67 + $1.02 (Shared Shipping) + $0.28 Tax = Total of $2.97&quot;"/>
    <n v="297"/>
    <n v="1"/>
    <d v="2026-05-12T00:00:00"/>
    <d v="2026-05-08T00:00:00"/>
    <m/>
    <n v="419"/>
    <m/>
    <s v="Victor Wembanyama"/>
    <s v="2025 Bowman"/>
    <s v="-"/>
    <s v="143"/>
    <n v="1.35"/>
    <x v="7"/>
    <s v="For Sale"/>
    <n v="2"/>
    <n v="1"/>
    <n v="4"/>
    <n v="1"/>
  </r>
  <r>
    <n v="5021346"/>
    <s v="Austin Reaves #123"/>
    <s v="Basketball Cards 2022 Panini Prizm"/>
    <n v="1129"/>
    <s v="Graded 9"/>
    <s v="Normal wear"/>
    <m/>
    <s v="&quot;https://www.whatnot.com/order/F54vujG64TkcHYp4KU7RHA_x000d__x000a_$10.00 + $0.78 (Shared Shipping) + $1.10 Tax = Total of $11.88&quot;"/>
    <n v="1188"/>
    <n v="1"/>
    <d v="2026-05-17T00:00:00"/>
    <d v="2026-05-17T00:00:00"/>
    <s v="PSA"/>
    <n v="79810203"/>
    <m/>
    <s v="Austin Reaves"/>
    <s v="2022 Panini Prizm"/>
    <s v="-"/>
    <s v="123"/>
    <n v="11.29"/>
    <x v="8"/>
    <s v="For Sale"/>
    <n v="1"/>
    <n v="2"/>
    <n v="14"/>
    <n v="11"/>
  </r>
  <r>
    <n v="11493558"/>
    <s v="Austin Reaves [Refractor Green] #SF-8"/>
    <s v="Basketball Cards 2025 Topps Chrome Sleek Finishers"/>
    <n v="1000"/>
    <s v="Ungraded"/>
    <s v="Normal wear"/>
    <m/>
    <s v="&quot;https://www.whatnot.com/order/4qGFB5WJq67f7VePPgdKVK_x000d__x000a_$7.00 + $2.24 (Shared Shipping) + $0.95 Tax = Total of $10.18&quot;"/>
    <n v="1018"/>
    <n v="1"/>
    <d v="2026-05-20T00:00:00"/>
    <d v="2026-05-20T00:00:00"/>
    <m/>
    <n v="31"/>
    <m/>
    <s v="Austin Reaves"/>
    <s v="2025 Topps Chrome Sleek Finishers"/>
    <s v="Refractor Green"/>
    <s v="SF-8"/>
    <n v="10"/>
    <x v="8"/>
    <s v="For Sale"/>
    <n v="1"/>
    <n v="2"/>
    <n v="12"/>
    <n v="10"/>
  </r>
  <r>
    <n v="3727445"/>
    <s v="Austin Reaves #165"/>
    <s v="Basketball Cards 2021 Panini Prizm"/>
    <n v="237"/>
    <s v="Ungraded"/>
    <s v="Normal wear"/>
    <m/>
    <s v="&quot;https://www.whatnot.com/order/o3mHoMSnpC2X8C3j6r4tiK_x000d__x000a_$5.00 + $0.45 (Shared Shipping) + $0.59 Tax = Total of $6.30&quot;"/>
    <n v="630"/>
    <n v="1"/>
    <d v="2026-05-09T00:00:00"/>
    <d v="2026-05-04T00:00:00"/>
    <m/>
    <n v="274"/>
    <m/>
    <s v="Austin Reaves"/>
    <s v="2021 Panini Prizm"/>
    <s v="-"/>
    <s v="165"/>
    <n v="2.37"/>
    <x v="8"/>
    <s v="For Sale"/>
    <n v="1"/>
    <n v="2"/>
    <n v="8"/>
    <n v="2.5"/>
  </r>
  <r>
    <n v="8776006"/>
    <s v="Austin Reaves [Storm] #163"/>
    <s v="Basketball Cards 2024 Panini Donruss"/>
    <n v="213"/>
    <s v="Ungraded"/>
    <s v="Normal wear"/>
    <m/>
    <s v="&quot;https://www.whatnot.com/order/9ki7HURGVDFpQYLubozunU_x000d__x000a_$5.00 + $0.21 (Shared Shipping) + $0.53 Tax = Total of $5.74&quot;"/>
    <n v="574"/>
    <n v="1"/>
    <d v="2026-05-12T00:00:00"/>
    <d v="2026-05-06T00:00:00"/>
    <m/>
    <n v="253"/>
    <m/>
    <s v="Austin Reaves"/>
    <s v="2024 Panini Donruss"/>
    <s v="Storm"/>
    <s v="163"/>
    <n v="2.13"/>
    <x v="8"/>
    <s v="For Sale"/>
    <n v="1"/>
    <n v="2"/>
    <n v="7"/>
    <n v="2"/>
  </r>
  <r>
    <n v="8395765"/>
    <s v="Austin Reaves [Winter] #138"/>
    <s v="Basketball Cards 2024 Panini NBA Hoops"/>
    <n v="150"/>
    <s v="Ungraded"/>
    <s v="Normal wear"/>
    <m/>
    <s v="&quot;https://www.whatnot.com/order/CyF3nZr4GRuqeEQwgYCVcq_x000d__x000a_$1.00 + $1.39 (Shared Shipping) + $0.24 Tax = Total of $2.63&quot;"/>
    <n v="263"/>
    <n v="1"/>
    <d v="2026-05-12T00:00:00"/>
    <d v="2026-05-07T00:00:00"/>
    <m/>
    <n v="420"/>
    <m/>
    <s v="Austin Reaves"/>
    <s v="2024 Panini NBA Hoops"/>
    <s v="Winter"/>
    <s v="138"/>
    <n v="1.5"/>
    <x v="8"/>
    <s v="For Sale"/>
    <n v="1"/>
    <n v="2"/>
    <n v="3"/>
    <n v="1.5"/>
  </r>
  <r>
    <n v="94070"/>
    <s v="Dirk Nowitzki [Double] #92"/>
    <s v="Basketball Cards 1998 Upper Deck Black Diamond"/>
    <n v="2250"/>
    <s v="Ungraded"/>
    <s v="Normal wear"/>
    <m/>
    <m/>
    <n v="0"/>
    <n v="1"/>
    <d v="2026-04-15T00:00:00"/>
    <m/>
    <m/>
    <n v="12"/>
    <m/>
    <s v="Dirk Nowitzki"/>
    <s v="1998 Upper Deck Black Diamond"/>
    <s v="Double"/>
    <s v="92"/>
    <n v="22.5"/>
    <x v="9"/>
    <s v="For Sale"/>
    <n v="1"/>
    <n v="2"/>
    <n v="27"/>
    <n v="23"/>
  </r>
  <r>
    <n v="10819755"/>
    <s v="Dirk Nowitzki [Blackout] #252"/>
    <s v="Basketball Cards 2025 Topps"/>
    <n v="173"/>
    <s v="Ungraded"/>
    <s v="Normal wear"/>
    <m/>
    <s v="&quot;https://www.whatnot.com/order/NiQA8q5w6tCKyhf9dhniXs_x000d__x000a_$3.00 + $0.63 (Shared Shipping) + $0.37 Tax = Total of $4.00&quot;"/>
    <n v="400"/>
    <n v="1"/>
    <d v="2026-05-14T00:00:00"/>
    <d v="2026-05-13T00:00:00"/>
    <m/>
    <n v="338"/>
    <m/>
    <s v="Dirk Nowitzki"/>
    <s v="2025 Topps"/>
    <s v="Blackout"/>
    <s v="252"/>
    <n v="1.73"/>
    <x v="9"/>
    <s v="For Sale"/>
    <n v="1"/>
    <n v="2"/>
    <n v="5"/>
    <n v="1.5"/>
  </r>
  <r>
    <n v="11484094"/>
    <s v="Dirk Nowitzki [Refractor] #246"/>
    <s v="Basketball Cards 2025 Topps Chrome"/>
    <n v="150"/>
    <s v="Ungraded"/>
    <s v="Normal wear"/>
    <m/>
    <s v="&quot;whatnot.com/order/Gposmhs3UPw2tTSYYRaxZp_x000d__x000a_$1.00 + $0.35 (Shared Shipping) + $0.14 Tax = Total of $1.48&quot;"/>
    <n v="148"/>
    <n v="1"/>
    <d v="2026-06-10T00:00:00"/>
    <d v="2026-05-15T00:00:00"/>
    <m/>
    <n v="475"/>
    <m/>
    <s v="Dirk Nowitzki"/>
    <s v="2025 Topps Chrome"/>
    <s v="Refractor"/>
    <s v="246"/>
    <n v="1.5"/>
    <x v="9"/>
    <s v="For Sale"/>
    <n v="2"/>
    <n v="2"/>
    <n v="2"/>
    <n v="1.25"/>
  </r>
  <r>
    <n v="11484094"/>
    <s v="Dirk Nowitzki [Refractor] #246"/>
    <s v="Basketball Cards 2025 Topps Chrome"/>
    <n v="150"/>
    <s v="Ungraded"/>
    <s v="Normal wear"/>
    <m/>
    <s v="&quot;whatnot.com/order/3HUXgbQpXQ3HpVzdfDiwuW_x000d__x000a_$2.00 + $0.74 (Shared Shipping) + $0.28 Tax = Total of $3.02&quot;_x000d__x000a_"/>
    <n v="302"/>
    <n v="1"/>
    <d v="2026-05-12T00:00:00"/>
    <d v="2026-05-12T00:00:00"/>
    <m/>
    <n v="479"/>
    <m/>
    <s v="Dirk Nowitzki"/>
    <s v="2025 Topps Chrome"/>
    <s v="Refractor"/>
    <s v="246"/>
    <n v="1.5"/>
    <x v="9"/>
    <s v="For Sale"/>
    <n v="2"/>
    <n v="2"/>
    <n v="4"/>
    <n v="1.25"/>
  </r>
  <r>
    <n v="13073269"/>
    <s v="Gary Payton #SO6"/>
    <s v="Basketball Cards 1996 Skybox Premium Standouts"/>
    <n v="1325"/>
    <s v="Ungraded"/>
    <s v="Normal wear"/>
    <m/>
    <m/>
    <n v="0"/>
    <n v="1"/>
    <d v="2026-06-12T00:00:00"/>
    <m/>
    <m/>
    <n v="25"/>
    <m/>
    <s v="Gary Payton"/>
    <s v="1996 Skybox Premium Standouts"/>
    <s v="-"/>
    <s v="SO6"/>
    <n v="13.25"/>
    <x v="10"/>
    <s v="For Sale"/>
    <n v="1"/>
    <n v="2"/>
    <n v="16"/>
    <n v="13"/>
  </r>
  <r>
    <n v="6795696"/>
    <s v="Gary Payton #10"/>
    <s v="Basketball Cards 1997 Metal Universe Silver Slam"/>
    <n v="409"/>
    <s v="Ungraded"/>
    <s v="Normal wear"/>
    <m/>
    <m/>
    <n v="0"/>
    <n v="1"/>
    <d v="2026-04-17T00:00:00"/>
    <m/>
    <m/>
    <n v="118"/>
    <m/>
    <s v="Gary Payton"/>
    <s v="1997 Metal Universe Silver Slam"/>
    <s v="-"/>
    <s v="10"/>
    <n v="4.09"/>
    <x v="10"/>
    <s v="For Sale"/>
    <n v="1"/>
    <n v="2"/>
    <n v="5"/>
    <n v="4"/>
  </r>
  <r>
    <n v="3112963"/>
    <s v="Gary Payton #FB20"/>
    <s v="Basketball Cards 1996 Upper Deck Fast Break Connection"/>
    <n v="200"/>
    <s v="Ungraded"/>
    <s v="Normal wear"/>
    <m/>
    <m/>
    <n v="0"/>
    <n v="1"/>
    <d v="2026-04-16T00:00:00"/>
    <d v="2026-04-16T00:00:00"/>
    <m/>
    <n v="263"/>
    <m/>
    <s v="Gary Payton"/>
    <s v="1996 Upper Deck Fast Break Connection"/>
    <s v="-"/>
    <s v="FB20"/>
    <n v="2"/>
    <x v="10"/>
    <s v="For Sale"/>
    <n v="1"/>
    <n v="2"/>
    <n v="2.5"/>
    <n v="2"/>
  </r>
  <r>
    <n v="83384"/>
    <s v="Gary Payton #103"/>
    <s v="Basketball Cards 1995 Metal"/>
    <n v="155"/>
    <s v="Ungraded"/>
    <s v="Normal wear"/>
    <m/>
    <m/>
    <n v="0"/>
    <n v="1"/>
    <d v="2026-04-17T00:00:00"/>
    <m/>
    <m/>
    <n v="408"/>
    <m/>
    <s v="Gary Payton"/>
    <s v="1995 Metal"/>
    <s v="-"/>
    <s v="103"/>
    <n v="1.55"/>
    <x v="10"/>
    <s v="For Sale"/>
    <n v="1"/>
    <n v="2"/>
    <n v="2"/>
    <n v="1.5"/>
  </r>
  <r>
    <n v="10117339"/>
    <s v="Gary Payton #17"/>
    <s v="Basketball Cards 1995 Upper Deck Electric Court"/>
    <n v="134"/>
    <s v="Ungraded"/>
    <s v="Normal wear"/>
    <m/>
    <m/>
    <n v="0"/>
    <n v="1"/>
    <d v="2026-05-07T00:00:00"/>
    <m/>
    <m/>
    <n v="437"/>
    <m/>
    <s v="Gary Payton"/>
    <s v="1995 Upper Deck Electric Court"/>
    <s v="-"/>
    <s v="17"/>
    <n v="1.34"/>
    <x v="10"/>
    <s v="For Sale"/>
    <n v="1"/>
    <n v="2"/>
    <n v="1.5"/>
    <n v="1.25"/>
  </r>
  <r>
    <n v="90556"/>
    <s v="Grant Hill #11"/>
    <s v="Basketball Cards 1997 Ultra Star Power Plus"/>
    <n v="1248"/>
    <s v="Ungraded"/>
    <s v="Normal wear"/>
    <m/>
    <m/>
    <n v="0"/>
    <n v="1"/>
    <d v="2026-04-15T00:00:00"/>
    <m/>
    <m/>
    <n v="27"/>
    <m/>
    <s v="Grant Hill"/>
    <s v="1997 Ultra Star Power Plus"/>
    <s v="-"/>
    <s v="11"/>
    <n v="12.48"/>
    <x v="11"/>
    <s v="For Sale"/>
    <n v="1"/>
    <n v="2"/>
    <n v="15"/>
    <n v="12"/>
  </r>
  <r>
    <n v="8802260"/>
    <s v="Grant Hill #11"/>
    <s v="Basketball Cards 1997 Ultra View To A Thrill"/>
    <n v="447"/>
    <s v="Ungraded"/>
    <s v="Normal wear"/>
    <m/>
    <m/>
    <n v="0"/>
    <n v="1"/>
    <d v="2026-06-10T00:00:00"/>
    <m/>
    <m/>
    <n v="126"/>
    <m/>
    <s v="Grant Hill"/>
    <s v="1997 Ultra View To A Thrill"/>
    <s v="-"/>
    <s v="11"/>
    <n v="4.47"/>
    <x v="11"/>
    <s v="For Sale"/>
    <n v="2"/>
    <n v="2"/>
    <n v="5"/>
    <n v="4"/>
  </r>
  <r>
    <n v="8802260"/>
    <s v="Grant Hill #11"/>
    <s v="Basketball Cards 1997 Ultra View To A Thrill"/>
    <n v="447"/>
    <s v="Ungraded"/>
    <s v="Normal wear"/>
    <m/>
    <m/>
    <n v="0"/>
    <n v="1"/>
    <d v="2026-04-17T00:00:00"/>
    <m/>
    <m/>
    <n v="127"/>
    <m/>
    <s v="Grant Hill"/>
    <s v="1997 Ultra View To A Thrill"/>
    <s v="-"/>
    <s v="11"/>
    <n v="4.47"/>
    <x v="11"/>
    <s v="For Sale"/>
    <n v="2"/>
    <n v="2"/>
    <n v="5"/>
    <n v="4"/>
  </r>
  <r>
    <n v="3229566"/>
    <s v="Grant Hill #239"/>
    <s v="Basketball Cards 1994 Ultra"/>
    <n v="152"/>
    <s v="Ungraded"/>
    <s v="Normal wear"/>
    <m/>
    <m/>
    <n v="0"/>
    <n v="1"/>
    <d v="2026-05-07T00:00:00"/>
    <m/>
    <m/>
    <n v="472"/>
    <m/>
    <s v="Grant Hill"/>
    <s v="1994 Ultra"/>
    <s v="-"/>
    <s v="239"/>
    <n v="1.52"/>
    <x v="11"/>
    <s v="For Sale"/>
    <n v="1"/>
    <n v="2"/>
    <n v="2"/>
    <n v="1.5"/>
  </r>
  <r>
    <n v="3607582"/>
    <s v="Jason Williams #7"/>
    <s v="Basketball Cards 2020 Panini Hoops SLAM"/>
    <n v="882"/>
    <s v="Ungraded"/>
    <s v="Normal wear"/>
    <m/>
    <s v="&quot;whatnot.com/order/P5eomQCEnRNpF3D5NN6EjL_x000d__x000a_$9.00 + $1.05 (Shared Shipping) + $1.03 Tax = Total of $11.08&quot;"/>
    <n v="1108"/>
    <n v="1"/>
    <d v="2026-06-10T00:00:00"/>
    <d v="2026-06-09T00:00:00"/>
    <m/>
    <n v="32"/>
    <m/>
    <s v="Jason Williams"/>
    <s v="2020 Panini Hoops SLAM"/>
    <s v="-"/>
    <s v="7"/>
    <n v="8.82"/>
    <x v="12"/>
    <s v="Keep"/>
    <n v="0"/>
    <n v="2"/>
    <n v="13"/>
    <n v="9"/>
  </r>
  <r>
    <n v="5862286"/>
    <s v="Jason Williams #PR12"/>
    <s v="Basketball Cards 1999 Topps Prodigy"/>
    <n v="874"/>
    <s v="Ungraded"/>
    <s v="Normal wear"/>
    <m/>
    <m/>
    <n v="0"/>
    <n v="1"/>
    <d v="2026-05-31T00:00:00"/>
    <m/>
    <m/>
    <n v="34"/>
    <m/>
    <s v="Jason Williams"/>
    <s v="1999 Topps Prodigy"/>
    <s v="-"/>
    <s v="PR12"/>
    <n v="8.74"/>
    <x v="12"/>
    <s v="For Sale"/>
    <n v="1"/>
    <n v="2"/>
    <n v="10"/>
    <n v="9"/>
  </r>
  <r>
    <n v="92303"/>
    <s v="Jason Williams [Row 3] #55"/>
    <s v="Basketball Cards 1998 Flair Showcase"/>
    <n v="650"/>
    <s v="Ungraded"/>
    <s v="Normal wear"/>
    <m/>
    <m/>
    <n v="0"/>
    <n v="1"/>
    <d v="2026-04-16T00:00:00"/>
    <d v="2026-04-16T00:00:00"/>
    <m/>
    <n v="35"/>
    <m/>
    <s v="Jason Williams"/>
    <s v="1998 Flair Showcase"/>
    <s v="Row 3"/>
    <s v="55"/>
    <n v="6.5"/>
    <x v="12"/>
    <s v="Keep"/>
    <n v="0"/>
    <n v="2"/>
    <n v="8"/>
    <n v="7"/>
  </r>
  <r>
    <n v="7149970"/>
    <s v="Jason Williams #2-55"/>
    <s v="Basketball Cards 1999 Flair Showcase"/>
    <n v="599"/>
    <s v="Ungraded"/>
    <s v="Normal wear"/>
    <m/>
    <m/>
    <n v="0"/>
    <n v="1"/>
    <d v="2026-04-15T00:00:00"/>
    <m/>
    <m/>
    <n v="48"/>
    <m/>
    <s v="Jason Williams"/>
    <s v="1999 Flair Showcase"/>
    <s v="-"/>
    <s v="2-55"/>
    <n v="5.99"/>
    <x v="12"/>
    <s v="Keep"/>
    <n v="0"/>
    <n v="2"/>
    <n v="7"/>
    <n v="6"/>
  </r>
  <r>
    <n v="92108"/>
    <s v="Jason Williams #232"/>
    <s v="Basketball Cards 1998 Finest"/>
    <n v="572"/>
    <s v="Ungraded"/>
    <s v="Normal wear"/>
    <m/>
    <m/>
    <n v="0"/>
    <n v="1"/>
    <d v="2026-04-15T00:00:00"/>
    <m/>
    <m/>
    <n v="115"/>
    <m/>
    <s v="Jason Williams"/>
    <s v="1998 Finest"/>
    <s v="-"/>
    <s v="232"/>
    <n v="5.72"/>
    <x v="12"/>
    <s v="For Sale"/>
    <n v="1"/>
    <n v="2"/>
    <n v="7"/>
    <n v="6"/>
  </r>
  <r>
    <n v="5885838"/>
    <s v="Jason Williams #EG2"/>
    <s v="Basketball Cards 1999 Stadium Club Chrome Eyes of the Game"/>
    <n v="570"/>
    <s v="Ungraded"/>
    <s v="Normal wear"/>
    <m/>
    <m/>
    <n v="0"/>
    <n v="1"/>
    <d v="2026-04-17T00:00:00"/>
    <m/>
    <m/>
    <n v="49"/>
    <m/>
    <s v="Jason Williams"/>
    <s v="1999 Stadium Club Chrome Eyes of the Game"/>
    <s v="-"/>
    <s v="EG2"/>
    <n v="5.7"/>
    <x v="12"/>
    <s v="For Sale"/>
    <n v="1"/>
    <n v="2"/>
    <n v="7"/>
    <n v="6"/>
  </r>
  <r>
    <n v="10604045"/>
    <s v="Jason Williams #M15"/>
    <s v="Basketball Cards 1999 SPX Masters"/>
    <n v="481"/>
    <s v="Ungraded"/>
    <s v="Normal wear"/>
    <m/>
    <m/>
    <n v="0"/>
    <n v="1"/>
    <d v="2026-04-17T00:00:00"/>
    <m/>
    <m/>
    <n v="120"/>
    <m/>
    <s v="Jason Williams"/>
    <s v="1999 SPX Masters"/>
    <s v="-"/>
    <s v="M15"/>
    <n v="4.8099999999999996"/>
    <x v="12"/>
    <s v="For Sale"/>
    <n v="1"/>
    <n v="2"/>
    <n v="6"/>
    <n v="5"/>
  </r>
  <r>
    <n v="92496"/>
    <s v="Jason Williams #107"/>
    <s v="Basketball Cards 1998 Fleer Brilliants"/>
    <n v="328"/>
    <s v="Ungraded"/>
    <s v="Normal wear"/>
    <m/>
    <s v="&quot;https://www.whatnot.com/order/RtJrQKBCiEPUi9krGFqsyU_x000d__x000a_$2.00 + $4.29 (Shared Shipping) + $0.64 Tax = Total of $6.93&quot;"/>
    <n v="695"/>
    <n v="1"/>
    <d v="2026-05-12T00:00:00"/>
    <d v="2026-05-11T00:00:00"/>
    <m/>
    <n v="152"/>
    <m/>
    <s v="Jason Williams"/>
    <s v="1998 Fleer Brilliants"/>
    <s v="-"/>
    <s v="107"/>
    <n v="3.28"/>
    <x v="12"/>
    <s v="For Sale"/>
    <n v="1"/>
    <n v="2"/>
    <n v="8"/>
    <n v="3"/>
  </r>
  <r>
    <n v="8672420"/>
    <s v="Jason Williams #NC17"/>
    <s v="Basketball Cards 1998 Stadium Club Never Compromise"/>
    <n v="312"/>
    <s v="Ungraded"/>
    <s v="Normal wear"/>
    <m/>
    <m/>
    <n v="0"/>
    <n v="1"/>
    <d v="2026-04-17T00:00:00"/>
    <m/>
    <m/>
    <n v="199"/>
    <m/>
    <s v="Jason Williams"/>
    <s v="1998 Stadium Club Never Compromise"/>
    <s v="-"/>
    <s v="NC17"/>
    <n v="3.12"/>
    <x v="12"/>
    <s v="For Sale"/>
    <n v="1"/>
    <n v="2"/>
    <n v="4"/>
    <n v="3"/>
  </r>
  <r>
    <n v="8192392"/>
    <s v="Jason Williams #7GX"/>
    <s v="Basketball Cards 1999 Skybox E-X Generation E-X"/>
    <n v="299"/>
    <s v="Ungraded"/>
    <s v="Normal wear"/>
    <m/>
    <s v="&quot;https://www.whatnot.com/order/medD3HLzhpPd89xriKnZcX_x000d__x000a_$3.00 + $0.78 (Shared Shipping) + $0.39 Tax = Total of $4.17&quot;"/>
    <n v="417"/>
    <n v="1"/>
    <d v="2026-05-28T00:00:00"/>
    <d v="2026-05-25T00:00:00"/>
    <m/>
    <n v="179"/>
    <m/>
    <s v="Jason Williams"/>
    <s v="1999 Skybox E-X Generation E-X"/>
    <s v="-"/>
    <s v="7GX"/>
    <n v="2.99"/>
    <x v="12"/>
    <s v="For Sale"/>
    <n v="1"/>
    <n v="2"/>
    <n v="5"/>
    <n v="3"/>
  </r>
  <r>
    <n v="10052322"/>
    <s v="Jason Williams #6"/>
    <s v="Basketball Cards 1998 Press Pass Authentics"/>
    <n v="295"/>
    <s v="Ungraded"/>
    <s v="Normal wear"/>
    <m/>
    <m/>
    <n v="0"/>
    <n v="1"/>
    <d v="2026-04-17T00:00:00"/>
    <m/>
    <m/>
    <n v="185"/>
    <m/>
    <s v="Jason Williams"/>
    <s v="1998 Press Pass Authentics"/>
    <s v="-"/>
    <s v="6"/>
    <n v="2.95"/>
    <x v="12"/>
    <s v="For Sale"/>
    <n v="1"/>
    <n v="2"/>
    <n v="4"/>
    <n v="3"/>
  </r>
  <r>
    <n v="93096"/>
    <s v="Jason Williams #50"/>
    <s v="Basketball Cards 1998 SP Top Prospects"/>
    <n v="284"/>
    <s v="Ungraded"/>
    <s v="Normal wear"/>
    <m/>
    <m/>
    <n v="0"/>
    <n v="1"/>
    <d v="2026-05-31T00:00:00"/>
    <m/>
    <m/>
    <n v="201"/>
    <m/>
    <s v="Jason Williams"/>
    <s v="1998 SP Top Prospects"/>
    <s v="-"/>
    <s v="50"/>
    <n v="2.84"/>
    <x v="12"/>
    <s v="For Sale"/>
    <n v="1"/>
    <n v="2"/>
    <n v="3"/>
    <n v="3"/>
  </r>
  <r>
    <n v="5837032"/>
    <s v="Jason Williams #51"/>
    <s v="Basketball Cards 1999 SkyBox Premium"/>
    <n v="252"/>
    <s v="Ungraded"/>
    <s v="Normal wear"/>
    <m/>
    <m/>
    <n v="0"/>
    <n v="1"/>
    <d v="2026-06-10T00:00:00"/>
    <m/>
    <m/>
    <n v="243"/>
    <m/>
    <s v="Jason Williams"/>
    <s v="1999 SkyBox Premium"/>
    <s v="-"/>
    <s v="51"/>
    <n v="2.52"/>
    <x v="12"/>
    <s v="For Sale"/>
    <n v="2"/>
    <n v="2"/>
    <n v="3"/>
    <n v="2"/>
  </r>
  <r>
    <n v="5837032"/>
    <s v="Jason Williams #51"/>
    <s v="Basketball Cards 1999 SkyBox Premium"/>
    <n v="252"/>
    <s v="Ungraded"/>
    <s v="Normal wear"/>
    <m/>
    <m/>
    <n v="0"/>
    <n v="1"/>
    <d v="2026-05-31T00:00:00"/>
    <m/>
    <m/>
    <n v="244"/>
    <m/>
    <s v="Jason Williams"/>
    <s v="1999 SkyBox Premium"/>
    <s v="-"/>
    <s v="51"/>
    <n v="2.52"/>
    <x v="12"/>
    <s v="For Sale"/>
    <n v="2"/>
    <n v="2"/>
    <n v="3"/>
    <n v="2"/>
  </r>
  <r>
    <n v="8950906"/>
    <s v="Jason Williams #57"/>
    <s v="Basketball Cards 1998 Upper Deck Century Legends"/>
    <n v="199"/>
    <s v="Ungraded"/>
    <s v="Normal wear"/>
    <m/>
    <m/>
    <n v="0"/>
    <n v="1"/>
    <d v="2026-05-31T00:00:00"/>
    <m/>
    <m/>
    <n v="267"/>
    <m/>
    <s v="Jason Williams"/>
    <s v="1998 Upper Deck Century Legends"/>
    <s v="-"/>
    <s v="57"/>
    <n v="1.99"/>
    <x v="12"/>
    <s v="For Sale"/>
    <n v="1"/>
    <n v="2"/>
    <n v="2.5"/>
    <n v="2"/>
  </r>
  <r>
    <n v="8355826"/>
    <s v="Jason Williams #8SF"/>
    <s v="Basketball Cards 1999 Fleer Force Special Forces"/>
    <n v="188"/>
    <s v="Ungraded"/>
    <s v="Normal wear"/>
    <m/>
    <m/>
    <n v="0"/>
    <n v="1"/>
    <d v="2026-05-31T00:00:00"/>
    <m/>
    <m/>
    <n v="358"/>
    <m/>
    <s v="Jason Williams"/>
    <s v="1999 Fleer Force Special Forces"/>
    <s v="-"/>
    <s v="8SF"/>
    <n v="1.88"/>
    <x v="12"/>
    <s v="For Sale"/>
    <n v="1"/>
    <n v="2"/>
    <n v="2.5"/>
    <n v="2"/>
  </r>
  <r>
    <n v="93345"/>
    <s v="Jason Williams #200"/>
    <s v="Basketball Cards 1998 Stadium Club"/>
    <n v="186"/>
    <s v="Ungraded"/>
    <s v="Normal wear"/>
    <m/>
    <m/>
    <n v="0"/>
    <n v="1"/>
    <d v="2026-05-31T00:00:00"/>
    <m/>
    <m/>
    <n v="360"/>
    <m/>
    <s v="Jason Williams"/>
    <s v="1998 Stadium Club"/>
    <s v="-"/>
    <s v="200"/>
    <n v="1.86"/>
    <x v="12"/>
    <s v="For Sale"/>
    <n v="1"/>
    <n v="2"/>
    <n v="2"/>
    <n v="2"/>
  </r>
  <r>
    <n v="8306386"/>
    <s v="Jason Williams #69"/>
    <s v="Basketball Cards 1999 SP Authentic"/>
    <n v="186"/>
    <s v="Ungraded"/>
    <s v="Normal wear"/>
    <m/>
    <m/>
    <n v="0"/>
    <n v="1"/>
    <d v="2026-05-31T00:00:00"/>
    <m/>
    <m/>
    <n v="299"/>
    <m/>
    <s v="Jason Williams"/>
    <s v="1999 SP Authentic"/>
    <s v="-"/>
    <s v="69"/>
    <n v="1.86"/>
    <x v="12"/>
    <s v="For Sale"/>
    <n v="2"/>
    <n v="2"/>
    <n v="2"/>
    <n v="1.5"/>
  </r>
  <r>
    <n v="8306386"/>
    <s v="Jason Williams #69"/>
    <s v="Basketball Cards 1999 SP Authentic"/>
    <n v="186"/>
    <s v="Ungraded"/>
    <s v="Normal wear"/>
    <m/>
    <m/>
    <n v="0"/>
    <n v="1"/>
    <d v="2026-06-10T00:00:00"/>
    <m/>
    <m/>
    <n v="301"/>
    <m/>
    <s v="Jason Williams"/>
    <s v="1999 SP Authentic"/>
    <s v="-"/>
    <s v="69"/>
    <n v="1.86"/>
    <x v="12"/>
    <s v="For Sale"/>
    <n v="2"/>
    <n v="2"/>
    <n v="2"/>
    <n v="1.5"/>
  </r>
  <r>
    <n v="10597436"/>
    <s v="Jason Williams #2"/>
    <s v="Basketball Cards 2001 Topps Tcc"/>
    <n v="169"/>
    <s v="Ungraded"/>
    <s v="Normal wear"/>
    <m/>
    <m/>
    <n v="0"/>
    <n v="1"/>
    <d v="2026-05-31T00:00:00"/>
    <m/>
    <m/>
    <n v="350"/>
    <m/>
    <s v="Jason Williams"/>
    <s v="2001 Topps Tcc"/>
    <s v="-"/>
    <s v="2"/>
    <n v="1.69"/>
    <x v="12"/>
    <s v="For Sale"/>
    <n v="1"/>
    <n v="2"/>
    <n v="2"/>
    <n v="1.5"/>
  </r>
  <r>
    <n v="6314978"/>
    <s v="Jason Williams [All American] #37"/>
    <s v="Basketball Cards 1998 Collectors Edge Impulse"/>
    <n v="160"/>
    <s v="Ungraded"/>
    <s v="Normal wear"/>
    <m/>
    <m/>
    <n v="0"/>
    <n v="1"/>
    <d v="2026-05-31T00:00:00"/>
    <m/>
    <m/>
    <n v="402"/>
    <m/>
    <s v="Jason Williams"/>
    <s v="1998 Collectors Edge Impulse"/>
    <s v="All American"/>
    <s v="37"/>
    <n v="1.6"/>
    <x v="12"/>
    <s v="For Sale"/>
    <n v="1"/>
    <n v="2"/>
    <n v="2"/>
    <n v="1.5"/>
  </r>
  <r>
    <n v="4476384"/>
    <s v="jason williams #61"/>
    <s v="Basketball Cards 1999 Topps"/>
    <n v="153"/>
    <s v="Ungraded"/>
    <s v="Normal wear"/>
    <m/>
    <m/>
    <n v="0"/>
    <n v="1"/>
    <d v="2026-05-31T00:00:00"/>
    <m/>
    <m/>
    <n v="409"/>
    <m/>
    <s v="Jason Williams"/>
    <s v="1999 Topps"/>
    <s v="-"/>
    <s v="61"/>
    <n v="1.53"/>
    <x v="12"/>
    <s v="For Sale"/>
    <n v="1"/>
    <n v="2"/>
    <n v="2"/>
    <n v="1.5"/>
  </r>
  <r>
    <n v="5923661"/>
    <s v="Jason Williams #121"/>
    <s v="Basketball Cards 1999 Metal"/>
    <n v="152"/>
    <s v="Ungraded"/>
    <s v="Normal wear"/>
    <m/>
    <m/>
    <n v="31"/>
    <n v="1"/>
    <d v="2026-05-06T00:00:00"/>
    <d v="2026-04-18T00:00:00"/>
    <m/>
    <n v="391"/>
    <m/>
    <s v="Jason Williams"/>
    <s v="1999 Metal"/>
    <s v="-"/>
    <s v="121"/>
    <n v="1.52"/>
    <x v="12"/>
    <s v="For Sale"/>
    <n v="2"/>
    <n v="2"/>
    <n v="2"/>
    <n v="0.25"/>
  </r>
  <r>
    <n v="5923661"/>
    <s v="Jason Williams #121"/>
    <s v="Basketball Cards 1999 Metal"/>
    <n v="152"/>
    <s v="Ungraded"/>
    <s v="Normal wear"/>
    <m/>
    <m/>
    <n v="0"/>
    <n v="1"/>
    <d v="2026-05-31T00:00:00"/>
    <m/>
    <m/>
    <n v="392"/>
    <m/>
    <s v="Jason Williams"/>
    <s v="1999 Metal"/>
    <s v="-"/>
    <s v="121"/>
    <n v="1.52"/>
    <x v="12"/>
    <s v="For Sale"/>
    <n v="2"/>
    <n v="2"/>
    <n v="2"/>
    <n v="1.25"/>
  </r>
  <r>
    <n v="10597513"/>
    <s v="Jason Williams #TT11"/>
    <s v="Basketball Cards 2000 Upper Deck True Talents"/>
    <n v="127"/>
    <s v="Ungraded"/>
    <s v="Normal wear"/>
    <m/>
    <m/>
    <n v="0"/>
    <n v="1"/>
    <d v="2026-05-31T00:00:00"/>
    <m/>
    <m/>
    <n v="482"/>
    <m/>
    <s v="Jason Williams"/>
    <s v="2000 Upper Deck True Talents"/>
    <s v="-"/>
    <s v="TT11"/>
    <n v="1.27"/>
    <x v="12"/>
    <s v="For Sale"/>
    <n v="1"/>
    <n v="2"/>
    <n v="1.5"/>
    <n v="1.25"/>
  </r>
  <r>
    <n v="7211541"/>
    <s v="Jason Williams #101"/>
    <s v="Basketball Cards 1999 Upper Deck"/>
    <n v="123"/>
    <s v="Ungraded"/>
    <s v="Normal wear"/>
    <m/>
    <m/>
    <n v="0"/>
    <n v="1"/>
    <d v="2026-05-31T00:00:00"/>
    <m/>
    <m/>
    <n v="487"/>
    <m/>
    <s v="Jason Williams"/>
    <s v="1999 Upper Deck"/>
    <s v="-"/>
    <s v="101"/>
    <n v="1.23"/>
    <x v="12"/>
    <s v="For Sale"/>
    <n v="1"/>
    <n v="2"/>
    <n v="1.25"/>
    <n v="1"/>
  </r>
  <r>
    <n v="8326198"/>
    <s v="Jason Williams #214"/>
    <s v="Basketball Cards 1999 Finest"/>
    <n v="119"/>
    <s v="Ungraded"/>
    <s v="Normal wear"/>
    <m/>
    <m/>
    <n v="0"/>
    <n v="1"/>
    <d v="2026-05-31T00:00:00"/>
    <m/>
    <m/>
    <n v="473"/>
    <m/>
    <s v="Jason Williams"/>
    <s v="1999 Finest"/>
    <s v="-"/>
    <s v="214"/>
    <n v="1.19"/>
    <x v="12"/>
    <s v="For Sale"/>
    <n v="1"/>
    <n v="2"/>
    <n v="1.25"/>
    <n v="1"/>
  </r>
  <r>
    <n v="12757105"/>
    <s v="Jason Williams #77"/>
    <s v="Basketball Cards 2000 Fleer E-X"/>
    <n v="0"/>
    <s v="Ungraded"/>
    <s v="Normal wear"/>
    <m/>
    <m/>
    <n v="0"/>
    <n v="1"/>
    <d v="2026-05-31T00:00:00"/>
    <m/>
    <m/>
    <n v="602"/>
    <m/>
    <s v="Jason Williams"/>
    <s v="2000 Fleer E-X"/>
    <s v="-"/>
    <s v="77"/>
    <n v="0"/>
    <x v="12"/>
    <s v="For Sale"/>
    <n v="1"/>
    <n v="2"/>
    <n v="0.25"/>
    <n v="0.25"/>
  </r>
  <r>
    <n v="1943272"/>
    <s v="Ken Griffey Jr. #336"/>
    <s v="Baseball Cards 1990 Topps Tiffany"/>
    <n v="1072"/>
    <s v="Ungraded"/>
    <s v="Normal wear"/>
    <m/>
    <m/>
    <n v="0"/>
    <n v="1"/>
    <d v="2026-04-17T00:00:00"/>
    <m/>
    <m/>
    <n v="43"/>
    <m/>
    <s v="Ken Griffey Jr."/>
    <s v="1990 Topps Tiffany"/>
    <s v="-"/>
    <s v="336"/>
    <n v="10.72"/>
    <x v="13"/>
    <s v="For Sale"/>
    <n v="1"/>
    <n v="2"/>
    <n v="13"/>
    <n v="11"/>
  </r>
  <r>
    <n v="1958261"/>
    <s v="Ken Griffey Jr. #424"/>
    <s v="Baseball Cards 1992 Upper Deck"/>
    <n v="160"/>
    <s v="Ungraded"/>
    <s v="Normal wear"/>
    <m/>
    <m/>
    <n v="0"/>
    <n v="1"/>
    <d v="2026-04-17T00:00:00"/>
    <m/>
    <m/>
    <n v="373"/>
    <m/>
    <s v="Ken Griffey Jr."/>
    <s v="1992 Upper Deck"/>
    <s v="-"/>
    <s v="424"/>
    <n v="1.6"/>
    <x v="13"/>
    <s v="For Sale"/>
    <n v="1"/>
    <n v="2"/>
    <n v="2"/>
    <n v="1.5"/>
  </r>
  <r>
    <n v="76305"/>
    <s v="Mark Jackson #205"/>
    <s v="Basketball Cards 1990 Hoops"/>
    <n v="865"/>
    <s v="Ungraded"/>
    <s v="Normal wear"/>
    <m/>
    <m/>
    <n v="0"/>
    <n v="1"/>
    <d v="2026-04-15T00:00:00"/>
    <m/>
    <m/>
    <n v="41"/>
    <m/>
    <s v="Mark Jackson"/>
    <s v="1990 Hoops"/>
    <s v="-"/>
    <s v="205"/>
    <n v="8.65"/>
    <x v="14"/>
    <s v="For Sale"/>
    <n v="1"/>
    <n v="2"/>
    <n v="10"/>
    <n v="9"/>
  </r>
  <r>
    <n v="95721"/>
    <s v="Nikola Jokic [Ruby Wave Prizm] #84"/>
    <s v="Basketball Cards 2019 Panini Prizm"/>
    <n v="1952"/>
    <s v="Graded 9"/>
    <s v="Normal wear"/>
    <m/>
    <s v="&quot;https://www.whatnot.com/order/27RrZ5UcQbAp2yynBpazpE_x000d__x000a_$15.00 + $0.21 (Shared Shipping) + $1.56 Tax = Total of $16.77&quot;"/>
    <n v="1677"/>
    <n v="1"/>
    <d v="2026-05-12T00:00:00"/>
    <d v="2026-05-06T00:00:00"/>
    <s v="PSA"/>
    <n v="51082129"/>
    <m/>
    <s v="Nikola Jokic"/>
    <s v="2019 Panini Prizm"/>
    <s v="Ruby Wave Prizm"/>
    <s v="84"/>
    <n v="19.52"/>
    <x v="15"/>
    <s v="For Sale"/>
    <n v="1"/>
    <n v="2"/>
    <n v="23"/>
    <n v="17"/>
  </r>
  <r>
    <n v="8388520"/>
    <s v="Nikola Jokic [Silver] #12"/>
    <s v="Basketball Cards 2024 Panini NBA Hoops"/>
    <n v="580"/>
    <s v="Ungraded"/>
    <s v="Normal wear"/>
    <m/>
    <s v="&quot;https://www.whatnot.com/order/RykinryybXh9vCb6txwXKc_x000d__x000a_$2.00 + $0.74 (Shared Shipping) + $0.28 Tax = Total of $3.02&quot;_x000d__x000a_"/>
    <n v="302"/>
    <n v="1"/>
    <d v="2026-05-12T00:00:00"/>
    <d v="2026-05-12T00:00:00"/>
    <m/>
    <n v="50"/>
    <m/>
    <s v="Nikola Jokic"/>
    <s v="2024 Panini NBA Hoops"/>
    <s v="Silver"/>
    <s v="12"/>
    <n v="5.8"/>
    <x v="15"/>
    <s v="For Sale"/>
    <n v="1"/>
    <n v="2"/>
    <n v="7"/>
    <n v="3"/>
  </r>
  <r>
    <n v="112623"/>
    <s v="Nikola Jokic [Silver Prizm] #92"/>
    <s v="Basketball Cards 2018 Panini Prizm"/>
    <n v="399"/>
    <s v="Ungraded"/>
    <s v="Normal wear"/>
    <m/>
    <s v="&quot;https://www.whatnot.com/order/QxNucFNxSrMWbb9wNao39X_x000d__x000a_$1.00 + $0.43 (Shared Shipping) + $0.15 Tax = Total of $1.57&quot;"/>
    <n v="157"/>
    <n v="1"/>
    <d v="2026-05-22T00:00:00"/>
    <d v="2026-05-19T00:00:00"/>
    <m/>
    <n v="141"/>
    <m/>
    <s v="Nikola Jokic"/>
    <s v="2018 Panini Prizm"/>
    <s v="Silver Prizm"/>
    <s v="92"/>
    <n v="3.99"/>
    <x v="15"/>
    <s v="For Sale"/>
    <n v="1"/>
    <n v="2"/>
    <n v="5"/>
    <n v="1.5"/>
  </r>
  <r>
    <n v="2892569"/>
    <s v="Nikola Jokic [Holo] #28"/>
    <s v="Basketball Cards 2019 Panini Hoops Lights Camera Action"/>
    <n v="300"/>
    <s v="Ungraded"/>
    <s v="Normal wear"/>
    <m/>
    <s v="&quot;https://www.whatnot.com/order/7eozouSEnosHtokHHfAAYH_x000d__x000a_$1.67 + $1.02 (Shared Shipping) + $0.28 Tax = Total of $2.97&quot;"/>
    <n v="297"/>
    <n v="1"/>
    <d v="2026-05-14T00:00:00"/>
    <d v="2026-05-08T00:00:00"/>
    <m/>
    <n v="177"/>
    <m/>
    <s v="Nikola Jokic"/>
    <s v="2019 Panini Hoops Lights Camera Action"/>
    <s v="Holo"/>
    <s v="28"/>
    <n v="3"/>
    <x v="15"/>
    <s v="For Sale"/>
    <n v="1"/>
    <n v="2"/>
    <n v="4"/>
    <n v="3"/>
  </r>
  <r>
    <n v="11829461"/>
    <s v="Nikola Jokic [Blue] #60"/>
    <s v="Basketball Cards 2025 Topps Match Attax"/>
    <n v="249"/>
    <s v="Ungraded"/>
    <s v="Normal wear"/>
    <m/>
    <s v="&quot;https://www.whatnot.com/order/Wurw4zw2wFBAE84zbwVyWp_x000d__x000a_$6.00 + $2.48 (Shared Shipping) + $0.87 Tax = Total of $9.34&quot;"/>
    <n v="934"/>
    <n v="1"/>
    <d v="2026-05-12T00:00:00"/>
    <d v="2026-05-03T00:00:00"/>
    <m/>
    <n v="208"/>
    <m/>
    <s v="Nikola Jokic"/>
    <s v="2025 Topps Match Attax"/>
    <s v="Blue"/>
    <s v="60"/>
    <n v="2.4900000000000002"/>
    <x v="15"/>
    <s v="For Sale"/>
    <n v="1"/>
    <n v="2"/>
    <n v="11"/>
    <n v="2.5"/>
  </r>
  <r>
    <n v="6059248"/>
    <s v="Nikola Jokic #291"/>
    <s v="Basketball Cards 2023 Panini Hoops"/>
    <n v="151"/>
    <s v="Ungraded"/>
    <s v="Normal wear"/>
    <m/>
    <m/>
    <n v="0"/>
    <n v="1"/>
    <d v="2026-06-13T00:00:00"/>
    <m/>
    <m/>
    <n v="405"/>
    <m/>
    <s v="Nikola Jokic"/>
    <s v="2023 Panini Hoops"/>
    <s v="-"/>
    <s v="291"/>
    <n v="1.51"/>
    <x v="15"/>
    <s v="For Sale"/>
    <n v="1"/>
    <n v="2"/>
    <n v="2"/>
    <n v="1.5"/>
  </r>
  <r>
    <n v="10190248"/>
    <s v="Nikola Jokic [Hyper Pink] #100"/>
    <s v="Basketball Cards 2024 Panini Donruss Optic"/>
    <n v="147"/>
    <s v="Ungraded"/>
    <s v="Normal wear"/>
    <m/>
    <s v="&quot;https://www.whatnot.com/order/HWhpJLX6J4h4DZZVCaeVYr_x000d__x000a_$2.00 + $0.45 (Shared Shipping) + $0.23 Tax = Total of $2.52&quot;"/>
    <n v="252"/>
    <n v="1"/>
    <d v="2026-05-09T00:00:00"/>
    <d v="2026-05-04T00:00:00"/>
    <m/>
    <n v="443"/>
    <m/>
    <s v="Nikola Jokic"/>
    <s v="2024 Panini Donruss Optic"/>
    <s v="Hyper Pink"/>
    <s v="100"/>
    <n v="1.47"/>
    <x v="15"/>
    <s v="For Sale"/>
    <n v="1"/>
    <n v="2"/>
    <n v="3"/>
    <n v="1.25"/>
  </r>
  <r>
    <n v="12643617"/>
    <s v="Nikola Jokic #YK-6"/>
    <s v="Basketball Cards 2025 Bowman Young Kings"/>
    <n v="125"/>
    <s v="Ungraded"/>
    <s v="Normal wear"/>
    <m/>
    <s v="&quot;https://www.whatnot.com/order/7eozouSEnosHtokHHfAAYH_x000d__x000a_$1.67 + $1.02 (Shared Shipping) + $0.28 Tax = Total of $2.97&quot;"/>
    <n v="297"/>
    <n v="1"/>
    <d v="2026-05-12T00:00:00"/>
    <d v="2026-05-08T00:00:00"/>
    <m/>
    <n v="455"/>
    <m/>
    <s v="Nikola Jokic"/>
    <s v="2025 Bowman Young Kings"/>
    <s v="-"/>
    <s v="YK-6"/>
    <n v="1.25"/>
    <x v="15"/>
    <s v="For Sale"/>
    <n v="1"/>
    <n v="2"/>
    <n v="4"/>
    <n v="1.25"/>
  </r>
  <r>
    <n v="2535681"/>
    <s v="Nikola Jokic [Purple Shock] #96"/>
    <s v="Basketball Cards 2020 Panini Donruss Optic"/>
    <n v="111"/>
    <s v="Ungraded"/>
    <s v="Normal wear"/>
    <m/>
    <s v="&quot;whatnot.com/order/G3juFLZYNkeyx8YHXhJCeR_x000d__x000a_$1.50 + $0.00 (Shared Shipping) + $0.15 Tax = Total of $1.65&quot;"/>
    <n v="165"/>
    <n v="1"/>
    <d v="2026-06-18T00:00:00"/>
    <d v="2026-06-09T00:00:00"/>
    <m/>
    <n v="527"/>
    <m/>
    <s v="Nikola Jokic"/>
    <s v="2020 Panini Donruss Optic"/>
    <s v="Purple Shock"/>
    <s v="96"/>
    <n v="1.1100000000000001"/>
    <x v="15"/>
    <s v="For Sale"/>
    <n v="1"/>
    <n v="2"/>
    <n v="2"/>
    <n v="1"/>
  </r>
  <r>
    <n v="11496915"/>
    <s v="Nikola Jokic #GT-9"/>
    <s v="Basketball Cards 2025 Topps Chrome Go Time"/>
    <n v="99"/>
    <s v="Ungraded"/>
    <s v="Normal wear"/>
    <m/>
    <s v="https://www.whatnot.com/order/cJNMnCPndL2PTYmXUShR4H_x000d__x000a_$1.00 + $0.36 (Shared Shipping) + $0.14 Tax = Total of $1.50"/>
    <n v="150"/>
    <n v="1"/>
    <d v="2026-05-09T00:00:00"/>
    <d v="2026-05-03T00:00:00"/>
    <m/>
    <n v="539"/>
    <m/>
    <s v="Nikola Jokic"/>
    <s v="2025 Topps Chrome Go Time"/>
    <s v="-"/>
    <s v="GT-9"/>
    <n v="0.99"/>
    <x v="15"/>
    <s v="For Sale"/>
    <n v="1"/>
    <n v="2"/>
    <n v="2"/>
    <n v="0.75"/>
  </r>
  <r>
    <n v="7511050"/>
    <s v="Shai Gilgeous-Alexander [Yellow ice] #5"/>
    <s v="Basketball Cards 2023 Panini Phoenix Fade To Black"/>
    <n v="1499"/>
    <s v="Ungraded"/>
    <s v="Normal wear"/>
    <m/>
    <s v="&quot;https://www.whatnot.com/order/m58HF6hkjDzTFcY6dh42ZK_x000d__x000a_$24.00 + $1.39 (Shared Shipping) + $2.60 Tax = Total of $27.99&quot;"/>
    <n v="2799"/>
    <n v="1"/>
    <d v="2026-05-27T00:00:00"/>
    <d v="2026-05-27T00:00:00"/>
    <m/>
    <n v="21"/>
    <m/>
    <s v="Shai Gilgeous-Alexander"/>
    <s v="2023 Panini Phoenix Fade To Black"/>
    <s v="Yellow ice"/>
    <s v="5"/>
    <n v="14.99"/>
    <x v="16"/>
    <s v="For Sale"/>
    <n v="1"/>
    <n v="2"/>
    <n v="34"/>
    <n v="15"/>
  </r>
  <r>
    <n v="105679"/>
    <s v="Shai Gilgeous-Alexander #195"/>
    <s v="Basketball Cards 2018 Panini Chronicles"/>
    <n v="907"/>
    <s v="Ungraded"/>
    <s v="Normal wear"/>
    <m/>
    <s v="&quot;https://www.whatnot.com/order/kHRrZndL3pVg4oJEbysd7V_x000d__x000a_$14.00 + $0.00 (Shared Shipping) + $1.44 Tax = Total of $15.44&quot;"/>
    <n v="1544"/>
    <n v="1"/>
    <d v="2026-05-23T00:00:00"/>
    <d v="2026-05-22T00:00:00"/>
    <m/>
    <n v="33"/>
    <m/>
    <s v="Shai Gilgeous-Alexander"/>
    <s v="2018 Panini Chronicles"/>
    <s v="-"/>
    <s v="195"/>
    <n v="9.07"/>
    <x v="16"/>
    <s v="For Sale"/>
    <n v="1"/>
    <n v="2"/>
    <n v="19"/>
    <n v="9"/>
  </r>
  <r>
    <n v="11830175"/>
    <s v="Shai Gilgeous-Alexander #100C-SG"/>
    <s v="Basketball Cards 2025 Topps Match Attax 100 Club"/>
    <n v="249"/>
    <s v="Ungraded"/>
    <s v="Normal wear"/>
    <m/>
    <s v="&quot;https://www.whatnot.com/order/Gzx3x3hroNb5oYG2Go9M4M_x000d__x000a_$3.00 + $0.35 (Shared Shipping) + $0.34 Tax = Total of $3.69&quot;"/>
    <n v="369"/>
    <n v="1"/>
    <d v="2026-05-22T00:00:00"/>
    <d v="2026-05-15T00:00:00"/>
    <m/>
    <n v="191"/>
    <m/>
    <s v="Shai Gilgeous-Alexander"/>
    <s v="2025 Topps Match Attax 100 Club"/>
    <s v="-"/>
    <s v="100C-SG"/>
    <n v="2.4900000000000002"/>
    <x v="16"/>
    <s v="For Sale"/>
    <n v="1"/>
    <n v="2"/>
    <n v="4"/>
    <n v="2.5"/>
  </r>
  <r>
    <n v="11909462"/>
    <s v="Shai Gilgeous-Alexander #SH-SG"/>
    <s v="Basketball Cards 2025 Topps Match Attax Scoring Hero"/>
    <n v="201"/>
    <s v="Ungraded"/>
    <s v="Normal wear"/>
    <m/>
    <s v="&quot;whatnot.com/order/QCeWrxwuLDSmy5kirafwrW_x000d__x000a_$1.00 + $0.35 (Shared Shipping) + $0.14 Tax = Total of $1.49&quot;"/>
    <n v="149"/>
    <n v="1"/>
    <d v="2026-06-10T00:00:00"/>
    <d v="2026-05-19T00:00:00"/>
    <m/>
    <n v="250"/>
    <m/>
    <s v="Shai Gilgeous-Alexander"/>
    <s v="2025 Topps Match Attax Scoring Hero"/>
    <s v="-"/>
    <s v="SH-SG"/>
    <n v="2.0099999999999998"/>
    <x v="16"/>
    <s v="For Sale"/>
    <n v="2"/>
    <n v="2"/>
    <n v="2.5"/>
    <n v="1.25"/>
  </r>
  <r>
    <n v="11909462"/>
    <s v="Shai Gilgeous-Alexander #SH-SG"/>
    <s v="Basketball Cards 2025 Topps Match Attax Scoring Hero"/>
    <n v="201"/>
    <s v="Ungraded"/>
    <s v="Normal wear"/>
    <m/>
    <s v="&quot;whatnot.com/order/gKVf7ZXT8eYzYEJbDN84nY_x000d__x000a_$2.00 + $0.80 (Shared Shipping) + $0.29 Tax = Total of $3.09&quot;"/>
    <n v="309"/>
    <n v="1"/>
    <d v="2026-06-10T00:00:00"/>
    <d v="2026-05-19T00:00:00"/>
    <m/>
    <n v="251"/>
    <m/>
    <s v="Shai Gilgeous-Alexander"/>
    <s v="2025 Topps Match Attax Scoring Hero"/>
    <s v="-"/>
    <s v="SH-SG"/>
    <n v="2.0099999999999998"/>
    <x v="16"/>
    <s v="For Sale"/>
    <n v="2"/>
    <n v="2"/>
    <n v="4"/>
    <n v="1.5"/>
  </r>
  <r>
    <n v="10193263"/>
    <s v="Shai Gilgeous-Alexander [Hyper Pink] #127"/>
    <s v="Basketball Cards 2024 Panini Donruss Optic"/>
    <n v="197"/>
    <s v="Ungraded"/>
    <s v="Normal wear"/>
    <m/>
    <s v="https://www.whatnot.com/order/YSnqxDb4AmM3M6XH7veFMz_x000d__x000a_$3.00 + $0.74 (Shared Shipping) + $0.38 Tax = Total of $4.12"/>
    <n v="412"/>
    <n v="1"/>
    <d v="2026-05-12T00:00:00"/>
    <d v="2026-05-12T00:00:00"/>
    <m/>
    <n v="316"/>
    <m/>
    <s v="Shai Gilgeous-Alexander"/>
    <s v="2024 Panini Donruss Optic"/>
    <s v="Hyper Pink"/>
    <s v="127"/>
    <n v="1.97"/>
    <x v="16"/>
    <s v="For Sale"/>
    <n v="1"/>
    <n v="2"/>
    <n v="5"/>
    <n v="2"/>
  </r>
  <r>
    <n v="2963876"/>
    <s v="Shai Gilgeous-Alexander #35"/>
    <s v="Basketball Cards 2020 Panini Illusions"/>
    <n v="179"/>
    <s v="Ungraded"/>
    <s v="Normal wear"/>
    <m/>
    <s v="&quot;https://www.whatnot.com/order/7eozouSEnosHtokHHfAAYH_x000d__x000a_$1.67 + $1.02 (Shared Shipping) + $0.28 Tax = Total of $2.97&quot;"/>
    <n v="297"/>
    <n v="1"/>
    <d v="2026-05-12T00:00:00"/>
    <d v="2026-05-08T00:00:00"/>
    <m/>
    <n v="381"/>
    <m/>
    <s v="Shai Gilgeous-Alexander"/>
    <s v="2020 Panini Illusions"/>
    <s v="-"/>
    <s v="35"/>
    <n v="1.79"/>
    <x v="16"/>
    <s v="For Sale"/>
    <n v="1"/>
    <n v="2"/>
    <n v="4"/>
    <n v="2"/>
  </r>
  <r>
    <n v="10210719"/>
    <s v="Shai Gilgeous-Alexander #6"/>
    <s v="Basketball Cards 2024 Panini Donruss Optic My House"/>
    <n v="163"/>
    <s v="Ungraded"/>
    <s v="Normal wear"/>
    <m/>
    <s v="&quot;https://www.whatnot.com/order/eYoXvD5HkSQiYCAdyKw6ww_x000d__x000a_$2.00 + $0.28 (Shared Shipping) + $0.23 Tax = Total of $2.51&quot;"/>
    <n v="251"/>
    <n v="1"/>
    <d v="2026-05-15T00:00:00"/>
    <d v="2026-05-14T00:00:00"/>
    <m/>
    <n v="332"/>
    <m/>
    <s v="Shai Gilgeous-Alexander"/>
    <s v="2024 Panini Donruss Optic My House"/>
    <s v="-"/>
    <s v="6"/>
    <n v="1.63"/>
    <x v="16"/>
    <s v="For Sale"/>
    <n v="1"/>
    <n v="2"/>
    <n v="3"/>
    <n v="1.5"/>
  </r>
  <r>
    <n v="6822796"/>
    <s v="Shai Gilgeous-Alexander [Hyper Pink] #104"/>
    <s v="Basketball Cards 2023 Panini Donruss Optic"/>
    <n v="154"/>
    <s v="Ungraded"/>
    <s v="Normal wear"/>
    <m/>
    <s v="&quot;https://www.whatnot.com/order/dXNnRDYZ4XQd5syXTuJfHb_x000d__x000a_$2.00 + $0.63 (Shared Shipping) + $0.27 Tax = Total of $2.90&quot;"/>
    <n v="290"/>
    <n v="1"/>
    <d v="2026-05-14T00:00:00"/>
    <d v="2026-05-13T00:00:00"/>
    <m/>
    <n v="370"/>
    <m/>
    <s v="Shai Gilgeous-Alexander"/>
    <s v="2023 Panini Donruss Optic"/>
    <s v="Hyper Pink"/>
    <s v="104"/>
    <n v="1.54"/>
    <x v="16"/>
    <s v="For Sale"/>
    <n v="1"/>
    <n v="2"/>
    <n v="3"/>
    <n v="1.5"/>
  </r>
  <r>
    <n v="7808017"/>
    <s v="Shai Gilgeous-Alexander [Winter] #76"/>
    <s v="Basketball Cards 2023 Panini Revolution"/>
    <n v="150"/>
    <s v="Ungraded"/>
    <s v="Normal wear"/>
    <m/>
    <s v="&quot;https://www.whatnot.com/order/3x7P2iegqgUTYbwc6HCeds_x000d__x000a_$2.00 + $0.78 (Shared Shipping) + $0.28 Tax = Total of $3.06&quot;"/>
    <n v="306"/>
    <n v="1"/>
    <d v="2026-05-20T00:00:00"/>
    <d v="2026-05-20T00:00:00"/>
    <m/>
    <n v="424"/>
    <m/>
    <s v="Shai Gilgeous-Alexander"/>
    <s v="2023 Panini Revolution"/>
    <s v="Winter"/>
    <s v="76"/>
    <n v="1.5"/>
    <x v="16"/>
    <s v="For Sale"/>
    <n v="1"/>
    <n v="2"/>
    <n v="4"/>
    <n v="1.5"/>
  </r>
  <r>
    <n v="10212324"/>
    <s v="Shai Gilgeous-Alexander #6"/>
    <s v="Basketball Cards 2024 Panini Donruss Optic Splash"/>
    <n v="125"/>
    <s v="Ungraded"/>
    <s v="Normal wear"/>
    <m/>
    <s v="&quot;https://www.whatnot.com/order/BxpSgRamxcouLJ5UoJeEaP_x000d__x000a_$1.00 + $1.60 (Shared Shipping) + $0.27 Tax = Total of $2.87&quot;"/>
    <n v="287"/>
    <n v="1"/>
    <d v="2026-05-17T00:00:00"/>
    <d v="2026-05-16T00:00:00"/>
    <m/>
    <n v="533"/>
    <m/>
    <s v="Shai Gilgeous-Alexander"/>
    <s v="2024 Panini Donruss Optic Splash"/>
    <s v="-"/>
    <s v="6"/>
    <n v="1.25"/>
    <x v="16"/>
    <s v="For Sale"/>
    <n v="1"/>
    <n v="2"/>
    <n v="3"/>
    <n v="1.25"/>
  </r>
  <r>
    <n v="9259816"/>
    <s v="Shai Gilgeous-Alexander #8"/>
    <s v="Basketball Cards 2024 Panini Revolution"/>
    <n v="121"/>
    <s v="Ungraded"/>
    <s v="Normal wear"/>
    <m/>
    <s v="&quot;https://www.whatnot.com/order/NMxKJ4hE9QKucKgDpADrjE_x000d__x000a_$2.50 + $0.00 (Shared Shipping) + $0.26 Tax = Total of $2.76&quot;"/>
    <n v="276"/>
    <n v="1"/>
    <d v="2026-05-24T00:00:00"/>
    <d v="2026-05-23T00:00:00"/>
    <m/>
    <n v="496"/>
    <m/>
    <s v="Shai Gilgeous-Alexander"/>
    <s v="2024 Panini Revolution"/>
    <s v="-"/>
    <s v="8"/>
    <n v="1.21"/>
    <x v="16"/>
    <s v="For Sale"/>
    <n v="2"/>
    <n v="2"/>
    <n v="3"/>
    <n v="1"/>
  </r>
  <r>
    <n v="9259816"/>
    <s v="Shai Gilgeous-Alexander #8"/>
    <s v="Basketball Cards 2024 Panini Revolution"/>
    <n v="121"/>
    <s v="Ungraded"/>
    <s v="Normal wear"/>
    <m/>
    <s v="&quot;https://www.whatnot.com/order/BxpSgRamxcouLJ5UoJeEaP_x000d__x000a_$1.00 + $1.60 (Shared Shipping) + $0.27 Tax = Total of $2.87&quot;"/>
    <n v="287"/>
    <n v="1"/>
    <d v="2026-05-17T00:00:00"/>
    <d v="2026-05-16T00:00:00"/>
    <m/>
    <n v="497"/>
    <m/>
    <s v="Shai Gilgeous-Alexander"/>
    <s v="2024 Panini Revolution"/>
    <s v="-"/>
    <s v="8"/>
    <n v="1.21"/>
    <x v="16"/>
    <s v="For Sale"/>
    <n v="2"/>
    <n v="2"/>
    <n v="3"/>
    <n v="1"/>
  </r>
  <r>
    <n v="12957398"/>
    <s v="Shai Gilgeous-Alexander #286"/>
    <s v="Basketball Cards 2025 Topps NBA Hoops"/>
    <n v="102"/>
    <s v="Ungraded"/>
    <s v="Normal wear"/>
    <m/>
    <s v="&quot;https://www.whatnot.com/order/nAEkrSA7yzkeKXKekwWJV7_x000d__x000a_$0.50 + $0.27 (Shared Shipping) + $0.08 Tax = Total of $0.85&quot;"/>
    <n v="85"/>
    <n v="1"/>
    <d v="2026-05-22T00:00:00"/>
    <d v="2026-05-17T00:00:00"/>
    <m/>
    <n v="347"/>
    <m/>
    <s v="Shai Gilgeous-Alexander"/>
    <s v="2025 Topps NBA Hoops"/>
    <s v="-"/>
    <s v="286"/>
    <n v="1.02"/>
    <x v="16"/>
    <s v="For Sale"/>
    <n v="2"/>
    <n v="2"/>
    <n v="1"/>
    <n v="0.5"/>
  </r>
  <r>
    <n v="12957398"/>
    <s v="Shai Gilgeous-Alexander #286"/>
    <s v="Basketball Cards 2025 Topps NBA Hoops"/>
    <n v="102"/>
    <s v="Ungraded"/>
    <s v="Normal wear"/>
    <m/>
    <s v="https://www.whatnot.com/order/D6qPAHQXHsNLKzLT7qX4E9_x000d__x000a_$2.00 + $1.20 (Shared Shipping) + $0.33 Tax = Total of $3.53"/>
    <n v="353"/>
    <n v="1"/>
    <d v="2026-05-22T00:00:00"/>
    <d v="2026-05-19T00:00:00"/>
    <m/>
    <n v="351"/>
    <m/>
    <s v="Shai Gilgeous-Alexander"/>
    <s v="2025 Topps NBA Hoops"/>
    <s v="-"/>
    <s v="286"/>
    <n v="1.02"/>
    <x v="16"/>
    <s v="For Sale"/>
    <n v="2"/>
    <n v="2"/>
    <n v="4"/>
    <n v="0.75"/>
  </r>
  <r>
    <n v="89022"/>
    <s v="Tim Duncan #66"/>
    <s v="Basketball Cards 1997 Metal Universe"/>
    <n v="1255"/>
    <s v="Ungraded"/>
    <s v="Normal wear"/>
    <m/>
    <m/>
    <n v="0"/>
    <n v="1"/>
    <d v="2026-04-16T00:00:00"/>
    <d v="2026-04-16T00:00:00"/>
    <m/>
    <n v="24"/>
    <m/>
    <s v="Tim Duncan"/>
    <s v="1997 Metal Universe"/>
    <s v="-"/>
    <s v="66"/>
    <n v="12.55"/>
    <x v="17"/>
    <s v="For Sale"/>
    <n v="1"/>
    <n v="2"/>
    <n v="15"/>
    <n v="13"/>
  </r>
  <r>
    <n v="90573"/>
    <s v="Tim Duncan #18"/>
    <s v="Basketball Cards 1997 Ultra Star Power"/>
    <n v="476"/>
    <s v="Ungraded"/>
    <s v="Normal wear"/>
    <m/>
    <m/>
    <n v="0"/>
    <n v="1"/>
    <d v="2026-04-17T00:00:00"/>
    <m/>
    <m/>
    <n v="119"/>
    <m/>
    <s v="Tim Duncan"/>
    <s v="1997 Ultra Star Power"/>
    <s v="-"/>
    <s v="18"/>
    <n v="4.76"/>
    <x v="17"/>
    <s v="For Sale"/>
    <n v="1"/>
    <n v="2"/>
    <n v="6"/>
    <n v="5"/>
  </r>
  <r>
    <n v="10482574"/>
    <s v="Tyrese Maxey [Electric Etch Orange Flood] #20"/>
    <s v="Basketball Cards 2024 Panini Obsidian Equinox"/>
    <n v="1140"/>
    <s v="Ungraded"/>
    <s v="Normal wear"/>
    <m/>
    <s v="&quot;https://www.whatnot.com/order/RkyA6Bkpg2Bd9SGH2hZzTu_x000d__x000a_$10.00 + $4.35 (Shared Shipping) + $1.47 Tax = Total of $15.82&quot;"/>
    <n v="1582"/>
    <n v="1"/>
    <d v="2026-05-15T00:00:00"/>
    <d v="2026-05-14T00:00:00"/>
    <m/>
    <n v="28"/>
    <m/>
    <s v="Tyrese Maxey"/>
    <s v="2024 Panini Obsidian Equinox"/>
    <s v="Electric Etch Orange Flood"/>
    <s v="20"/>
    <n v="11.4"/>
    <x v="18"/>
    <s v="For Sale"/>
    <n v="1"/>
    <n v="2"/>
    <n v="19"/>
    <n v="11"/>
  </r>
  <r>
    <n v="10192986"/>
    <s v="Tyrese Maxey [Holo] #135"/>
    <s v="Basketball Cards 2024 Panini Donruss Optic"/>
    <n v="100"/>
    <s v="Ungraded"/>
    <s v="Normal wear"/>
    <m/>
    <s v="&quot;https://www.whatnot.com/order/apudhfkcpm8mjfcciD2gPJ_x000d__x000a_$2.00 + $0.74 (Shared Shipping) + $0.28 Tax = Total of $3.02&quot;"/>
    <n v="302"/>
    <n v="1"/>
    <d v="2026-05-12T00:00:00"/>
    <d v="2026-05-12T00:00:00"/>
    <m/>
    <n v="549"/>
    <m/>
    <s v="Tyrese Maxey"/>
    <s v="2024 Panini Donruss Optic"/>
    <s v="Holo"/>
    <s v="135"/>
    <n v="1"/>
    <x v="18"/>
    <s v="For Sale"/>
    <n v="1"/>
    <n v="2"/>
    <n v="4"/>
    <n v="1"/>
  </r>
  <r>
    <n v="6115117"/>
    <s v="Wolverine Crippled #4"/>
    <s v="Marvel 1994 Ultra X-Men Fatal Attractions"/>
    <n v="636"/>
    <s v="Ungraded"/>
    <s v="Normal wear"/>
    <m/>
    <m/>
    <n v="0"/>
    <n v="1"/>
    <d v="2026-04-17T00:00:00"/>
    <m/>
    <m/>
    <n v="122"/>
    <m/>
    <s v="Wolverine Crippled"/>
    <s v="Marvel 1994 Ultra X-Men Fatal Attractions"/>
    <s v="-"/>
    <s v="4"/>
    <n v="6.36"/>
    <x v="19"/>
    <s v="For Sale"/>
    <n v="1"/>
    <n v="2"/>
    <n v="8"/>
    <n v="6"/>
  </r>
  <r>
    <n v="85425"/>
    <s v="Allen Iverson #201"/>
    <s v="Basketball Cards 1996 Fleer Metal"/>
    <n v="513"/>
    <s v="Ungraded"/>
    <s v="Normal wear"/>
    <m/>
    <m/>
    <n v="0"/>
    <n v="1"/>
    <d v="2026-04-15T00:00:00"/>
    <m/>
    <m/>
    <n v="117"/>
    <m/>
    <s v="Allen Iverson"/>
    <s v="1996 Fleer Metal"/>
    <s v="-"/>
    <s v="201"/>
    <n v="5.13"/>
    <x v="20"/>
    <s v="For Sale"/>
    <n v="1"/>
    <n v="3"/>
    <n v="6"/>
    <n v="5"/>
  </r>
  <r>
    <n v="2290904"/>
    <s v="Allen Iverson #236"/>
    <s v="Basketball Cards 1996 Metal Fresh Foundation"/>
    <n v="499"/>
    <s v="Ungraded"/>
    <s v="Normal wear"/>
    <m/>
    <m/>
    <n v="0"/>
    <n v="1"/>
    <d v="2026-05-30T00:00:00"/>
    <m/>
    <m/>
    <n v="114"/>
    <m/>
    <s v="Allen Iverson"/>
    <s v="1996 Metal Fresh Foundation"/>
    <s v="-"/>
    <s v="236"/>
    <n v="4.99"/>
    <x v="20"/>
    <s v="For Sale"/>
    <n v="1"/>
    <n v="3"/>
    <n v="6"/>
    <n v="5"/>
  </r>
  <r>
    <n v="87390"/>
    <s v="Allen Iverson #91"/>
    <s v="Basketball Cards 1996 Upper Deck"/>
    <n v="375"/>
    <s v="Ungraded"/>
    <s v="Normal wear"/>
    <m/>
    <m/>
    <n v="0"/>
    <n v="1"/>
    <d v="2026-04-15T00:00:00"/>
    <m/>
    <m/>
    <n v="116"/>
    <m/>
    <s v="Allen Iverson"/>
    <s v="1996 Upper Deck"/>
    <s v="-"/>
    <s v="91"/>
    <n v="3.75"/>
    <x v="20"/>
    <s v="For Sale"/>
    <n v="1"/>
    <n v="3"/>
    <n v="5"/>
    <n v="4"/>
  </r>
  <r>
    <n v="85669"/>
    <s v="Allen Iverson #85"/>
    <s v="Basketball Cards 1996 Skybox Premium"/>
    <n v="350"/>
    <s v="Ungraded"/>
    <s v="Normal wear"/>
    <m/>
    <m/>
    <n v="0"/>
    <n v="1"/>
    <d v="2026-04-15T00:00:00"/>
    <m/>
    <m/>
    <n v="154"/>
    <m/>
    <s v="Allen Iverson"/>
    <s v="1996 Skybox Premium"/>
    <s v="-"/>
    <s v="85"/>
    <n v="3.5"/>
    <x v="20"/>
    <s v="For Sale"/>
    <n v="1"/>
    <n v="3"/>
    <n v="4"/>
    <n v="4"/>
  </r>
  <r>
    <n v="85706"/>
    <s v="Allen Iverson #216"/>
    <s v="Basketball Cards 1996 Skybox Premium"/>
    <n v="349"/>
    <s v="Ungraded"/>
    <s v="Normal wear"/>
    <m/>
    <m/>
    <n v="0"/>
    <n v="1"/>
    <d v="2026-04-17T00:00:00"/>
    <m/>
    <m/>
    <n v="164"/>
    <m/>
    <s v="Allen Iverson"/>
    <s v="1996 Skybox Premium"/>
    <s v="-"/>
    <s v="216"/>
    <n v="3.49"/>
    <x v="20"/>
    <s v="For Sale"/>
    <n v="1"/>
    <n v="3"/>
    <n v="4"/>
    <n v="3"/>
  </r>
  <r>
    <n v="94050"/>
    <s v="Allen Iverson #66"/>
    <s v="Basketball Cards 1998 Upper Deck Black Diamond"/>
    <n v="250"/>
    <s v="Ungraded"/>
    <s v="Normal wear"/>
    <m/>
    <m/>
    <n v="0"/>
    <n v="1"/>
    <d v="2026-04-17T00:00:00"/>
    <m/>
    <m/>
    <n v="232"/>
    <m/>
    <s v="Allen Iverson"/>
    <s v="1998 Upper Deck Black Diamond"/>
    <s v="-"/>
    <s v="66"/>
    <n v="2.5"/>
    <x v="20"/>
    <s v="For Sale"/>
    <n v="1"/>
    <n v="3"/>
    <n v="3"/>
    <n v="3"/>
  </r>
  <r>
    <n v="2988190"/>
    <s v="Allen iverson"/>
    <s v="Basketball Cards 1997 Skybox Reebok Allen Iverson"/>
    <n v="234"/>
    <s v="Ungraded"/>
    <s v="Normal wear"/>
    <m/>
    <m/>
    <n v="0"/>
    <n v="1"/>
    <d v="2026-05-31T00:00:00"/>
    <m/>
    <m/>
    <n v="217"/>
    <m/>
    <s v="Allen Iverson"/>
    <s v="1997 Skybox Reebok Allen Iverson"/>
    <s v="-"/>
    <s v=""/>
    <n v="2.34"/>
    <x v="20"/>
    <s v="For Sale"/>
    <n v="1"/>
    <n v="3"/>
    <n v="3"/>
    <n v="2.5"/>
  </r>
  <r>
    <n v="87438"/>
    <s v="Allen Iverson #350"/>
    <s v="Basketball Cards 1996 Upper Deck"/>
    <n v="201"/>
    <s v="Ungraded"/>
    <s v="Normal wear"/>
    <m/>
    <m/>
    <n v="0"/>
    <n v="1"/>
    <d v="2026-04-17T00:00:00"/>
    <m/>
    <m/>
    <n v="270"/>
    <m/>
    <s v="Allen Iverson"/>
    <s v="1996 Upper Deck"/>
    <s v="-"/>
    <s v="350"/>
    <n v="2.0099999999999998"/>
    <x v="20"/>
    <s v="For Sale"/>
    <n v="1"/>
    <n v="3"/>
    <n v="2.5"/>
    <n v="2"/>
  </r>
  <r>
    <n v="2290991"/>
    <s v="Allen Iverson #66"/>
    <s v="Basketball Cards 1999 Topps NBA Tipoff"/>
    <n v="150"/>
    <s v="Ungraded"/>
    <s v="Normal wear"/>
    <m/>
    <m/>
    <n v="0"/>
    <n v="1"/>
    <d v="2026-05-31T00:00:00"/>
    <m/>
    <m/>
    <n v="427"/>
    <m/>
    <s v="Allen Iverson"/>
    <s v="1999 Topps NBA Tipoff"/>
    <s v="-"/>
    <s v="66"/>
    <n v="1.5"/>
    <x v="20"/>
    <s v="For Sale"/>
    <n v="1"/>
    <n v="3"/>
    <n v="2"/>
    <n v="1.5"/>
  </r>
  <r>
    <n v="90405"/>
    <s v="Allen Iverson #54"/>
    <s v="Basketball Cards 1997 Topps"/>
    <n v="148"/>
    <s v="Ungraded"/>
    <s v="Normal wear"/>
    <m/>
    <m/>
    <n v="0"/>
    <n v="1"/>
    <d v="2026-05-31T00:00:00"/>
    <m/>
    <m/>
    <n v="403"/>
    <m/>
    <s v="Allen Iverson"/>
    <s v="1997 Topps"/>
    <s v="-"/>
    <s v="54"/>
    <n v="1.48"/>
    <x v="20"/>
    <s v="For Sale"/>
    <n v="1"/>
    <n v="3"/>
    <n v="2"/>
    <n v="1.25"/>
  </r>
  <r>
    <n v="2945570"/>
    <s v="Allen Iverson #60"/>
    <s v="Basketball Cards 1999 SP Authentic"/>
    <n v="147"/>
    <s v="Ungraded"/>
    <s v="Normal wear"/>
    <m/>
    <m/>
    <n v="0"/>
    <n v="1"/>
    <d v="2026-04-17T00:00:00"/>
    <m/>
    <m/>
    <n v="388"/>
    <m/>
    <s v="Allen Iverson"/>
    <s v="1999 SP Authentic"/>
    <s v="-"/>
    <s v="60"/>
    <n v="1.47"/>
    <x v="20"/>
    <s v="For Sale"/>
    <n v="1"/>
    <n v="3"/>
    <n v="2"/>
    <n v="1.25"/>
  </r>
  <r>
    <n v="13162354"/>
    <s v="Alonzo Mourning #3"/>
    <s v="Basketball Cards 1996 Metal Edge"/>
    <n v="365"/>
    <s v="Ungraded"/>
    <s v="Normal wear"/>
    <m/>
    <m/>
    <n v="0"/>
    <n v="1"/>
    <d v="2026-05-30T00:00:00"/>
    <m/>
    <m/>
    <n v="150"/>
    <m/>
    <s v="Alonzo Mourning"/>
    <s v="1996 Metal Edge"/>
    <s v="-"/>
    <s v="3"/>
    <n v="3.65"/>
    <x v="21"/>
    <s v="For Sale"/>
    <n v="2"/>
    <n v="3"/>
    <n v="4"/>
    <n v="3"/>
  </r>
  <r>
    <n v="13162354"/>
    <s v="Alonzo Mourning #3"/>
    <s v="Basketball Cards 1996 Metal Edge"/>
    <n v="365"/>
    <s v="Ungraded"/>
    <s v="Normal wear"/>
    <m/>
    <m/>
    <n v="0"/>
    <n v="1"/>
    <d v="2026-06-10T00:00:00"/>
    <m/>
    <m/>
    <n v="151"/>
    <m/>
    <s v="Alonzo Mourning"/>
    <s v="1996 Metal Edge"/>
    <s v="-"/>
    <s v="3"/>
    <n v="3.65"/>
    <x v="21"/>
    <s v="For Sale"/>
    <n v="2"/>
    <n v="3"/>
    <n v="4"/>
    <n v="3"/>
  </r>
  <r>
    <n v="5122085"/>
    <s v="Alonzo Mourning #4"/>
    <s v="Basketball Cards 1995 Metal Steel Tower"/>
    <n v="159"/>
    <s v="Ungraded"/>
    <s v="Normal wear"/>
    <m/>
    <m/>
    <n v="0"/>
    <n v="1"/>
    <d v="2026-05-07T00:00:00"/>
    <m/>
    <m/>
    <n v="379"/>
    <m/>
    <s v="Alonzo Mourning"/>
    <s v="1995 Metal Steel Tower"/>
    <s v="-"/>
    <s v="4"/>
    <n v="1.59"/>
    <x v="21"/>
    <s v="For Sale"/>
    <n v="1"/>
    <n v="3"/>
    <n v="2"/>
    <n v="1.5"/>
  </r>
  <r>
    <n v="90544"/>
    <s v="Anfernee Hardaway #7"/>
    <s v="Basketball Cards 1997 Ultra Star Power"/>
    <n v="403"/>
    <s v="Ungraded"/>
    <s v="Normal wear"/>
    <m/>
    <m/>
    <n v="0"/>
    <n v="1"/>
    <d v="2026-05-31T00:00:00"/>
    <m/>
    <m/>
    <n v="133"/>
    <m/>
    <s v="Anfernee Hardaway"/>
    <s v="1997 Ultra Star Power"/>
    <s v="-"/>
    <s v="7"/>
    <n v="4.03"/>
    <x v="22"/>
    <s v="For Sale"/>
    <n v="1"/>
    <n v="3"/>
    <n v="5"/>
    <n v="4"/>
  </r>
  <r>
    <n v="80971"/>
    <s v="Anfernee Hardaway #305"/>
    <s v="Basketball Cards 1993 Ultra"/>
    <n v="188"/>
    <s v="Ungraded"/>
    <s v="Normal wear"/>
    <m/>
    <m/>
    <n v="0"/>
    <n v="1"/>
    <d v="2026-04-17T00:00:00"/>
    <m/>
    <m/>
    <n v="386"/>
    <m/>
    <s v="Anfernee Hardaway"/>
    <s v="1993 Ultra"/>
    <s v="-"/>
    <s v="305"/>
    <n v="1.88"/>
    <x v="22"/>
    <s v="For Sale"/>
    <n v="1"/>
    <n v="3"/>
    <n v="2.5"/>
    <n v="2"/>
  </r>
  <r>
    <n v="81091"/>
    <s v="Anfernee Hardaway #382"/>
    <s v="Basketball Cards 1993 Upper Deck"/>
    <n v="163"/>
    <s v="Ungraded"/>
    <s v="Normal wear"/>
    <m/>
    <m/>
    <n v="0"/>
    <n v="1"/>
    <d v="2026-04-17T00:00:00"/>
    <m/>
    <m/>
    <n v="306"/>
    <m/>
    <s v="Anfernee Hardaway"/>
    <s v="1993 Upper Deck"/>
    <s v="-"/>
    <s v="382"/>
    <n v="1.63"/>
    <x v="22"/>
    <s v="For Sale"/>
    <n v="1"/>
    <n v="3"/>
    <n v="2"/>
    <n v="1.5"/>
  </r>
  <r>
    <n v="80255"/>
    <s v="Anfernee Hardaway #343"/>
    <s v="Basketball Cards 1993 Fleer"/>
    <n v="161"/>
    <s v="Ungraded"/>
    <s v="Normal wear"/>
    <m/>
    <m/>
    <n v="0"/>
    <n v="1"/>
    <d v="2026-05-07T00:00:00"/>
    <d v="2026-05-07T00:00:00"/>
    <m/>
    <n v="321"/>
    <m/>
    <s v="Anfernee Hardaway"/>
    <s v="1993 Fleer"/>
    <s v="-"/>
    <s v="343"/>
    <n v="1.61"/>
    <x v="22"/>
    <s v="For Sale"/>
    <n v="1"/>
    <n v="3"/>
    <n v="2"/>
    <n v="1.5"/>
  </r>
  <r>
    <n v="7978881"/>
    <s v="Anfernee Hardaway #P12"/>
    <s v="Basketball Cards 1996 Upper Deck Predictor Scoring 1"/>
    <n v="0"/>
    <s v="Ungraded"/>
    <s v="Normal wear"/>
    <m/>
    <m/>
    <n v="0"/>
    <n v="1"/>
    <d v="2026-04-17T00:00:00"/>
    <d v="2026-04-16T00:00:00"/>
    <m/>
    <n v="608"/>
    <m/>
    <s v="Anfernee Hardaway"/>
    <s v="1996 Upper Deck Predictor Scoring 1"/>
    <s v="-"/>
    <s v="P12"/>
    <n v="0"/>
    <x v="22"/>
    <s v="For Sale"/>
    <n v="1"/>
    <n v="3"/>
    <n v="0.25"/>
    <n v="0.25"/>
  </r>
  <r>
    <n v="9994315"/>
    <s v="Branco #68"/>
    <s v="Soccer Cards 1994 Upper Deck World Cup Soccer"/>
    <n v="206"/>
    <s v="Ungraded"/>
    <s v="Normal wear"/>
    <m/>
    <m/>
    <n v="0"/>
    <n v="1"/>
    <d v="2026-06-13T00:00:00"/>
    <m/>
    <m/>
    <n v="245"/>
    <m/>
    <s v="Branco"/>
    <s v="1994 Upper Deck World Cup Soccer"/>
    <s v="-"/>
    <s v="68"/>
    <n v="2.06"/>
    <x v="23"/>
    <s v="For Sale"/>
    <n v="1"/>
    <n v="3"/>
    <n v="2.5"/>
    <n v="2"/>
  </r>
  <r>
    <n v="12810125"/>
    <s v="Branco #HS5"/>
    <s v="Soccer Cards 1994 Upper Deck World Cup Soccer Hot Shot"/>
    <n v="199"/>
    <s v="Ungraded"/>
    <s v="Normal wear"/>
    <m/>
    <m/>
    <n v="0"/>
    <n v="1"/>
    <d v="2026-06-13T00:00:00"/>
    <m/>
    <m/>
    <n v="273"/>
    <m/>
    <s v="Branco"/>
    <s v="1994 Upper Deck World Cup Soccer Hot Shot"/>
    <s v="-"/>
    <s v="HS5"/>
    <n v="1.99"/>
    <x v="23"/>
    <s v="For Sale"/>
    <n v="1"/>
    <n v="3"/>
    <n v="2.5"/>
    <n v="2"/>
  </r>
  <r>
    <n v="8840471"/>
    <s v="Charles Barkley #16"/>
    <s v="Basketball Cards 1997 Metal Universe Silver Slam"/>
    <n v="592"/>
    <s v="Ungraded"/>
    <s v="Normal wear"/>
    <m/>
    <m/>
    <n v="0"/>
    <n v="1"/>
    <d v="2026-04-17T00:00:00"/>
    <m/>
    <m/>
    <n v="112"/>
    <m/>
    <s v="Charles Barkley"/>
    <s v="1997 Metal Universe Silver Slam"/>
    <s v="-"/>
    <s v="16"/>
    <n v="5.92"/>
    <x v="24"/>
    <s v="For Sale"/>
    <n v="1"/>
    <n v="3"/>
    <n v="7"/>
    <n v="6"/>
  </r>
  <r>
    <n v="6266239"/>
    <s v="Charles Barkley [Metal Edge] #1"/>
    <s v="Basketball Cards 1996 Metal Edge"/>
    <n v="470"/>
    <s v="Ungraded"/>
    <s v="Normal wear"/>
    <m/>
    <m/>
    <n v="0"/>
    <n v="1"/>
    <d v="2026-04-15T00:00:00"/>
    <m/>
    <m/>
    <n v="124"/>
    <m/>
    <s v="Charles Barkley"/>
    <s v="1996 Metal Edge"/>
    <s v="Metal Edge"/>
    <s v="1"/>
    <n v="4.7"/>
    <x v="24"/>
    <s v="For Sale"/>
    <n v="1"/>
    <n v="3"/>
    <n v="6"/>
    <n v="5"/>
  </r>
  <r>
    <n v="2531677"/>
    <s v="Charles Barkley #6RR"/>
    <s v="Basketball Cards 1997 Ultra Rim Rockers"/>
    <n v="350"/>
    <s v="Ungraded"/>
    <s v="Normal wear"/>
    <m/>
    <m/>
    <n v="0"/>
    <n v="1"/>
    <d v="2026-05-31T00:00:00"/>
    <m/>
    <m/>
    <n v="159"/>
    <m/>
    <s v="Charles Barkley"/>
    <s v="1997 Ultra Rim Rockers"/>
    <s v="-"/>
    <s v="6RR"/>
    <n v="3.5"/>
    <x v="24"/>
    <s v="For Sale"/>
    <n v="1"/>
    <n v="3"/>
    <n v="4"/>
    <n v="4"/>
  </r>
  <r>
    <n v="5692223"/>
    <s v="Charles Barkley #1"/>
    <s v="Basketball Cards 1994 Ultra Power in the Key"/>
    <n v="197"/>
    <s v="Ungraded"/>
    <s v="Normal wear"/>
    <m/>
    <m/>
    <n v="0"/>
    <n v="1"/>
    <d v="2026-04-17T00:00:00"/>
    <m/>
    <m/>
    <n v="257"/>
    <m/>
    <s v="Charles Barkley"/>
    <s v="1994 Ultra Power in the Key"/>
    <s v="-"/>
    <s v="1"/>
    <n v="1.97"/>
    <x v="24"/>
    <s v="For Sale"/>
    <n v="1"/>
    <n v="3"/>
    <n v="2.5"/>
    <n v="2"/>
  </r>
  <r>
    <n v="8212140"/>
    <s v="Charles Barkley #251"/>
    <s v="Basketball Cards 1997 Ultra"/>
    <n v="131"/>
    <s v="Ungraded"/>
    <s v="Normal wear"/>
    <m/>
    <m/>
    <n v="0"/>
    <n v="1"/>
    <d v="2026-05-31T00:00:00"/>
    <m/>
    <m/>
    <n v="468"/>
    <m/>
    <s v="Charles Barkley"/>
    <s v="1997 Ultra"/>
    <s v="-"/>
    <s v="251"/>
    <n v="1.31"/>
    <x v="24"/>
    <s v="For Sale"/>
    <n v="1"/>
    <n v="3"/>
    <n v="1.5"/>
    <n v="1.25"/>
  </r>
  <r>
    <n v="11473930"/>
    <s v="Daniel Gafford [Purple Refractor] #78"/>
    <s v="Basketball Cards 2025 Topps Chrome"/>
    <n v="401"/>
    <s v="Ungraded"/>
    <s v="Normal wear"/>
    <m/>
    <s v="&quot;https://www.whatnot.com/order/fsZrqS9c5o3n2dqHjHqttF_x000d__x000a_$1.00 + $0.45 (Shared Shipping) + $0.12 Tax = Total of $1.26&quot;"/>
    <n v="126"/>
    <n v="1"/>
    <d v="2026-05-15T00:00:00"/>
    <d v="2026-05-04T00:00:00"/>
    <m/>
    <n v="134"/>
    <m/>
    <s v="Daniel Gafford"/>
    <s v="2025 Topps Chrome"/>
    <s v="Purple Refractor"/>
    <s v="78"/>
    <n v="4.01"/>
    <x v="25"/>
    <s v="For Sale"/>
    <n v="1"/>
    <n v="3"/>
    <n v="5"/>
    <n v="1.25"/>
  </r>
  <r>
    <n v="10026506"/>
    <s v="David Platt #304"/>
    <s v="Soccer Cards 1994 Upper Deck World Cup Soccer"/>
    <n v="200"/>
    <s v="Ungraded"/>
    <s v="Normal wear"/>
    <m/>
    <m/>
    <n v="0"/>
    <n v="1"/>
    <d v="2026-04-17T00:00:00"/>
    <m/>
    <m/>
    <n v="255"/>
    <m/>
    <s v="David Platt"/>
    <s v="1994 Upper Deck World Cup Soccer"/>
    <s v="-"/>
    <s v="304"/>
    <n v="2"/>
    <x v="26"/>
    <s v="For Sale"/>
    <n v="1"/>
    <n v="3"/>
    <n v="2.5"/>
    <n v="2"/>
  </r>
  <r>
    <n v="11490416"/>
    <s v="Devin Carter #SS-DC"/>
    <s v="Basketball Cards 2025 Topps Chrome Signature Style"/>
    <n v="256"/>
    <s v="Ungraded"/>
    <s v="Normal wear"/>
    <m/>
    <s v="&quot;https://www.whatnot.com/order/4qGFB5WJq67f7VePPgdKVK_x000d__x000a_$0.00 + $2.24 (Shared Shipping) + $0.23 Tax = Total of $2.46&quot;"/>
    <n v="246"/>
    <n v="1"/>
    <d v="2026-05-20T00:00:00"/>
    <d v="2026-05-20T00:00:00"/>
    <m/>
    <n v="227"/>
    <m/>
    <s v="Devin Carter"/>
    <s v="2025 Topps Chrome Signature Style"/>
    <s v="-"/>
    <s v="SS-DC"/>
    <n v="2.56"/>
    <x v="27"/>
    <s v="For Sale"/>
    <n v="1"/>
    <n v="3"/>
    <n v="3"/>
    <n v="2.5"/>
  </r>
  <r>
    <n v="4949792"/>
    <s v="Dino Baggio #154"/>
    <s v="Soccer Cards 1994 Upper Deck World Cup Soccer"/>
    <n v="350"/>
    <s v="Ungraded"/>
    <s v="Normal wear"/>
    <m/>
    <m/>
    <n v="0"/>
    <n v="1"/>
    <d v="2026-06-13T00:00:00"/>
    <m/>
    <m/>
    <n v="160"/>
    <m/>
    <s v="Dino Baggio"/>
    <s v="1994 Upper Deck World Cup Soccer"/>
    <s v="-"/>
    <s v="154"/>
    <n v="3.5"/>
    <x v="28"/>
    <s v="For Sale"/>
    <n v="1"/>
    <n v="3"/>
    <n v="4"/>
    <n v="4"/>
  </r>
  <r>
    <n v="120495"/>
    <s v="Donovan Mitchell [Red and Yellow] #188"/>
    <s v="Basketball Cards 2017 Panini Donruss Optic"/>
    <n v="435"/>
    <s v="Ungraded"/>
    <s v="Normal wear"/>
    <m/>
    <s v="&quot;https://www.whatnot.com/order/iKMuPET2uvNEWaxZSPrWvT_x000d__x000a_$3.00 + $0.63 (Shared Shipping) + $0.37 Tax = Total of $4.00&quot;"/>
    <n v="400"/>
    <n v="1"/>
    <d v="2026-05-14T00:00:00"/>
    <d v="2026-05-13T00:00:00"/>
    <m/>
    <n v="113"/>
    <m/>
    <s v="Donovan Mitchell"/>
    <s v="2017 Panini Donruss Optic"/>
    <s v="Red and Yellow"/>
    <s v="188"/>
    <n v="4.3499999999999996"/>
    <x v="29"/>
    <s v="For Sale"/>
    <n v="1"/>
    <n v="3"/>
    <n v="5"/>
    <n v="4"/>
  </r>
  <r>
    <n v="120468"/>
    <s v="Donovan Mitchell #188"/>
    <s v="Basketball Cards 2017 Panini Donruss Optic"/>
    <n v="397"/>
    <s v="Ungraded"/>
    <s v="Normal wear"/>
    <m/>
    <s v="&quot;https://www.whatnot.com/order/jsA2rRdn9VNgmytpu33ezw_x000d__x000a_$1.00 + $0.35 (Shared Shipping) + $0.14 Tax = Total of $1.48&quot;"/>
    <n v="148"/>
    <n v="1"/>
    <d v="2026-05-22T00:00:00"/>
    <d v="2026-05-15T00:00:00"/>
    <m/>
    <n v="130"/>
    <m/>
    <s v="Donovan Mitchell"/>
    <s v="2017 Panini Donruss Optic"/>
    <s v="-"/>
    <s v="188"/>
    <n v="3.97"/>
    <x v="29"/>
    <s v="For Sale"/>
    <n v="1"/>
    <n v="3"/>
    <n v="5"/>
    <n v="1.25"/>
  </r>
  <r>
    <n v="10697652"/>
    <s v="Donovan Mitchell [Hyper] #49"/>
    <s v="Basketball Cards 2024 Panini Prizm Black"/>
    <n v="325"/>
    <s v="Ungraded"/>
    <s v="Normal wear"/>
    <m/>
    <s v="&quot;https://www.whatnot.com/order/LWb3sBpSSuKkKt2ouhdoxo_x000d__x000a_$1.00 + $0.35 (Shared Shipping) + $0.14 Tax = Total of $1.48&quot;"/>
    <n v="148"/>
    <n v="1"/>
    <d v="2026-05-22T00:00:00"/>
    <d v="2026-05-15T00:00:00"/>
    <m/>
    <n v="165"/>
    <m/>
    <s v="Donovan Mitchell"/>
    <s v="2024 Panini Prizm Black"/>
    <s v="Hyper"/>
    <s v="49"/>
    <n v="3.25"/>
    <x v="29"/>
    <s v="For Sale"/>
    <n v="1"/>
    <n v="3"/>
    <n v="4"/>
    <n v="1.25"/>
  </r>
  <r>
    <n v="154422"/>
    <s v="Earvin Johnson #578"/>
    <s v="Basketball Cards 1991 Hoops"/>
    <n v="205"/>
    <s v="Ungraded"/>
    <s v="Normal wear"/>
    <m/>
    <m/>
    <n v="0"/>
    <n v="1"/>
    <d v="2026-05-07T00:00:00"/>
    <m/>
    <m/>
    <n v="226"/>
    <m/>
    <s v="Earvin Johnson"/>
    <s v="1991 Hoops"/>
    <s v="-"/>
    <s v="578"/>
    <n v="2.0499999999999998"/>
    <x v="30"/>
    <s v="For Sale"/>
    <n v="1"/>
    <n v="3"/>
    <n v="2.5"/>
    <n v="2"/>
  </r>
  <r>
    <n v="4360264"/>
    <s v="Eric Wynalda #14"/>
    <s v="Soccer Cards 1994 Upper Deck World Cup Soccer"/>
    <n v="233"/>
    <s v="Ungraded"/>
    <s v="Normal wear"/>
    <m/>
    <m/>
    <n v="0"/>
    <n v="1"/>
    <d v="2026-04-17T00:00:00"/>
    <m/>
    <m/>
    <n v="221"/>
    <m/>
    <s v="Eric Wynalda"/>
    <s v="1994 Upper Deck World Cup Soccer"/>
    <s v="-"/>
    <s v="14"/>
    <n v="2.33"/>
    <x v="31"/>
    <s v="For Sale"/>
    <n v="1"/>
    <n v="3"/>
    <n v="3"/>
    <n v="2.5"/>
  </r>
  <r>
    <n v="156855"/>
    <s v="JA Morant [Silver] #580"/>
    <s v="Basketball Cards 2019 Panini Chronicles"/>
    <n v="222"/>
    <s v="Ungraded"/>
    <s v="Normal wear"/>
    <m/>
    <s v="&quot;https://www.whatnot.com/order/dxXz2Jyt4MAZh5PgRPhA2e_x000d__x000a_$2.00 + $0.63 (Shared Shipping) + $0.27 Tax = Total of $2.90&quot;"/>
    <n v="290"/>
    <n v="1"/>
    <d v="2026-05-14T00:00:00"/>
    <d v="2026-05-13T00:00:00"/>
    <m/>
    <n v="233"/>
    <m/>
    <s v="JA Morant"/>
    <s v="2019 Panini Chronicles"/>
    <s v="Silver"/>
    <s v="580"/>
    <n v="2.2200000000000002"/>
    <x v="32"/>
    <s v="For Sale"/>
    <n v="1"/>
    <n v="3"/>
    <n v="3"/>
    <n v="2"/>
  </r>
  <r>
    <n v="156688"/>
    <s v="JA Morant #168"/>
    <s v="Basketball Cards 2019 Panini Chronicles"/>
    <n v="200"/>
    <s v="Ungraded"/>
    <s v="Normal wear"/>
    <m/>
    <s v="&quot;https://www.whatnot.com/order/o8pD2uRJ2uJBZu72TvBaqn_x000d__x000a_$1.00 + $1.00 (Shared Shipping) + $0.21 Tax = Total of $2.21&quot;"/>
    <n v="221"/>
    <n v="1"/>
    <d v="2026-05-12T00:00:00"/>
    <d v="2026-05-08T00:00:00"/>
    <m/>
    <n v="209"/>
    <m/>
    <s v="JA Morant"/>
    <s v="2019 Panini Chronicles"/>
    <s v="-"/>
    <s v="168"/>
    <n v="2"/>
    <x v="32"/>
    <s v="For Sale"/>
    <n v="1"/>
    <n v="3"/>
    <n v="3"/>
    <n v="2"/>
  </r>
  <r>
    <n v="11909420"/>
    <s v="Ja Morant #KI-JM"/>
    <s v="Basketball Cards 2025 Topps Match Attax In Motion"/>
    <n v="199"/>
    <s v="Ungraded"/>
    <s v="Normal wear"/>
    <m/>
    <s v="&quot;https://www.whatnot.com/order/mnN4d6f44iDgHmgaGRqhz9_x000d__x000a_$1.00 + $0.35 (Shared Shipping) + $0.14 Tax = Total of $1.48&quot;"/>
    <n v="148"/>
    <n v="1"/>
    <d v="2026-05-21T00:00:00"/>
    <d v="2026-05-15T00:00:00"/>
    <m/>
    <n v="275"/>
    <m/>
    <s v="Ja Morant"/>
    <s v="2025 Topps Match Attax In Motion"/>
    <s v="-"/>
    <s v="KI-JM"/>
    <n v="1.99"/>
    <x v="32"/>
    <s v="For Sale"/>
    <n v="1"/>
    <n v="3"/>
    <n v="2.5"/>
    <n v="1.25"/>
  </r>
  <r>
    <n v="12104444"/>
    <s v="Ja Morant [Oil Spill Refractor] #93"/>
    <s v="Basketball Cards 2025 Topps Finest"/>
    <n v="153"/>
    <s v="Ungraded"/>
    <s v="Normal wear"/>
    <m/>
    <s v="&quot;https://www.whatnot.com/order/MwfykcrBkKSMi8nZ7VXmSm_x000d__x000a_$2.00 + $0.36 (Shared Shipping) + $0.24 Tax = Total of $2.61&quot;"/>
    <n v="261"/>
    <n v="1"/>
    <d v="2026-05-12T00:00:00"/>
    <d v="2026-05-12T00:00:00"/>
    <m/>
    <n v="489"/>
    <m/>
    <s v="Ja Morant"/>
    <s v="2025 Topps Finest"/>
    <s v="Oil Spill Refractor"/>
    <s v="93"/>
    <n v="1.53"/>
    <x v="32"/>
    <s v="For Sale"/>
    <n v="1"/>
    <n v="3"/>
    <n v="3"/>
    <n v="1.5"/>
  </r>
  <r>
    <n v="12957119"/>
    <s v="Ja Morant #264"/>
    <s v="Basketball Cards 2025 Topps NBA Hoops"/>
    <n v="125"/>
    <s v="Ungraded"/>
    <s v="Normal wear"/>
    <m/>
    <s v="&quot;https://www.whatnot.com/order/nAEkrSA7yzkeKXKekwWJV7_x000d__x000a_$0.50 + $0.27 (Shared Shipping) + $0.08 Tax = Total of $0.85&quot;"/>
    <n v="85"/>
    <n v="1"/>
    <d v="2026-05-22T00:00:00"/>
    <d v="2026-05-17T00:00:00"/>
    <m/>
    <n v="432"/>
    <m/>
    <s v="Ja Morant"/>
    <s v="2025 Topps NBA Hoops"/>
    <s v="-"/>
    <s v="264"/>
    <n v="1.25"/>
    <x v="32"/>
    <s v="For Sale"/>
    <n v="1"/>
    <n v="3"/>
    <n v="1.5"/>
    <n v="0.75"/>
  </r>
  <r>
    <n v="8013967"/>
    <s v="Jaden McDaniels [Silver Prizm] #10"/>
    <s v="Basketball Cards 2020 Panini Prizm Emergent"/>
    <n v="281"/>
    <s v="Ungraded"/>
    <s v="Normal wear"/>
    <m/>
    <s v="&quot;https://www.whatnot.com/order/6GpfoWGnD4i8UVt4E9YZb3_x000d__x000a_$2.00 + $1.09 (Shared Shipping) + $0.32 Tax = Total of $3.41&quot;_x000d__x000a_"/>
    <n v="341"/>
    <n v="1"/>
    <d v="2026-05-12T00:00:00"/>
    <d v="2026-05-12T00:00:00"/>
    <m/>
    <n v="222"/>
    <m/>
    <s v="Jaden McDaniels"/>
    <s v="2020 Panini Prizm Emergent"/>
    <s v="Silver Prizm"/>
    <s v="10"/>
    <n v="2.81"/>
    <x v="33"/>
    <s v="For Sale"/>
    <n v="1"/>
    <n v="3"/>
    <n v="4"/>
    <n v="3"/>
  </r>
  <r>
    <n v="2102671"/>
    <s v="Jarrett Culver #JCV"/>
    <s v="Basketball Cards 2019 Panini Revolution Rookie Autographs"/>
    <n v="217"/>
    <s v="Ungraded"/>
    <s v="Normal wear"/>
    <m/>
    <s v="&quot;https://www.whatnot.com/order/76LD29BivfBZrNXYeJq5xV_x000d__x000a_$3.00 + $1.72 (Shared Shipping) + $0.48 Tax = Total of $5.20&quot;"/>
    <n v="520"/>
    <n v="1"/>
    <d v="2026-05-12T00:00:00"/>
    <d v="2026-05-08T00:00:00"/>
    <m/>
    <n v="178"/>
    <m/>
    <s v="Jarrett Culver"/>
    <s v="2019 Panini Revolution Rookie Autographs"/>
    <s v="-"/>
    <s v="JCV"/>
    <n v="2.17"/>
    <x v="34"/>
    <s v="For Sale"/>
    <n v="1"/>
    <n v="3"/>
    <n v="6"/>
    <n v="2"/>
  </r>
  <r>
    <n v="7296808"/>
    <s v="Jayson Tatum [Orange Basketball Refractor] #164"/>
    <s v="Basketball Cards 2023 Topps Chrome"/>
    <n v="390"/>
    <s v="Ungraded"/>
    <s v="Normal wear"/>
    <m/>
    <s v="&quot;https://www.whatnot.com/order/9ER4Qs3djKVVj6qwbLpnAt_x000d__x000a_$1.50 + $1.20 (Shared Shipping) + $0.28 Tax = Total of $2.98&quot;"/>
    <n v="298"/>
    <n v="1"/>
    <d v="2026-05-30T00:00:00"/>
    <d v="2026-05-16T00:00:00"/>
    <m/>
    <n v="148"/>
    <m/>
    <s v="Jayson Tatum"/>
    <s v="2023 Topps Chrome"/>
    <s v="Orange Basketball Refractor"/>
    <s v="164"/>
    <n v="3.9"/>
    <x v="35"/>
    <s v="For Sale"/>
    <n v="1"/>
    <n v="3"/>
    <n v="5"/>
    <n v="3"/>
  </r>
  <r>
    <n v="6014501"/>
    <s v="Jayson Tatum [Red Ice] #51"/>
    <s v="Basketball Cards 2023 Panini Prizm Draft Picks"/>
    <n v="185"/>
    <s v="Ungraded"/>
    <s v="Normal wear"/>
    <m/>
    <s v="&quot;https://www.whatnot.com/order/9ER4Qs3djKVVj6qwbLpnAt_x000d__x000a_$1.50 + $1.20 (Shared Shipping) + $0.28 Tax = Total of $2.98&quot;"/>
    <n v="298"/>
    <n v="1"/>
    <d v="2026-05-17T00:00:00"/>
    <d v="2026-05-16T00:00:00"/>
    <m/>
    <n v="314"/>
    <m/>
    <s v="Jayson Tatum"/>
    <s v="2023 Panini Prizm Draft Picks"/>
    <s v="Red Ice"/>
    <s v="51"/>
    <n v="1.85"/>
    <x v="35"/>
    <s v="For Sale"/>
    <n v="1"/>
    <n v="3"/>
    <n v="4"/>
    <n v="2"/>
  </r>
  <r>
    <n v="12520986"/>
    <s v="Joe Burrow [Pulsar Refractor] #61"/>
    <s v="Football Cards 2025 Topps Chrome"/>
    <n v="238"/>
    <s v="Ungraded"/>
    <s v="Normal wear"/>
    <m/>
    <s v="&quot;https://www.whatnot.com/order/3GyMAAaJhKT35PtSFFmp7M_x000d__x000a_$1.00 + $0.28 (Shared Shipping) + $0.13 Tax = Total of $1.41&quot;"/>
    <n v="141"/>
    <n v="1"/>
    <d v="2026-05-15T00:00:00"/>
    <d v="2026-05-14T00:00:00"/>
    <m/>
    <n v="205"/>
    <m/>
    <s v="Joe Burrow"/>
    <s v="2025 Topps Chrome"/>
    <s v="Pulsar Refractor"/>
    <s v="61"/>
    <n v="2.38"/>
    <x v="36"/>
    <s v="For Sale"/>
    <n v="1"/>
    <n v="3"/>
    <n v="3"/>
    <n v="1.25"/>
  </r>
  <r>
    <n v="131835"/>
    <s v="Joel Embiid #263"/>
    <s v="Basketball Cards 2014 Panini Hoops"/>
    <n v="556"/>
    <s v="Ungraded"/>
    <s v="Normal wear"/>
    <m/>
    <s v="&quot;https://www.whatnot.com/order/84EtWmjxZp84PtP5CNdWys_x000d__x000a_$3.00 + $2.48 (Shared Shipping) + $0.56 Tax = Total of $6.04&quot;_x000d__x000a_"/>
    <n v="604"/>
    <n v="1"/>
    <d v="2026-05-12T00:00:00"/>
    <d v="2026-05-05T00:00:00"/>
    <m/>
    <n v="125"/>
    <m/>
    <s v="Joel Embiid"/>
    <s v="2014 Panini Hoops"/>
    <s v="-"/>
    <s v="263"/>
    <n v="5.56"/>
    <x v="37"/>
    <s v="For Sale"/>
    <n v="1"/>
    <n v="3"/>
    <n v="7"/>
    <n v="6"/>
  </r>
  <r>
    <n v="5419755"/>
    <s v="Joel Embiid #4"/>
    <s v="Basketball Cards 2021 Panini Illusions Mystique"/>
    <n v="329"/>
    <s v="Ungraded"/>
    <s v="Normal wear"/>
    <m/>
    <s v="&quot;https://www.whatnot.com/order/n7MxSz7PrCaHnYLU8dzQbP_x000d__x000a_$1.00 + $0.43 (Shared Shipping) + $0.15 Tax = Total of $1.57&quot;"/>
    <n v="157"/>
    <n v="1"/>
    <d v="2026-05-22T00:00:00"/>
    <d v="2026-05-19T00:00:00"/>
    <m/>
    <n v="162"/>
    <m/>
    <s v="Joel Embiid"/>
    <s v="2021 Panini Illusions Mystique"/>
    <s v="-"/>
    <s v="4"/>
    <n v="3.29"/>
    <x v="37"/>
    <s v="For Sale"/>
    <n v="1"/>
    <n v="3"/>
    <n v="4"/>
    <n v="1.5"/>
  </r>
  <r>
    <n v="9646041"/>
    <s v="Joel Embiid [Purple Geometric Refractor] #INS-6"/>
    <s v="Basketball Cards 2024 Topps Chrome Instinct"/>
    <n v="100"/>
    <s v="Ungraded"/>
    <s v="Normal wear"/>
    <m/>
    <s v="&quot;https://www.whatnot.com/order/Z2R37fViUKxpmERP7PNyqv_x000d__x000a_$1.00 + $0.43 (Shared Shipping) + $0.15 Tax = Total of $1.57&quot;"/>
    <n v="157"/>
    <n v="1"/>
    <d v="2026-05-22T00:00:00"/>
    <d v="2026-05-19T00:00:00"/>
    <m/>
    <n v="547"/>
    <m/>
    <s v="Joel Embiid"/>
    <s v="2024 Topps Chrome Instinct"/>
    <s v="Purple Geometric Refractor"/>
    <s v="INS-6"/>
    <n v="1"/>
    <x v="37"/>
    <s v="For Sale"/>
    <n v="1"/>
    <n v="3"/>
    <n v="2"/>
    <n v="1"/>
  </r>
  <r>
    <n v="11586600"/>
    <s v="John Stockton #P18"/>
    <s v="Basketball Cards 1996 Upper Deck Predictor Scoring 2"/>
    <n v="299"/>
    <s v="Ungraded"/>
    <s v="Normal wear"/>
    <m/>
    <m/>
    <n v="0"/>
    <n v="1"/>
    <d v="2026-05-31T00:00:00"/>
    <m/>
    <m/>
    <n v="182"/>
    <m/>
    <s v="John Stockton"/>
    <s v="1996 Upper Deck Predictor Scoring 2"/>
    <s v="-"/>
    <s v="P18"/>
    <n v="2.99"/>
    <x v="38"/>
    <s v="For Sale"/>
    <n v="1"/>
    <n v="3"/>
    <n v="4"/>
    <n v="3"/>
  </r>
  <r>
    <n v="6136569"/>
    <s v="John Stockton #19"/>
    <s v="Basketball Cards 1996 Metal Cyber Metal"/>
    <n v="121"/>
    <s v="Ungraded"/>
    <s v="Normal wear"/>
    <m/>
    <m/>
    <n v="0"/>
    <n v="1"/>
    <d v="2026-05-07T00:00:00"/>
    <m/>
    <m/>
    <n v="503"/>
    <m/>
    <s v="John Stockton"/>
    <s v="1996 Metal Cyber Metal"/>
    <s v="-"/>
    <s v="19"/>
    <n v="1.21"/>
    <x v="38"/>
    <s v="For Sale"/>
    <n v="1"/>
    <n v="3"/>
    <n v="1.25"/>
    <n v="1"/>
  </r>
  <r>
    <n v="2730174"/>
    <s v="Joy Fawcett #272"/>
    <s v="Soccer Cards 1994 Upper Deck World Cup Soccer"/>
    <n v="249"/>
    <s v="Ungraded"/>
    <s v="Normal wear"/>
    <m/>
    <m/>
    <n v="0"/>
    <n v="1"/>
    <d v="2026-06-13T00:00:00"/>
    <m/>
    <m/>
    <n v="219"/>
    <m/>
    <s v="Joy Fawcett"/>
    <s v="1994 Upper Deck World Cup Soccer"/>
    <s v="-"/>
    <s v="272"/>
    <n v="2.4900000000000002"/>
    <x v="39"/>
    <s v="For Sale"/>
    <n v="1"/>
    <n v="3"/>
    <n v="3"/>
    <n v="2.5"/>
  </r>
  <r>
    <n v="2730173"/>
    <s v="Julie Foudy #271"/>
    <s v="Soccer Cards 1994 Upper Deck World Cup Soccer"/>
    <n v="200"/>
    <s v="Ungraded"/>
    <s v="Normal wear"/>
    <m/>
    <m/>
    <n v="0"/>
    <n v="1"/>
    <d v="2026-06-13T00:00:00"/>
    <m/>
    <m/>
    <n v="261"/>
    <m/>
    <s v="Julie Foudy"/>
    <s v="1994 Upper Deck World Cup Soccer"/>
    <s v="-"/>
    <s v="271"/>
    <n v="2"/>
    <x v="40"/>
    <s v="For Sale"/>
    <n v="1"/>
    <n v="3"/>
    <n v="2.5"/>
    <n v="2"/>
  </r>
  <r>
    <n v="13159385"/>
    <s v="Karl Malone #7"/>
    <s v="Basketball Cards 1996 Metal Power Tools"/>
    <n v="207"/>
    <s v="Ungraded"/>
    <s v="Normal wear"/>
    <m/>
    <m/>
    <n v="0"/>
    <n v="1"/>
    <d v="2026-05-30T00:00:00"/>
    <m/>
    <m/>
    <n v="174"/>
    <m/>
    <s v="Karl Malone"/>
    <s v="1996 Metal Power Tools"/>
    <s v="-"/>
    <s v="7"/>
    <n v="2.0699999999999998"/>
    <x v="41"/>
    <s v="For Sale"/>
    <n v="1"/>
    <n v="3"/>
    <n v="2.5"/>
    <n v="2"/>
  </r>
  <r>
    <n v="89046"/>
    <s v="Kevin Garnett #109"/>
    <s v="Basketball Cards 1997 Metal Universe"/>
    <n v="319"/>
    <s v="Ungraded"/>
    <s v="Normal wear"/>
    <m/>
    <m/>
    <n v="0"/>
    <n v="1"/>
    <d v="2026-05-07T00:00:00"/>
    <m/>
    <m/>
    <n v="175"/>
    <m/>
    <s v="Kevin Garnett"/>
    <s v="1997 Metal Universe"/>
    <s v="-"/>
    <s v="109"/>
    <n v="3.19"/>
    <x v="42"/>
    <s v="For Sale"/>
    <n v="1"/>
    <n v="3"/>
    <n v="4"/>
    <n v="3"/>
  </r>
  <r>
    <n v="83392"/>
    <s v="Kevin Garnett #167"/>
    <s v="Basketball Cards 1995 Metal"/>
    <n v="261"/>
    <s v="Ungraded"/>
    <s v="Normal wear"/>
    <m/>
    <m/>
    <n v="0"/>
    <n v="1"/>
    <d v="2026-04-16T00:00:00"/>
    <d v="2026-04-16T00:00:00"/>
    <m/>
    <n v="157"/>
    <m/>
    <s v="Kevin Garnett"/>
    <s v="1995 Metal"/>
    <s v="-"/>
    <s v="167"/>
    <n v="2.61"/>
    <x v="42"/>
    <s v="For Sale"/>
    <n v="1"/>
    <n v="3"/>
    <n v="3"/>
    <n v="3"/>
  </r>
  <r>
    <n v="13162333"/>
    <s v="Kevin Garnett #254"/>
    <s v="Basketball Cards 1997 Ultra 98 Greats"/>
    <n v="125"/>
    <s v="Ungraded"/>
    <s v="Normal wear"/>
    <m/>
    <m/>
    <n v="0"/>
    <n v="1"/>
    <d v="2026-05-30T00:00:00"/>
    <m/>
    <m/>
    <n v="485"/>
    <m/>
    <s v="Kevin Garnett"/>
    <s v="1997 Ultra 98 Greats"/>
    <s v="-"/>
    <s v="254"/>
    <n v="1.25"/>
    <x v="42"/>
    <s v="For Sale"/>
    <n v="1"/>
    <n v="3"/>
    <n v="1.5"/>
    <n v="1.25"/>
  </r>
  <r>
    <n v="5811066"/>
    <s v="Kevin Garnett [Game  Dated] #75"/>
    <s v="Basketball Cards 1997 Upper Deck"/>
    <n v="122"/>
    <s v="Ungraded"/>
    <s v="Normal wear"/>
    <m/>
    <m/>
    <n v="0"/>
    <n v="1"/>
    <d v="2026-05-07T00:00:00"/>
    <m/>
    <m/>
    <n v="499"/>
    <m/>
    <s v="Kevin Garnett"/>
    <s v="1997 Upper Deck"/>
    <s v="Game  Dated"/>
    <s v="75"/>
    <n v="1.22"/>
    <x v="42"/>
    <s v="For Sale"/>
    <n v="1"/>
    <n v="3"/>
    <n v="1.25"/>
    <n v="1"/>
  </r>
  <r>
    <n v="3180064"/>
    <s v="Kevin Garnett #125"/>
    <s v="Basketball Cards 1998 Topps"/>
    <n v="121"/>
    <s v="Ungraded"/>
    <s v="Normal wear"/>
    <m/>
    <m/>
    <n v="0"/>
    <n v="1"/>
    <d v="2026-05-31T00:00:00"/>
    <m/>
    <m/>
    <n v="500"/>
    <m/>
    <s v="Kevin Garnett"/>
    <s v="1998 Topps"/>
    <s v="-"/>
    <s v="125"/>
    <n v="1.21"/>
    <x v="42"/>
    <s v="For Sale"/>
    <n v="1"/>
    <n v="3"/>
    <n v="1.25"/>
    <n v="1"/>
  </r>
  <r>
    <n v="87425"/>
    <s v="Kevin Garnett #251"/>
    <s v="Basketball Cards 1996 Upper Deck"/>
    <n v="99"/>
    <s v="Ungraded"/>
    <s v="Normal wear"/>
    <m/>
    <m/>
    <n v="0"/>
    <n v="1"/>
    <d v="2026-06-10T00:00:00"/>
    <m/>
    <m/>
    <n v="551"/>
    <m/>
    <s v="Kevin Garnett"/>
    <s v="1996 Upper Deck"/>
    <s v="-"/>
    <s v="251"/>
    <n v="0.99"/>
    <x v="42"/>
    <s v="For Sale"/>
    <n v="3"/>
    <n v="3"/>
    <n v="1"/>
    <n v="0.75"/>
  </r>
  <r>
    <n v="87425"/>
    <s v="Kevin Garnett #251"/>
    <s v="Basketball Cards 1996 Upper Deck"/>
    <n v="99"/>
    <s v="Ungraded"/>
    <s v="Normal wear"/>
    <m/>
    <m/>
    <n v="0"/>
    <n v="1"/>
    <d v="2026-05-07T00:00:00"/>
    <m/>
    <m/>
    <n v="553"/>
    <m/>
    <s v="Kevin Garnett"/>
    <s v="1996 Upper Deck"/>
    <s v="-"/>
    <s v="251"/>
    <n v="0.99"/>
    <x v="42"/>
    <s v="For Sale"/>
    <n v="3"/>
    <n v="3"/>
    <n v="1"/>
    <n v="0.75"/>
  </r>
  <r>
    <n v="87425"/>
    <s v="Kevin Garnett #251"/>
    <s v="Basketball Cards 1996 Upper Deck"/>
    <n v="99"/>
    <s v="Ungraded"/>
    <s v="Normal wear"/>
    <m/>
    <m/>
    <n v="0"/>
    <n v="1"/>
    <d v="2026-06-10T00:00:00"/>
    <m/>
    <m/>
    <n v="574"/>
    <m/>
    <s v="Kevin Garnett"/>
    <s v="1996 Upper Deck"/>
    <s v="-"/>
    <s v="251"/>
    <n v="0.99"/>
    <x v="42"/>
    <s v="For Sale"/>
    <n v="3"/>
    <n v="3"/>
    <n v="1"/>
    <n v="0.75"/>
  </r>
  <r>
    <n v="147563"/>
    <s v="LeBron James [Phenomenal Beginning] #11"/>
    <s v="Basketball Cards 2003 Upper Deck Phenomenal Beginning"/>
    <n v="688"/>
    <s v="Ungraded"/>
    <s v="Normal wear"/>
    <m/>
    <s v="&quot;https://www.whatnot.com/order/RVD5hkPMoaUK4my4SPSKiQ_x000d__x000a_$17.00 + $0.00 (Shared Shipping) + $1.74 Tax = Total of $18.74&quot;"/>
    <n v="1874"/>
    <n v="1"/>
    <d v="2026-05-23T00:00:00"/>
    <d v="2026-05-22T00:00:00"/>
    <m/>
    <n v="40"/>
    <m/>
    <s v="LeBron James"/>
    <s v="2003 Upper Deck Phenomenal Beginning"/>
    <s v="Phenomenal Beginning"/>
    <s v="11"/>
    <n v="6.88"/>
    <x v="43"/>
    <s v="For Sale"/>
    <n v="1"/>
    <n v="3"/>
    <n v="22"/>
    <n v="7"/>
  </r>
  <r>
    <n v="9781694"/>
    <s v="LeBron James [Blue Prizm] #54"/>
    <s v="Basketball Cards 2024 Panini Select"/>
    <n v="168"/>
    <s v="Ungraded"/>
    <s v="Normal wear"/>
    <m/>
    <s v="&quot;https://www.whatnot.com/order/9Nw32iaBQX4B786bgpSBCs_x000d__x000a_$0.00 + $0.21 (Shared Shipping) + $0.02 Tax = Total of $0.23&quot;"/>
    <n v="23"/>
    <n v="1"/>
    <d v="2026-05-12T00:00:00"/>
    <d v="2026-05-06T00:00:00"/>
    <m/>
    <n v="335"/>
    <m/>
    <s v="LeBron James"/>
    <s v="2024 Panini Select"/>
    <s v="Blue Prizm"/>
    <s v="54"/>
    <n v="1.68"/>
    <x v="43"/>
    <s v="For Sale"/>
    <n v="1"/>
    <n v="3"/>
    <n v="2"/>
    <n v="0.25"/>
  </r>
  <r>
    <n v="2489255"/>
    <s v="LeBron James [Blue Prizm] #113"/>
    <s v="Basketball Cards 2020 Panini Select"/>
    <n v="150"/>
    <s v="Ungraded"/>
    <s v="Normal wear"/>
    <m/>
    <s v="&quot;https://www.whatnot.com/order/eZzEmrYrFPTX2ciq7zw7Hi_x000d__x000a_$2.00 + $0.00 (Shared Shipping) + $0.21 Tax = Total of $2.21&quot;"/>
    <n v="221"/>
    <n v="1"/>
    <d v="2026-06-09T00:00:00"/>
    <d v="2026-06-08T00:00:00"/>
    <m/>
    <n v="395"/>
    <m/>
    <s v="LeBron James"/>
    <s v="2020 Panini Select"/>
    <s v="Blue Prizm"/>
    <s v="113"/>
    <n v="1.5"/>
    <x v="43"/>
    <s v="For Sale"/>
    <n v="1"/>
    <n v="3"/>
    <n v="3"/>
    <n v="1.5"/>
  </r>
  <r>
    <n v="6284261"/>
    <s v="LeBron James #2"/>
    <s v="Basketball Cards 2023 Panini Donruss"/>
    <n v="149"/>
    <s v="Ungraded"/>
    <s v="Normal wear"/>
    <m/>
    <s v="whatnot.com/order/G3juFLZYNkeyx8YHXhJCeR_x000d__x000a_$1.50 + $0.00 (Shared Shipping) + $0.15 Tax = Total of $1.65"/>
    <n v="165"/>
    <n v="1"/>
    <d v="2026-06-18T00:00:00"/>
    <d v="2026-06-09T00:00:00"/>
    <m/>
    <n v="390"/>
    <m/>
    <s v="LeBron James"/>
    <s v="2023 Panini Donruss"/>
    <s v="-"/>
    <s v="2"/>
    <n v="1.49"/>
    <x v="43"/>
    <s v="For Sale"/>
    <n v="1"/>
    <n v="3"/>
    <n v="2"/>
    <n v="1.25"/>
  </r>
  <r>
    <n v="2945777"/>
    <s v="LeBron James #178"/>
    <s v="Basketball Cards 2020 Panini Chronicles"/>
    <n v="121"/>
    <s v="Ungraded"/>
    <s v="Normal wear"/>
    <m/>
    <s v="&quot;https://www.whatnot.com/order/GMJptoiQKCNjk4Pv5GF4bQ_x000d__x000a_$2.50 + $0.00 (Shared Shipping) + $0.26 Tax = Total of $2.76&quot;"/>
    <n v="276"/>
    <n v="1"/>
    <d v="2026-06-09T00:00:00"/>
    <d v="2026-06-08T00:00:00"/>
    <m/>
    <n v="488"/>
    <m/>
    <s v="LeBron James"/>
    <s v="2020 Panini Chronicles"/>
    <s v="-"/>
    <s v="178"/>
    <n v="1.21"/>
    <x v="43"/>
    <s v="For Sale"/>
    <n v="1"/>
    <n v="3"/>
    <n v="3"/>
    <n v="1"/>
  </r>
  <r>
    <n v="2945720"/>
    <s v="LeBron James #118"/>
    <s v="Basketball Cards 2020 Panini Chronicles"/>
    <n v="106"/>
    <s v="Ungraded"/>
    <s v="Normal wear"/>
    <m/>
    <s v="&quot;https://www.whatnot.com/order/7eozouSEnosHtokHHfAAYH_x000d__x000a_$1.67 + $1.02 (Shared Shipping) + $0.28 Tax = Total of $2.97&quot;"/>
    <n v="297"/>
    <n v="1"/>
    <d v="2026-05-12T00:00:00"/>
    <d v="2026-05-08T00:00:00"/>
    <m/>
    <n v="467"/>
    <m/>
    <s v="LeBron James"/>
    <s v="2020 Panini Chronicles"/>
    <s v="-"/>
    <s v="118"/>
    <n v="1.06"/>
    <x v="43"/>
    <s v="For Sale"/>
    <n v="1"/>
    <n v="3"/>
    <n v="4"/>
    <n v="1"/>
  </r>
  <r>
    <n v="5079399"/>
    <s v="Maximum Carnage #104"/>
    <s v="Marvel 1994 Flair"/>
    <n v="282"/>
    <s v="Ungraded"/>
    <s v="Normal wear"/>
    <m/>
    <m/>
    <n v="0"/>
    <n v="1"/>
    <d v="2026-04-17T00:00:00"/>
    <m/>
    <m/>
    <n v="289"/>
    <m/>
    <s v="Maximum Carnage"/>
    <s v="Marvel 1994 Flair"/>
    <s v="-"/>
    <s v="104"/>
    <n v="2.82"/>
    <x v="44"/>
    <s v="For Sale"/>
    <n v="1"/>
    <n v="3"/>
    <n v="3"/>
    <n v="3"/>
  </r>
  <r>
    <n v="87401"/>
    <s v="Michael Jordan / Scottie Pippen / Dennis Rodman / Toni Kukoc / Ron Harper #139"/>
    <s v="Basketball Cards 1996 Upper Deck"/>
    <n v="372"/>
    <s v="Ungraded"/>
    <s v="Normal wear"/>
    <m/>
    <m/>
    <n v="0"/>
    <n v="1"/>
    <d v="2026-05-30T00:00:00"/>
    <m/>
    <m/>
    <n v="142"/>
    <m/>
    <s v="Michael Jordan / Scottie Pippen / Dennis Rodman / Toni Kukoc / Ron Harper"/>
    <s v="1996 Upper Deck"/>
    <s v="-"/>
    <s v="139"/>
    <n v="3.72"/>
    <x v="45"/>
    <s v="For Sale"/>
    <n v="1"/>
    <n v="3"/>
    <n v="4"/>
    <n v="4"/>
  </r>
  <r>
    <n v="154508"/>
    <s v="Michael vs. Magic #333"/>
    <s v="Basketball Cards 1991 Skybox"/>
    <n v="200"/>
    <s v="Ungraded"/>
    <s v="Normal wear"/>
    <m/>
    <m/>
    <n v="0"/>
    <n v="1"/>
    <d v="2026-05-07T00:00:00"/>
    <m/>
    <m/>
    <n v="212"/>
    <m/>
    <s v="Michael vs. Magic"/>
    <s v="1991 Skybox"/>
    <s v="-"/>
    <s v="333"/>
    <n v="2"/>
    <x v="46"/>
    <s v="For Sale"/>
    <n v="1"/>
    <n v="3"/>
    <n v="2.5"/>
    <n v="2"/>
  </r>
  <r>
    <n v="3000560"/>
    <s v="Miles Bridges [Red] #243"/>
    <s v="Basketball Cards 2018 Panini Chronicles"/>
    <n v="714"/>
    <s v="Ungraded"/>
    <s v="Normal wear"/>
    <m/>
    <m/>
    <n v="0"/>
    <n v="1"/>
    <d v="2026-06-08T00:00:00"/>
    <m/>
    <m/>
    <n v="38"/>
    <m/>
    <s v="Miles Bridges"/>
    <s v="2018 Panini Chronicles"/>
    <s v="Red"/>
    <s v="243"/>
    <n v="7.14"/>
    <x v="47"/>
    <s v="For Sale"/>
    <n v="1"/>
    <n v="3"/>
    <n v="9"/>
    <n v="7"/>
  </r>
  <r>
    <n v="9936923"/>
    <s v="Miles Bridges [Reactive Blue] #67"/>
    <s v="Basketball Cards 2024 Panini Mosaic"/>
    <n v="223"/>
    <s v="Ungraded"/>
    <s v="Normal wear"/>
    <m/>
    <s v="&quot;whatnot.com/order/MyYjybCzWUdYQZ5Nmcqzid_x000d__x000a_$0.00 + $0.63 (Shared Shipping) + $0.06 Tax = Total of $0.69&quot;"/>
    <n v="69"/>
    <n v="1"/>
    <d v="2026-06-13T00:00:00"/>
    <d v="2026-05-13T00:00:00"/>
    <m/>
    <n v="230"/>
    <m/>
    <s v="Miles Bridges"/>
    <s v="2024 Panini Mosaic"/>
    <s v="Reactive Blue"/>
    <s v="67"/>
    <n v="2.23"/>
    <x v="47"/>
    <s v="For Sale"/>
    <n v="1"/>
    <n v="3"/>
    <n v="3"/>
    <n v="0.5"/>
  </r>
  <r>
    <n v="11668252"/>
    <s v="Muller #77"/>
    <s v="Soccer Cards 1994 Upper Deck World Cup Soccer"/>
    <n v="209"/>
    <s v="Ungraded"/>
    <s v="Normal wear"/>
    <m/>
    <m/>
    <n v="0"/>
    <n v="1"/>
    <d v="2026-06-13T00:00:00"/>
    <m/>
    <m/>
    <n v="242"/>
    <m/>
    <s v="Muller"/>
    <s v="1994 Upper Deck World Cup Soccer"/>
    <s v="-"/>
    <s v="77"/>
    <n v="2.09"/>
    <x v="48"/>
    <s v="For Sale"/>
    <n v="1"/>
    <n v="3"/>
    <n v="3"/>
    <n v="2"/>
  </r>
  <r>
    <n v="10842357"/>
    <s v="Paolo Banchero [Purple Rainbow] #SA-20"/>
    <s v="Basketball Cards 2025 Topps Stars of the NBA"/>
    <n v="420"/>
    <s v="Ungraded"/>
    <s v="Normal wear"/>
    <m/>
    <s v="&quot;https://www.whatnot.com/order/nf6DKG4X4BE3RvCtyQDywr_x000d__x000a_$3.00 + $0.78 (Shared Shipping) + $0.39 Tax = Total of $4.16&quot;"/>
    <n v="416"/>
    <n v="1"/>
    <d v="2026-05-17T00:00:00"/>
    <d v="2026-05-17T00:00:00"/>
    <m/>
    <n v="131"/>
    <m/>
    <s v="Paolo Banchero"/>
    <s v="2025 Topps Stars of the NBA"/>
    <s v="Purple Rainbow"/>
    <s v="SA-20"/>
    <n v="4.2"/>
    <x v="49"/>
    <s v="For Sale"/>
    <n v="1"/>
    <n v="3"/>
    <n v="5"/>
    <n v="4"/>
  </r>
  <r>
    <n v="6389627"/>
    <s v="Patrick Ewing #6"/>
    <s v="Basketball Cards 1996 Metal Cyber Metal"/>
    <n v="300"/>
    <s v="Ungraded"/>
    <s v="Normal wear"/>
    <m/>
    <m/>
    <n v="0"/>
    <n v="1"/>
    <d v="2026-05-31T00:00:00"/>
    <m/>
    <m/>
    <n v="186"/>
    <m/>
    <s v="Patrick Ewing"/>
    <s v="1996 Metal Cyber Metal"/>
    <s v="-"/>
    <s v="6"/>
    <n v="3"/>
    <x v="50"/>
    <s v="For Sale"/>
    <n v="1"/>
    <n v="3"/>
    <n v="4"/>
    <n v="3"/>
  </r>
  <r>
    <n v="5672077"/>
    <s v="Patrick Ewing #2"/>
    <s v="Basketball Cards 1994 Ultra Power in the Key"/>
    <n v="209"/>
    <s v="Ungraded"/>
    <s v="Normal wear"/>
    <m/>
    <m/>
    <n v="0"/>
    <n v="1"/>
    <d v="2026-05-07T00:00:00"/>
    <m/>
    <m/>
    <n v="256"/>
    <m/>
    <s v="Patrick Ewing"/>
    <s v="1994 Ultra Power in the Key"/>
    <s v="-"/>
    <s v="2"/>
    <n v="2.09"/>
    <x v="50"/>
    <s v="For Sale"/>
    <n v="1"/>
    <n v="3"/>
    <n v="3"/>
    <n v="2"/>
  </r>
  <r>
    <n v="9514806"/>
    <s v="Patrick Mahomes II [Red Yellow Prizm Shock] #120"/>
    <s v="Football Cards 2024 Panini Select"/>
    <n v="305"/>
    <s v="Ungraded"/>
    <s v="Normal wear"/>
    <m/>
    <s v="&quot;https://www.whatnot.com/order/5UjjnZwur4KMPeFJnGd5wv_x000d__x000a_$6.00 + $1.36 (Shared Shipping) + $0.75 Tax = Total of $8.11&quot;"/>
    <n v="811"/>
    <n v="1"/>
    <d v="2026-05-17T00:00:00"/>
    <d v="2026-05-15T00:00:00"/>
    <m/>
    <n v="194"/>
    <m/>
    <s v="Patrick Mahomes II"/>
    <s v="2024 Panini Select"/>
    <s v="Red Yellow Prizm Shock"/>
    <s v="120"/>
    <n v="3.05"/>
    <x v="51"/>
    <s v="For Sale"/>
    <n v="1"/>
    <n v="3"/>
    <n v="10"/>
    <n v="3"/>
  </r>
  <r>
    <n v="83855"/>
    <s v="Return of Excellence [Electric Court] #335"/>
    <s v="Basketball Cards 1995 Upper Deck"/>
    <n v="492"/>
    <s v="Ungraded"/>
    <s v="Normal wear"/>
    <m/>
    <m/>
    <n v="0"/>
    <n v="1"/>
    <d v="2026-05-30T00:00:00"/>
    <m/>
    <m/>
    <n v="123"/>
    <m/>
    <s v="Return of Excellence"/>
    <s v="1995 Upper Deck"/>
    <s v="Electric Court"/>
    <s v="335"/>
    <n v="4.92"/>
    <x v="52"/>
    <s v="For Sale"/>
    <n v="1"/>
    <n v="3"/>
    <n v="6"/>
    <n v="5"/>
  </r>
  <r>
    <n v="8802138"/>
    <s v="Ruud Gullit #306"/>
    <s v="Soccer Cards 1994 Upper Deck World Cup Soccer"/>
    <n v="357"/>
    <s v="Ungraded"/>
    <s v="Normal wear"/>
    <m/>
    <m/>
    <n v="0"/>
    <n v="1"/>
    <d v="2026-04-17T00:00:00"/>
    <m/>
    <m/>
    <n v="153"/>
    <m/>
    <s v="Ruud Gullit"/>
    <s v="1994 Upper Deck World Cup Soccer"/>
    <s v="-"/>
    <s v="306"/>
    <n v="3.57"/>
    <x v="53"/>
    <s v="For Sale"/>
    <n v="1"/>
    <n v="3"/>
    <n v="4"/>
    <n v="4"/>
  </r>
  <r>
    <n v="77612"/>
    <s v="Sam Vincent #223"/>
    <s v="Basketball Cards 1990 Hoops"/>
    <n v="388"/>
    <s v="Ungraded"/>
    <s v="Normal wear"/>
    <m/>
    <m/>
    <n v="0"/>
    <n v="1"/>
    <d v="2026-06-10T00:00:00"/>
    <m/>
    <m/>
    <n v="137"/>
    <m/>
    <s v="Sam Vincent"/>
    <s v="1990 Hoops"/>
    <s v="-"/>
    <s v="223"/>
    <n v="3.88"/>
    <x v="54"/>
    <s v="For Sale"/>
    <n v="6"/>
    <n v="3"/>
    <n v="5"/>
    <n v="3"/>
  </r>
  <r>
    <n v="77612"/>
    <s v="Sam Vincent #223"/>
    <s v="Basketball Cards 1990 Hoops"/>
    <n v="388"/>
    <s v="Ungraded"/>
    <s v="Normal wear"/>
    <m/>
    <m/>
    <n v="0"/>
    <n v="1"/>
    <d v="2026-06-10T00:00:00"/>
    <m/>
    <m/>
    <n v="138"/>
    <m/>
    <s v="Sam Vincent"/>
    <s v="1990 Hoops"/>
    <s v="-"/>
    <s v="223"/>
    <n v="3.88"/>
    <x v="54"/>
    <s v="For Sale"/>
    <n v="6"/>
    <n v="3"/>
    <n v="5"/>
    <n v="3"/>
  </r>
  <r>
    <n v="77612"/>
    <s v="Sam Vincent #223"/>
    <s v="Basketball Cards 1990 Hoops"/>
    <n v="388"/>
    <s v="Ungraded"/>
    <s v="Normal wear"/>
    <m/>
    <m/>
    <n v="0"/>
    <n v="1"/>
    <d v="2026-06-10T00:00:00"/>
    <m/>
    <m/>
    <n v="139"/>
    <m/>
    <s v="Sam Vincent"/>
    <s v="1990 Hoops"/>
    <s v="-"/>
    <s v="223"/>
    <n v="3.88"/>
    <x v="54"/>
    <s v="For Sale"/>
    <n v="6"/>
    <n v="3"/>
    <n v="5"/>
    <n v="3"/>
  </r>
  <r>
    <n v="77612"/>
    <s v="Sam Vincent #223"/>
    <s v="Basketball Cards 1990 Hoops"/>
    <n v="388"/>
    <s v="Ungraded"/>
    <s v="Normal wear"/>
    <m/>
    <m/>
    <n v="0"/>
    <n v="1"/>
    <d v="2026-06-10T00:00:00"/>
    <m/>
    <m/>
    <n v="140"/>
    <m/>
    <s v="Sam Vincent"/>
    <s v="1990 Hoops"/>
    <s v="-"/>
    <s v="223"/>
    <n v="3.88"/>
    <x v="54"/>
    <s v="For Sale"/>
    <n v="6"/>
    <n v="3"/>
    <n v="5"/>
    <n v="3"/>
  </r>
  <r>
    <n v="77612"/>
    <s v="Sam Vincent #223"/>
    <s v="Basketball Cards 1990 Hoops"/>
    <n v="388"/>
    <s v="Ungraded"/>
    <s v="Normal wear"/>
    <m/>
    <m/>
    <n v="0"/>
    <n v="1"/>
    <d v="2026-05-07T00:00:00"/>
    <m/>
    <m/>
    <n v="143"/>
    <m/>
    <s v="Sam Vincent"/>
    <s v="1990 Hoops"/>
    <s v="-"/>
    <s v="223"/>
    <n v="3.88"/>
    <x v="54"/>
    <s v="For Sale"/>
    <n v="6"/>
    <n v="3"/>
    <n v="5"/>
    <n v="3"/>
  </r>
  <r>
    <n v="77612"/>
    <s v="Sam Vincent #223"/>
    <s v="Basketball Cards 1990 Hoops"/>
    <n v="388"/>
    <s v="Ungraded"/>
    <s v="Normal wear"/>
    <m/>
    <m/>
    <n v="0"/>
    <n v="1"/>
    <d v="2026-06-10T00:00:00"/>
    <m/>
    <m/>
    <n v="145"/>
    <m/>
    <s v="Sam Vincent"/>
    <s v="1990 Hoops"/>
    <s v="-"/>
    <s v="223"/>
    <n v="3.88"/>
    <x v="54"/>
    <s v="For Sale"/>
    <n v="6"/>
    <n v="3"/>
    <n v="5"/>
    <n v="3"/>
  </r>
  <r>
    <n v="81413"/>
    <s v="Scottie Pippen #13"/>
    <s v="Basketball Cards 1994 E Motion"/>
    <n v="365"/>
    <s v="Ungraded"/>
    <s v="Normal wear"/>
    <m/>
    <m/>
    <n v="0"/>
    <n v="1"/>
    <d v="2026-05-31T00:00:00"/>
    <m/>
    <m/>
    <n v="190"/>
    <m/>
    <s v="Scottie Pippen"/>
    <s v="1994 E Motion"/>
    <s v="-"/>
    <s v="13"/>
    <n v="3.65"/>
    <x v="55"/>
    <s v="For Sale"/>
    <n v="1"/>
    <n v="3"/>
    <n v="4"/>
    <n v="4"/>
  </r>
  <r>
    <n v="6755014"/>
    <s v="Scottie Pippen #14"/>
    <s v="Basketball Cards 1996 Metal Cyber Metal"/>
    <n v="350"/>
    <s v="Ungraded"/>
    <s v="Normal wear"/>
    <m/>
    <m/>
    <n v="0"/>
    <n v="1"/>
    <d v="2026-04-15T00:00:00"/>
    <m/>
    <m/>
    <n v="158"/>
    <m/>
    <s v="Scottie Pippen"/>
    <s v="1996 Metal Cyber Metal"/>
    <s v="-"/>
    <s v="14"/>
    <n v="3.5"/>
    <x v="55"/>
    <s v="For Sale"/>
    <n v="1"/>
    <n v="3"/>
    <n v="4"/>
    <n v="4"/>
  </r>
  <r>
    <n v="85375"/>
    <s v="Scottie Pippen #14"/>
    <s v="Basketball Cards 1996 Fleer Metal"/>
    <n v="200"/>
    <s v="Ungraded"/>
    <s v="Normal wear"/>
    <m/>
    <m/>
    <n v="0"/>
    <n v="1"/>
    <d v="2026-05-31T00:00:00"/>
    <m/>
    <m/>
    <n v="234"/>
    <m/>
    <s v="Scottie Pippen"/>
    <s v="1996 Fleer Metal"/>
    <s v="-"/>
    <s v="14"/>
    <n v="2"/>
    <x v="55"/>
    <s v="For Sale"/>
    <n v="1"/>
    <n v="3"/>
    <n v="2.5"/>
    <n v="2"/>
  </r>
  <r>
    <n v="94008"/>
    <s v="Scottie Pippen #38"/>
    <s v="Basketball Cards 1998 Upper Deck Black Diamond"/>
    <n v="189"/>
    <s v="Ungraded"/>
    <s v="Normal wear"/>
    <m/>
    <m/>
    <n v="0"/>
    <n v="1"/>
    <d v="2026-05-31T00:00:00"/>
    <m/>
    <m/>
    <n v="366"/>
    <m/>
    <s v="Scottie Pippen"/>
    <s v="1998 Upper Deck Black Diamond"/>
    <s v="-"/>
    <s v="38"/>
    <n v="1.89"/>
    <x v="55"/>
    <s v="For Sale"/>
    <n v="2"/>
    <n v="3"/>
    <n v="2.5"/>
    <n v="1.5"/>
  </r>
  <r>
    <n v="94008"/>
    <s v="Scottie Pippen #38"/>
    <s v="Basketball Cards 1998 Upper Deck Black Diamond"/>
    <n v="189"/>
    <s v="Ungraded"/>
    <s v="Normal wear"/>
    <m/>
    <m/>
    <n v="0"/>
    <n v="1"/>
    <d v="2026-06-10T00:00:00"/>
    <m/>
    <m/>
    <n v="367"/>
    <m/>
    <s v="Scottie Pippen"/>
    <s v="1998 Upper Deck Black Diamond"/>
    <s v="-"/>
    <s v="38"/>
    <n v="1.89"/>
    <x v="55"/>
    <s v="For Sale"/>
    <n v="2"/>
    <n v="3"/>
    <n v="2.5"/>
    <n v="1.5"/>
  </r>
  <r>
    <n v="87421"/>
    <s v="Scottie Pippen #197"/>
    <s v="Basketball Cards 1996 Upper Deck"/>
    <n v="163"/>
    <s v="Ungraded"/>
    <s v="Normal wear"/>
    <m/>
    <m/>
    <n v="0"/>
    <n v="1"/>
    <d v="2026-06-10T00:00:00"/>
    <m/>
    <m/>
    <n v="369"/>
    <m/>
    <s v="Scottie Pippen"/>
    <s v="1996 Upper Deck"/>
    <s v="-"/>
    <s v="197"/>
    <n v="1.63"/>
    <x v="55"/>
    <s v="For Sale"/>
    <n v="4"/>
    <n v="3"/>
    <n v="2"/>
    <n v="1.25"/>
  </r>
  <r>
    <n v="87421"/>
    <s v="Scottie Pippen #197"/>
    <s v="Basketball Cards 1996 Upper Deck"/>
    <n v="163"/>
    <s v="Ungraded"/>
    <s v="Normal wear"/>
    <m/>
    <m/>
    <n v="0"/>
    <n v="1"/>
    <d v="2026-06-10T00:00:00"/>
    <m/>
    <m/>
    <n v="371"/>
    <m/>
    <s v="Scottie Pippen"/>
    <s v="1996 Upper Deck"/>
    <s v="-"/>
    <s v="197"/>
    <n v="1.63"/>
    <x v="55"/>
    <s v="For Sale"/>
    <n v="4"/>
    <n v="3"/>
    <n v="2"/>
    <n v="1.25"/>
  </r>
  <r>
    <n v="87421"/>
    <s v="Scottie Pippen #197"/>
    <s v="Basketball Cards 1996 Upper Deck"/>
    <n v="163"/>
    <s v="Ungraded"/>
    <s v="Normal wear"/>
    <m/>
    <m/>
    <n v="0"/>
    <n v="1"/>
    <d v="2026-05-31T00:00:00"/>
    <m/>
    <m/>
    <n v="372"/>
    <m/>
    <s v="Scottie Pippen"/>
    <s v="1996 Upper Deck"/>
    <s v="-"/>
    <s v="197"/>
    <n v="1.63"/>
    <x v="55"/>
    <s v="For Sale"/>
    <n v="4"/>
    <n v="3"/>
    <n v="2"/>
    <n v="1.25"/>
  </r>
  <r>
    <n v="87421"/>
    <s v="Scottie Pippen #197"/>
    <s v="Basketball Cards 1996 Upper Deck"/>
    <n v="163"/>
    <s v="Ungraded"/>
    <s v="Normal wear"/>
    <m/>
    <m/>
    <n v="0"/>
    <n v="1"/>
    <d v="2026-06-10T00:00:00"/>
    <m/>
    <m/>
    <n v="374"/>
    <m/>
    <s v="Scottie Pippen"/>
    <s v="1996 Upper Deck"/>
    <s v="-"/>
    <s v="197"/>
    <n v="1.63"/>
    <x v="55"/>
    <s v="For Sale"/>
    <n v="4"/>
    <n v="3"/>
    <n v="2"/>
    <n v="1.25"/>
  </r>
  <r>
    <n v="2984810"/>
    <s v="Scottie Pippen #7"/>
    <s v="Basketball Cards 1993 Ultra Inside Outside"/>
    <n v="157"/>
    <s v="Ungraded"/>
    <s v="Normal wear"/>
    <m/>
    <m/>
    <n v="0"/>
    <n v="1"/>
    <d v="2026-05-07T00:00:00"/>
    <m/>
    <m/>
    <n v="458"/>
    <m/>
    <s v="Scottie Pippen"/>
    <s v="1993 Ultra Inside Outside"/>
    <s v="-"/>
    <s v="7"/>
    <n v="1.57"/>
    <x v="55"/>
    <s v="For Sale"/>
    <n v="1"/>
    <n v="3"/>
    <n v="2"/>
    <n v="1.5"/>
  </r>
  <r>
    <n v="87821"/>
    <s v="Scottie Pippen [w/ Coating] #1"/>
    <s v="Basketball Cards 1997 Finest"/>
    <n v="150"/>
    <s v="Ungraded"/>
    <s v="Normal wear"/>
    <m/>
    <m/>
    <n v="0"/>
    <n v="1"/>
    <d v="2026-05-07T00:00:00"/>
    <d v="2026-05-07T00:00:00"/>
    <m/>
    <n v="550"/>
    <m/>
    <s v="Scottie Pippen"/>
    <s v="1997 Finest"/>
    <s v="w/ Coating"/>
    <s v="1"/>
    <n v="1.5"/>
    <x v="55"/>
    <s v="For Sale"/>
    <n v="1"/>
    <n v="3"/>
    <n v="2"/>
    <n v="1.5"/>
  </r>
  <r>
    <n v="5233999"/>
    <s v="Shaquille O'Neal [Double] #45"/>
    <s v="Basketball Cards 1998 Upper Deck Black Diamond"/>
    <n v="775"/>
    <s v="Ungraded"/>
    <s v="Normal wear"/>
    <m/>
    <m/>
    <n v="0"/>
    <n v="1"/>
    <d v="2026-04-15T00:00:00"/>
    <m/>
    <m/>
    <n v="36"/>
    <m/>
    <s v="Shaquille O'Neal"/>
    <s v="1998 Upper Deck Black Diamond"/>
    <s v="Double"/>
    <s v="45"/>
    <n v="7.75"/>
    <x v="56"/>
    <s v="For Sale"/>
    <n v="1"/>
    <n v="3"/>
    <n v="9"/>
    <n v="8"/>
  </r>
  <r>
    <n v="89013"/>
    <s v="Shaquille O'neal #50"/>
    <s v="Basketball Cards 1997 Metal Universe"/>
    <n v="496"/>
    <s v="Ungraded"/>
    <s v="Normal wear"/>
    <m/>
    <m/>
    <n v="0"/>
    <n v="1"/>
    <d v="2026-04-17T00:00:00"/>
    <m/>
    <m/>
    <n v="146"/>
    <m/>
    <s v="Shaquille O'neal"/>
    <s v="1997 Metal Universe"/>
    <s v="-"/>
    <s v="50"/>
    <n v="4.96"/>
    <x v="56"/>
    <s v="For Sale"/>
    <n v="1"/>
    <n v="3"/>
    <n v="6"/>
    <n v="5"/>
  </r>
  <r>
    <n v="85417"/>
    <s v="Shaquille O'Neal #183"/>
    <s v="Basketball Cards 1996 Fleer Metal"/>
    <n v="249"/>
    <s v="Ungraded"/>
    <s v="Normal wear"/>
    <m/>
    <m/>
    <n v="0"/>
    <n v="1"/>
    <d v="2026-05-07T00:00:00"/>
    <m/>
    <m/>
    <n v="213"/>
    <m/>
    <s v="Shaquille O'Neal"/>
    <s v="1996 Fleer Metal"/>
    <s v="-"/>
    <s v="183"/>
    <n v="2.4900000000000002"/>
    <x v="56"/>
    <s v="For Sale"/>
    <n v="1"/>
    <n v="3"/>
    <n v="3"/>
    <n v="2.5"/>
  </r>
  <r>
    <n v="2920597"/>
    <s v="Shaquille O'Neal #39"/>
    <s v="Basketball Cards 1999 SP Authentic"/>
    <n v="249"/>
    <s v="Ungraded"/>
    <s v="Normal wear"/>
    <m/>
    <m/>
    <n v="0"/>
    <n v="1"/>
    <d v="2026-04-17T00:00:00"/>
    <m/>
    <m/>
    <n v="283"/>
    <m/>
    <s v="Shaquille O'Neal"/>
    <s v="1999 SP Authentic"/>
    <s v="-"/>
    <s v="39"/>
    <n v="2.4900000000000002"/>
    <x v="56"/>
    <s v="For Sale"/>
    <n v="1"/>
    <n v="3"/>
    <n v="3"/>
    <n v="2.5"/>
  </r>
  <r>
    <n v="2920615"/>
    <s v="Shaquille O'Neal #1"/>
    <s v="Basketball Cards 1997 Ultra 98 Greats"/>
    <n v="200"/>
    <s v="Ungraded"/>
    <s v="Normal wear"/>
    <m/>
    <m/>
    <n v="0"/>
    <n v="1"/>
    <d v="2026-04-16T00:00:00"/>
    <d v="2026-04-16T00:00:00"/>
    <m/>
    <n v="252"/>
    <m/>
    <s v="Shaquille O'Neal"/>
    <s v="1997 Ultra 98 Greats"/>
    <s v="-"/>
    <s v="1"/>
    <n v="2"/>
    <x v="56"/>
    <s v="For Sale"/>
    <n v="1"/>
    <n v="3"/>
    <n v="2.5"/>
    <n v="2"/>
  </r>
  <r>
    <n v="85405"/>
    <s v="Shaquille O'Neal #143"/>
    <s v="Basketball Cards 1996 Fleer Metal"/>
    <n v="199"/>
    <s v="Ungraded"/>
    <s v="Normal wear"/>
    <m/>
    <m/>
    <n v="0"/>
    <n v="1"/>
    <d v="2026-06-10T00:00:00"/>
    <m/>
    <m/>
    <n v="254"/>
    <m/>
    <s v="Shaquille O'Neal"/>
    <s v="1996 Fleer Metal"/>
    <s v="-"/>
    <s v="143"/>
    <n v="1.99"/>
    <x v="56"/>
    <s v="For Sale"/>
    <n v="3"/>
    <n v="3"/>
    <n v="2.5"/>
    <n v="1.5"/>
  </r>
  <r>
    <n v="85405"/>
    <s v="Shaquille O'Neal #143"/>
    <s v="Basketball Cards 1996 Fleer Metal"/>
    <n v="199"/>
    <s v="Ungraded"/>
    <s v="Normal wear"/>
    <m/>
    <m/>
    <n v="0"/>
    <n v="1"/>
    <d v="2026-06-10T00:00:00"/>
    <m/>
    <m/>
    <n v="260"/>
    <m/>
    <s v="Shaquille O'Neal"/>
    <s v="1996 Fleer Metal"/>
    <s v="-"/>
    <s v="143"/>
    <n v="1.99"/>
    <x v="56"/>
    <s v="For Sale"/>
    <n v="3"/>
    <n v="3"/>
    <n v="2.5"/>
    <n v="1.5"/>
  </r>
  <r>
    <n v="85405"/>
    <s v="Shaquille O'Neal #143"/>
    <s v="Basketball Cards 1996 Fleer Metal"/>
    <n v="199"/>
    <s v="Ungraded"/>
    <s v="Normal wear"/>
    <m/>
    <m/>
    <n v="0"/>
    <n v="1"/>
    <d v="2026-05-31T00:00:00"/>
    <m/>
    <m/>
    <n v="262"/>
    <m/>
    <s v="Shaquille O'Neal"/>
    <s v="1996 Fleer Metal"/>
    <s v="-"/>
    <s v="143"/>
    <n v="1.99"/>
    <x v="56"/>
    <s v="For Sale"/>
    <n v="3"/>
    <n v="3"/>
    <n v="2.5"/>
    <n v="1.5"/>
  </r>
  <r>
    <n v="94020"/>
    <s v="Shaquille O'Neal #45"/>
    <s v="Basketball Cards 1998 Upper Deck Black Diamond"/>
    <n v="197"/>
    <s v="Ungraded"/>
    <s v="Normal wear"/>
    <m/>
    <m/>
    <n v="0"/>
    <n v="1"/>
    <d v="2026-04-17T00:00:00"/>
    <m/>
    <m/>
    <n v="173"/>
    <m/>
    <s v="Shaquille O'Neal"/>
    <s v="1998 Upper Deck Black Diamond"/>
    <s v="-"/>
    <s v="45"/>
    <n v="1.97"/>
    <x v="56"/>
    <s v="For Sale"/>
    <n v="1"/>
    <n v="3"/>
    <n v="2.5"/>
    <n v="2"/>
  </r>
  <r>
    <n v="87383"/>
    <s v="Shaquille O'Neal #61"/>
    <s v="Basketball Cards 1996 Upper Deck"/>
    <n v="195"/>
    <s v="Ungraded"/>
    <s v="Normal wear"/>
    <m/>
    <m/>
    <n v="0"/>
    <n v="1"/>
    <d v="2026-06-10T00:00:00"/>
    <m/>
    <m/>
    <n v="614"/>
    <m/>
    <s v="Shaquille O'Neal"/>
    <s v="1996 Upper Deck"/>
    <s v="-"/>
    <s v="61"/>
    <n v="1.95"/>
    <x v="56"/>
    <s v="For Sale"/>
    <n v="5"/>
    <n v="3"/>
    <n v="2.5"/>
    <n v="1.5"/>
  </r>
  <r>
    <n v="85691"/>
    <s v="Shaquille O'neal #163"/>
    <s v="Basketball Cards 1996 Skybox Premium"/>
    <n v="187"/>
    <s v="Ungraded"/>
    <s v="Normal wear"/>
    <m/>
    <m/>
    <n v="0"/>
    <n v="1"/>
    <d v="2026-06-10T00:00:00"/>
    <m/>
    <m/>
    <n v="297"/>
    <m/>
    <s v="Shaquille O'neal"/>
    <s v="1996 Skybox Premium"/>
    <s v="-"/>
    <s v="163"/>
    <n v="1.87"/>
    <x v="56"/>
    <s v="For Sale"/>
    <n v="2"/>
    <n v="3"/>
    <n v="2"/>
    <n v="1.5"/>
  </r>
  <r>
    <n v="85691"/>
    <s v="Shaquille O'neal #163"/>
    <s v="Basketball Cards 1996 Skybox Premium"/>
    <n v="187"/>
    <s v="Ungraded"/>
    <s v="Normal wear"/>
    <m/>
    <m/>
    <n v="0"/>
    <n v="1"/>
    <d v="2026-05-31T00:00:00"/>
    <m/>
    <m/>
    <n v="302"/>
    <m/>
    <s v="Shaquille O'neal"/>
    <s v="1996 Skybox Premium"/>
    <s v="-"/>
    <s v="163"/>
    <n v="1.87"/>
    <x v="56"/>
    <s v="For Sale"/>
    <n v="2"/>
    <n v="3"/>
    <n v="2"/>
    <n v="1.5"/>
  </r>
  <r>
    <n v="3225874"/>
    <s v="Shaquille O'Neal #23"/>
    <s v="Basketball Cards 1999 Topps NBA Tipoff"/>
    <n v="186"/>
    <s v="Ungraded"/>
    <s v="Normal wear"/>
    <m/>
    <m/>
    <n v="0"/>
    <n v="1"/>
    <d v="2026-05-31T00:00:00"/>
    <m/>
    <m/>
    <n v="359"/>
    <m/>
    <s v="Shaquille O'Neal"/>
    <s v="1999 Topps NBA Tipoff"/>
    <s v="-"/>
    <s v="23"/>
    <n v="1.86"/>
    <x v="56"/>
    <s v="For Sale"/>
    <n v="1"/>
    <n v="3"/>
    <n v="2"/>
    <n v="2"/>
  </r>
  <r>
    <n v="87297"/>
    <s v="Shaquille O'Neal #55"/>
    <s v="Basketball Cards 1996 Ultra"/>
    <n v="185"/>
    <s v="Ungraded"/>
    <s v="Normal wear"/>
    <m/>
    <m/>
    <n v="0"/>
    <n v="1"/>
    <d v="2026-05-07T00:00:00"/>
    <d v="2026-05-07T00:00:00"/>
    <m/>
    <n v="223"/>
    <m/>
    <s v="Shaquille O'Neal"/>
    <s v="1996 Ultra"/>
    <s v="-"/>
    <s v="55"/>
    <n v="1.85"/>
    <x v="56"/>
    <s v="For Sale"/>
    <n v="1"/>
    <n v="3"/>
    <n v="2"/>
    <n v="2"/>
  </r>
  <r>
    <n v="89458"/>
    <s v="Shaquille O'Neal #116"/>
    <s v="Basketball Cards 1997 Skybox Premium"/>
    <n v="175"/>
    <s v="Ungraded"/>
    <s v="Normal wear"/>
    <m/>
    <m/>
    <n v="0"/>
    <n v="1"/>
    <d v="2026-05-07T00:00:00"/>
    <m/>
    <m/>
    <n v="352"/>
    <m/>
    <s v="Shaquille O'Neal"/>
    <s v="1997 Skybox Premium"/>
    <s v="-"/>
    <s v="116"/>
    <n v="1.75"/>
    <x v="56"/>
    <s v="For Sale"/>
    <n v="1"/>
    <n v="3"/>
    <n v="2"/>
    <n v="2"/>
  </r>
  <r>
    <n v="4683555"/>
    <s v="Shaquille O'Neal #320"/>
    <s v="Basketball Cards 1997 Upper Deck"/>
    <n v="174"/>
    <s v="Ungraded"/>
    <s v="Normal wear"/>
    <m/>
    <m/>
    <n v="0"/>
    <n v="1"/>
    <d v="2026-06-10T00:00:00"/>
    <m/>
    <m/>
    <n v="399"/>
    <m/>
    <s v="Shaquille O'Neal"/>
    <s v="1997 Upper Deck"/>
    <s v="-"/>
    <s v="320"/>
    <n v="1.74"/>
    <x v="56"/>
    <s v="For Sale"/>
    <n v="3"/>
    <n v="3"/>
    <n v="2"/>
    <n v="1.25"/>
  </r>
  <r>
    <n v="4683555"/>
    <s v="Shaquille O'Neal #320"/>
    <s v="Basketball Cards 1997 Upper Deck"/>
    <n v="174"/>
    <s v="Ungraded"/>
    <s v="Normal wear"/>
    <m/>
    <m/>
    <n v="0"/>
    <n v="1"/>
    <d v="2026-06-10T00:00:00"/>
    <m/>
    <m/>
    <n v="400"/>
    <m/>
    <s v="Shaquille O'Neal"/>
    <s v="1997 Upper Deck"/>
    <s v="-"/>
    <s v="320"/>
    <n v="1.74"/>
    <x v="56"/>
    <s v="For Sale"/>
    <n v="3"/>
    <n v="3"/>
    <n v="2"/>
    <n v="1.25"/>
  </r>
  <r>
    <n v="4683555"/>
    <s v="Shaquille O'Neal #320"/>
    <s v="Basketball Cards 1997 Upper Deck"/>
    <n v="174"/>
    <s v="Ungraded"/>
    <s v="Normal wear"/>
    <m/>
    <m/>
    <n v="0"/>
    <n v="1"/>
    <d v="2026-05-31T00:00:00"/>
    <m/>
    <m/>
    <n v="401"/>
    <m/>
    <s v="Shaquille O'Neal"/>
    <s v="1997 Upper Deck"/>
    <s v="-"/>
    <s v="320"/>
    <n v="1.74"/>
    <x v="56"/>
    <s v="For Sale"/>
    <n v="3"/>
    <n v="3"/>
    <n v="2"/>
    <n v="1.25"/>
  </r>
  <r>
    <n v="82478"/>
    <s v="Shaquille O'Neal #100"/>
    <s v="Basketball Cards 1994 Upper Deck"/>
    <n v="171"/>
    <s v="Ungraded"/>
    <s v="Normal wear"/>
    <m/>
    <m/>
    <n v="0"/>
    <n v="1"/>
    <d v="2026-05-07T00:00:00"/>
    <m/>
    <m/>
    <n v="248"/>
    <m/>
    <s v="Shaquille O'Neal"/>
    <s v="1994 Upper Deck"/>
    <s v="-"/>
    <s v="100"/>
    <n v="1.71"/>
    <x v="56"/>
    <s v="For Sale"/>
    <n v="1"/>
    <n v="3"/>
    <n v="2"/>
    <n v="1.5"/>
  </r>
  <r>
    <n v="85734"/>
    <s v="Shaquille O'neal #274"/>
    <s v="Basketball Cards 1996 Skybox Premium"/>
    <n v="169"/>
    <s v="Ungraded"/>
    <s v="Normal wear"/>
    <m/>
    <m/>
    <n v="0"/>
    <n v="1"/>
    <d v="2026-05-31T00:00:00"/>
    <m/>
    <m/>
    <n v="319"/>
    <m/>
    <s v="Shaquille O'neal"/>
    <s v="1996 Skybox Premium"/>
    <s v="-"/>
    <s v="274"/>
    <n v="1.69"/>
    <x v="56"/>
    <s v="For Sale"/>
    <n v="1"/>
    <n v="3"/>
    <n v="2"/>
    <n v="1.5"/>
  </r>
  <r>
    <n v="87383"/>
    <s v="Shaquille O'Neal #61"/>
    <s v="Basketball Cards 1996 Upper Deck"/>
    <n v="167"/>
    <s v="Ungraded"/>
    <s v="Normal wear"/>
    <m/>
    <m/>
    <n v="0"/>
    <n v="1"/>
    <d v="2026-05-07T00:00:00"/>
    <d v="2026-05-07T00:00:00"/>
    <m/>
    <n v="284"/>
    <m/>
    <s v="Shaquille O'Neal"/>
    <s v="1996 Upper Deck"/>
    <s v="-"/>
    <s v="61"/>
    <n v="1.67"/>
    <x v="56"/>
    <s v="For Sale"/>
    <n v="5"/>
    <n v="3"/>
    <n v="2"/>
    <n v="1.25"/>
  </r>
  <r>
    <n v="87383"/>
    <s v="Shaquille O'Neal #61"/>
    <s v="Basketball Cards 1996 Upper Deck"/>
    <n v="167"/>
    <s v="Ungraded"/>
    <s v="Normal wear"/>
    <m/>
    <m/>
    <n v="0"/>
    <n v="1"/>
    <d v="2026-06-10T00:00:00"/>
    <m/>
    <m/>
    <n v="285"/>
    <m/>
    <s v="Shaquille O'Neal"/>
    <s v="1996 Upper Deck"/>
    <s v="-"/>
    <s v="61"/>
    <n v="1.67"/>
    <x v="56"/>
    <s v="For Sale"/>
    <n v="5"/>
    <n v="3"/>
    <n v="2"/>
    <n v="1.25"/>
  </r>
  <r>
    <n v="87383"/>
    <s v="Shaquille O'Neal #61"/>
    <s v="Basketball Cards 1996 Upper Deck"/>
    <n v="167"/>
    <s v="Ungraded"/>
    <s v="Normal wear"/>
    <m/>
    <m/>
    <n v="0"/>
    <n v="1"/>
    <d v="2026-06-10T00:00:00"/>
    <m/>
    <m/>
    <n v="286"/>
    <m/>
    <s v="Shaquille O'Neal"/>
    <s v="1996 Upper Deck"/>
    <s v="-"/>
    <s v="61"/>
    <n v="1.67"/>
    <x v="56"/>
    <s v="For Sale"/>
    <n v="5"/>
    <n v="3"/>
    <n v="2"/>
    <n v="1.25"/>
  </r>
  <r>
    <n v="87383"/>
    <s v="Shaquille O'Neal #61"/>
    <s v="Basketball Cards 1996 Upper Deck"/>
    <n v="167"/>
    <s v="Ungraded"/>
    <s v="Normal wear"/>
    <m/>
    <m/>
    <n v="0"/>
    <n v="1"/>
    <d v="2026-06-10T00:00:00"/>
    <m/>
    <m/>
    <n v="292"/>
    <m/>
    <s v="Shaquille O'Neal"/>
    <s v="1996 Upper Deck"/>
    <s v="-"/>
    <s v="61"/>
    <n v="1.67"/>
    <x v="56"/>
    <s v="For Sale"/>
    <n v="5"/>
    <n v="3"/>
    <n v="2"/>
    <n v="1.25"/>
  </r>
  <r>
    <n v="93764"/>
    <s v="Shaquille O'Neal #93"/>
    <s v="Basketball Cards 1998 Ultra"/>
    <n v="164"/>
    <s v="Ungraded"/>
    <s v="Normal wear"/>
    <m/>
    <m/>
    <n v="0"/>
    <n v="1"/>
    <d v="2026-05-07T00:00:00"/>
    <d v="2026-05-07T00:00:00"/>
    <m/>
    <n v="349"/>
    <m/>
    <s v="Shaquille O'Neal"/>
    <s v="1998 Ultra"/>
    <s v="-"/>
    <s v="93"/>
    <n v="1.64"/>
    <x v="56"/>
    <s v="For Sale"/>
    <n v="1"/>
    <n v="3"/>
    <n v="2"/>
    <n v="1.5"/>
  </r>
  <r>
    <n v="80566"/>
    <s v="Shaquille O'Neal #100"/>
    <s v="Basketball Cards 1993 Stadium Club"/>
    <n v="157"/>
    <s v="Ungraded"/>
    <s v="Normal wear"/>
    <m/>
    <m/>
    <n v="0"/>
    <n v="1"/>
    <d v="2026-05-07T00:00:00"/>
    <d v="2026-05-07T00:00:00"/>
    <m/>
    <n v="448"/>
    <m/>
    <s v="Shaquille O'Neal"/>
    <s v="1993 Stadium Club"/>
    <s v="-"/>
    <s v="100"/>
    <n v="1.57"/>
    <x v="56"/>
    <s v="For Sale"/>
    <n v="1"/>
    <n v="3"/>
    <n v="2"/>
    <n v="1.5"/>
  </r>
  <r>
    <n v="79500"/>
    <s v="Shaquille O'Neal #474"/>
    <s v="Basketball Cards 1992 Upper Deck"/>
    <n v="149"/>
    <s v="Ungraded"/>
    <s v="Normal wear"/>
    <m/>
    <m/>
    <n v="0"/>
    <n v="1"/>
    <d v="2026-04-17T00:00:00"/>
    <m/>
    <m/>
    <n v="296"/>
    <m/>
    <s v="Shaquille O'Neal"/>
    <s v="1992 Upper Deck"/>
    <s v="-"/>
    <s v="474"/>
    <n v="1.49"/>
    <x v="56"/>
    <s v="For Sale"/>
    <n v="1"/>
    <n v="3"/>
    <n v="2"/>
    <n v="1.25"/>
  </r>
  <r>
    <n v="85394"/>
    <s v="Shaquille O'Neal #119"/>
    <s v="Basketball Cards 1996 Fleer Metal"/>
    <n v="149"/>
    <s v="Ungraded"/>
    <s v="Normal wear"/>
    <m/>
    <m/>
    <n v="0"/>
    <n v="1"/>
    <d v="2026-05-31T00:00:00"/>
    <m/>
    <m/>
    <n v="440"/>
    <m/>
    <s v="Shaquille O'Neal"/>
    <s v="1996 Fleer Metal"/>
    <s v="-"/>
    <s v="119"/>
    <n v="1.49"/>
    <x v="56"/>
    <s v="For Sale"/>
    <n v="4"/>
    <n v="3"/>
    <n v="2"/>
    <n v="1.25"/>
  </r>
  <r>
    <n v="85394"/>
    <s v="Shaquille O'Neal #119"/>
    <s v="Basketball Cards 1996 Fleer Metal"/>
    <n v="149"/>
    <s v="Ungraded"/>
    <s v="Normal wear"/>
    <m/>
    <m/>
    <n v="0"/>
    <n v="1"/>
    <d v="2026-06-10T00:00:00"/>
    <m/>
    <m/>
    <n v="441"/>
    <m/>
    <s v="Shaquille O'Neal"/>
    <s v="1996 Fleer Metal"/>
    <s v="-"/>
    <s v="119"/>
    <n v="1.49"/>
    <x v="56"/>
    <s v="For Sale"/>
    <n v="4"/>
    <n v="3"/>
    <n v="2"/>
    <n v="1.25"/>
  </r>
  <r>
    <n v="85394"/>
    <s v="Shaquille O'Neal #119"/>
    <s v="Basketball Cards 1996 Fleer Metal"/>
    <n v="149"/>
    <s v="Ungraded"/>
    <s v="Normal wear"/>
    <m/>
    <m/>
    <n v="0"/>
    <n v="1"/>
    <d v="2026-06-10T00:00:00"/>
    <m/>
    <m/>
    <n v="442"/>
    <m/>
    <s v="Shaquille O'Neal"/>
    <s v="1996 Fleer Metal"/>
    <s v="-"/>
    <s v="119"/>
    <n v="1.49"/>
    <x v="56"/>
    <s v="For Sale"/>
    <n v="4"/>
    <n v="3"/>
    <n v="2"/>
    <n v="1.25"/>
  </r>
  <r>
    <n v="85394"/>
    <s v="Shaquille O'Neal #119"/>
    <s v="Basketball Cards 1996 Fleer Metal"/>
    <n v="149"/>
    <s v="Ungraded"/>
    <s v="Normal wear"/>
    <m/>
    <m/>
    <n v="0"/>
    <n v="1"/>
    <d v="2026-06-10T00:00:00"/>
    <m/>
    <m/>
    <n v="444"/>
    <m/>
    <s v="Shaquille O'Neal"/>
    <s v="1996 Fleer Metal"/>
    <s v="-"/>
    <s v="119"/>
    <n v="1.49"/>
    <x v="56"/>
    <s v="For Sale"/>
    <n v="4"/>
    <n v="3"/>
    <n v="2"/>
    <n v="1.25"/>
  </r>
  <r>
    <n v="83761"/>
    <s v="Shaquille O'Neal #95"/>
    <s v="Basketball Cards 1995 Upper Deck"/>
    <n v="127"/>
    <s v="Ungraded"/>
    <s v="Normal wear"/>
    <m/>
    <m/>
    <n v="0"/>
    <n v="1"/>
    <d v="2026-06-10T00:00:00"/>
    <m/>
    <m/>
    <n v="434"/>
    <m/>
    <s v="Shaquille O'Neal"/>
    <s v="1995 Upper Deck"/>
    <s v="-"/>
    <s v="95"/>
    <n v="1.27"/>
    <x v="56"/>
    <s v="For Sale"/>
    <n v="2"/>
    <n v="3"/>
    <n v="1.5"/>
    <n v="1"/>
  </r>
  <r>
    <n v="83761"/>
    <s v="Shaquille O'Neal #95"/>
    <s v="Basketball Cards 1995 Upper Deck"/>
    <n v="127"/>
    <s v="Ungraded"/>
    <s v="Normal wear"/>
    <m/>
    <m/>
    <n v="0"/>
    <n v="1"/>
    <d v="2026-05-07T00:00:00"/>
    <m/>
    <m/>
    <n v="435"/>
    <m/>
    <s v="Shaquille O'Neal"/>
    <s v="1995 Upper Deck"/>
    <s v="-"/>
    <s v="95"/>
    <n v="1.27"/>
    <x v="56"/>
    <s v="For Sale"/>
    <n v="2"/>
    <n v="3"/>
    <n v="1.5"/>
    <n v="1"/>
  </r>
  <r>
    <n v="5079441"/>
    <s v="Spider-Demon [Part III]"/>
    <s v="Marvel 1994 Flair"/>
    <n v="299"/>
    <s v="Ungraded"/>
    <s v="Normal wear"/>
    <m/>
    <m/>
    <n v="0"/>
    <n v="1"/>
    <d v="2026-04-17T00:00:00"/>
    <m/>
    <m/>
    <n v="183"/>
    <m/>
    <s v="Spider-Demon"/>
    <s v="Marvel 1994 Flair"/>
    <s v="Part III"/>
    <s v=""/>
    <n v="2.99"/>
    <x v="57"/>
    <s v="For Sale"/>
    <n v="1"/>
    <n v="3"/>
    <n v="4"/>
    <n v="3"/>
  </r>
  <r>
    <n v="12623502"/>
    <s v="Stephon Castle [Reptilian Refractor] #BCV-145"/>
    <s v="Basketball Cards 2025 Bowman Chrome"/>
    <n v="325"/>
    <s v="Ungraded"/>
    <s v="Normal wear"/>
    <m/>
    <s v="&quot;whatnot.com/order/FqoWSgMi5fqLq2Bz7wgwQQ_x000d__x000a_$10.00 + $1.05 (Shared Shipping) + $1.13 Tax = Total of $12.18&quot;"/>
    <n v="1218"/>
    <n v="1"/>
    <d v="2026-06-10T00:00:00"/>
    <d v="2026-06-09T00:00:00"/>
    <m/>
    <n v="170"/>
    <m/>
    <s v="Stephon Castle"/>
    <s v="2025 Bowman Chrome"/>
    <s v="Reptilian Refractor"/>
    <s v="BCV-145"/>
    <n v="3.25"/>
    <x v="58"/>
    <s v="For Sale"/>
    <n v="1"/>
    <n v="3"/>
    <n v="15"/>
    <n v="3"/>
  </r>
  <r>
    <n v="8780219"/>
    <s v="Stephon Castle #244"/>
    <s v="Basketball Cards 2024 Panini Donruss"/>
    <n v="200"/>
    <s v="Ungraded"/>
    <s v="Normal wear"/>
    <m/>
    <s v="&quot;https://www.whatnot.com/order/GMJptoiQKCNjk4Pv5GF4bQ_x000d__x000a_$2.50 + $0.00 (Shared Shipping) + $0.26 Tax = Total of $2.76&quot;"/>
    <n v="276"/>
    <n v="1"/>
    <d v="2026-06-09T00:00:00"/>
    <d v="2026-06-08T00:00:00"/>
    <m/>
    <n v="425"/>
    <m/>
    <s v="Stephon Castle"/>
    <s v="2024 Panini Donruss"/>
    <s v="-"/>
    <s v="244"/>
    <n v="2"/>
    <x v="58"/>
    <s v="For Sale"/>
    <n v="1"/>
    <n v="3"/>
    <n v="3"/>
    <n v="2"/>
  </r>
  <r>
    <n v="12950314"/>
    <s v="Stephon Castle #47"/>
    <s v="Basketball Cards 2025 Topps NBA Hoops"/>
    <n v="141"/>
    <s v="Ungraded"/>
    <s v="Normal wear"/>
    <m/>
    <s v="&quot;https://www.whatnot.com/order/95MtnSosyaYoiaS3Fs9P9f_x000d__x000a_$1.00 + $0.35 (Shared Shipping) + $0.14 Tax = Total of $1.48&quot;"/>
    <n v="148"/>
    <n v="1"/>
    <d v="2026-05-22T00:00:00"/>
    <d v="2026-05-15T00:00:00"/>
    <m/>
    <n v="339"/>
    <m/>
    <s v="Stephon Castle"/>
    <s v="2025 Topps NBA Hoops"/>
    <s v="-"/>
    <s v="47"/>
    <n v="1.41"/>
    <x v="58"/>
    <s v="For Sale"/>
    <n v="1"/>
    <n v="3"/>
    <n v="2"/>
    <n v="1.25"/>
  </r>
  <r>
    <n v="3310996"/>
    <s v="Stephon Marbury #9"/>
    <s v="Basketball Cards 1996 Metal Cyber Metal"/>
    <n v="298"/>
    <s v="Ungraded"/>
    <s v="Normal wear"/>
    <m/>
    <m/>
    <n v="0"/>
    <n v="1"/>
    <d v="2026-04-15T00:00:00"/>
    <m/>
    <m/>
    <n v="193"/>
    <m/>
    <s v="Stephon Marbury"/>
    <s v="1996 Metal Cyber Metal"/>
    <s v="-"/>
    <s v="9"/>
    <n v="2.98"/>
    <x v="59"/>
    <s v="For Sale"/>
    <n v="1"/>
    <n v="3"/>
    <n v="4"/>
    <n v="3"/>
  </r>
  <r>
    <n v="6591225"/>
    <s v="Stephon Marbury #KS4"/>
    <s v="Basketball Cards 1998 Topps Kick Start"/>
    <n v="213"/>
    <s v="Ungraded"/>
    <s v="Normal wear"/>
    <m/>
    <m/>
    <n v="0"/>
    <n v="1"/>
    <d v="2026-05-07T00:00:00"/>
    <m/>
    <m/>
    <n v="237"/>
    <m/>
    <s v="Stephon Marbury"/>
    <s v="1998 Topps Kick Start"/>
    <s v="-"/>
    <s v="KS4"/>
    <n v="2.13"/>
    <x v="59"/>
    <s v="For Sale"/>
    <n v="1"/>
    <n v="3"/>
    <n v="3"/>
    <n v="2"/>
  </r>
  <r>
    <n v="6740207"/>
    <s v="Stephon Marbury #56"/>
    <s v="Basketball Cards 1998 Upper Deck Black Diamond"/>
    <n v="187"/>
    <s v="Ungraded"/>
    <s v="Normal wear"/>
    <m/>
    <m/>
    <n v="0"/>
    <n v="1"/>
    <d v="2026-05-31T00:00:00"/>
    <m/>
    <m/>
    <n v="309"/>
    <m/>
    <s v="Stephon Marbury"/>
    <s v="1998 Upper Deck Black Diamond"/>
    <s v="-"/>
    <s v="56"/>
    <n v="1.87"/>
    <x v="59"/>
    <s v="For Sale"/>
    <n v="1"/>
    <n v="3"/>
    <n v="2"/>
    <n v="2"/>
  </r>
  <r>
    <n v="7376857"/>
    <s v="Stephon Marbury #38"/>
    <s v="Basketball Cards 1997 Ultra"/>
    <n v="168"/>
    <s v="Ungraded"/>
    <s v="Normal wear"/>
    <m/>
    <m/>
    <n v="0"/>
    <n v="1"/>
    <d v="2026-05-31T00:00:00"/>
    <m/>
    <m/>
    <n v="353"/>
    <m/>
    <s v="Stephon Marbury"/>
    <s v="1997 Ultra"/>
    <s v="-"/>
    <s v="38"/>
    <n v="1.68"/>
    <x v="59"/>
    <s v="For Sale"/>
    <n v="2"/>
    <n v="3"/>
    <n v="2"/>
    <n v="1.25"/>
  </r>
  <r>
    <n v="7376857"/>
    <s v="Stephon Marbury #38"/>
    <s v="Basketball Cards 1997 Ultra"/>
    <n v="168"/>
    <s v="Ungraded"/>
    <s v="Normal wear"/>
    <m/>
    <m/>
    <n v="0"/>
    <n v="1"/>
    <d v="2026-06-10T00:00:00"/>
    <m/>
    <m/>
    <n v="354"/>
    <m/>
    <s v="Stephon Marbury"/>
    <s v="1997 Ultra"/>
    <s v="-"/>
    <s v="38"/>
    <n v="1.68"/>
    <x v="59"/>
    <s v="For Sale"/>
    <n v="2"/>
    <n v="3"/>
    <n v="2"/>
    <n v="1.25"/>
  </r>
  <r>
    <n v="87847"/>
    <s v="Stephon Marbury [w/ Coating] #19"/>
    <s v="Basketball Cards 1997 Finest"/>
    <n v="167"/>
    <s v="Ungraded"/>
    <s v="Normal wear"/>
    <m/>
    <m/>
    <n v="0"/>
    <n v="1"/>
    <d v="2026-05-31T00:00:00"/>
    <m/>
    <m/>
    <n v="356"/>
    <m/>
    <s v="Stephon Marbury"/>
    <s v="1997 Finest"/>
    <s v="w/ Coating"/>
    <s v="19"/>
    <n v="1.67"/>
    <x v="59"/>
    <s v="For Sale"/>
    <n v="1"/>
    <n v="3"/>
    <n v="2"/>
    <n v="1.5"/>
  </r>
  <r>
    <n v="89035"/>
    <s v="Stephon Marbury #90"/>
    <s v="Basketball Cards 1997 Metal Universe"/>
    <n v="164"/>
    <s v="Ungraded"/>
    <s v="Normal wear"/>
    <m/>
    <m/>
    <n v="0"/>
    <n v="1"/>
    <d v="2026-05-31T00:00:00"/>
    <m/>
    <m/>
    <n v="315"/>
    <m/>
    <s v="Stephon Marbury"/>
    <s v="1997 Metal Universe"/>
    <s v="-"/>
    <s v="90"/>
    <n v="1.64"/>
    <x v="59"/>
    <s v="For Sale"/>
    <n v="2"/>
    <n v="3"/>
    <n v="2"/>
    <n v="1.25"/>
  </r>
  <r>
    <n v="89035"/>
    <s v="Stephon Marbury #90"/>
    <s v="Basketball Cards 1997 Metal Universe"/>
    <n v="164"/>
    <s v="Ungraded"/>
    <s v="Normal wear"/>
    <m/>
    <m/>
    <n v="0"/>
    <n v="1"/>
    <d v="2026-06-10T00:00:00"/>
    <m/>
    <m/>
    <n v="317"/>
    <m/>
    <s v="Stephon Marbury"/>
    <s v="1997 Metal Universe"/>
    <s v="-"/>
    <s v="90"/>
    <n v="1.64"/>
    <x v="59"/>
    <s v="For Sale"/>
    <n v="2"/>
    <n v="3"/>
    <n v="2"/>
    <n v="1.25"/>
  </r>
  <r>
    <n v="87365"/>
    <s v="Stephon Marbury #R15"/>
    <s v="Basketball Cards 1996 Upper Deck Rookie Exclusives"/>
    <n v="137"/>
    <s v="Ungraded"/>
    <s v="Normal wear"/>
    <m/>
    <m/>
    <n v="0"/>
    <n v="1"/>
    <d v="2026-04-15T00:00:00"/>
    <m/>
    <m/>
    <n v="109"/>
    <m/>
    <s v="Stephon Marbury"/>
    <s v="1996 Upper Deck Rookie Exclusives"/>
    <s v="-"/>
    <s v="R15"/>
    <n v="1.37"/>
    <x v="59"/>
    <s v="Keep"/>
    <n v="0"/>
    <n v="3"/>
    <n v="1.5"/>
    <n v="1.25"/>
  </r>
  <r>
    <n v="87387"/>
    <s v="Stephon Marbury #74"/>
    <s v="Basketball Cards 1996 Upper Deck"/>
    <n v="137"/>
    <s v="Ungraded"/>
    <s v="Normal wear"/>
    <m/>
    <m/>
    <n v="0"/>
    <n v="1"/>
    <d v="2026-04-17T00:00:00"/>
    <m/>
    <m/>
    <n v="490"/>
    <m/>
    <s v="Stephon Marbury"/>
    <s v="1996 Upper Deck"/>
    <s v="-"/>
    <s v="74"/>
    <n v="1.37"/>
    <x v="59"/>
    <s v="For Sale"/>
    <n v="4"/>
    <n v="3"/>
    <n v="1.5"/>
    <n v="1"/>
  </r>
  <r>
    <n v="87387"/>
    <s v="Stephon Marbury #74"/>
    <s v="Basketball Cards 1996 Upper Deck"/>
    <n v="137"/>
    <s v="Ungraded"/>
    <s v="Normal wear"/>
    <m/>
    <m/>
    <n v="0"/>
    <n v="1"/>
    <d v="2026-06-10T00:00:00"/>
    <m/>
    <m/>
    <n v="491"/>
    <m/>
    <s v="Stephon Marbury"/>
    <s v="1996 Upper Deck"/>
    <s v="-"/>
    <s v="74"/>
    <n v="1.37"/>
    <x v="59"/>
    <s v="For Sale"/>
    <n v="4"/>
    <n v="3"/>
    <n v="1.5"/>
    <n v="1"/>
  </r>
  <r>
    <n v="87387"/>
    <s v="Stephon Marbury #74"/>
    <s v="Basketball Cards 1996 Upper Deck"/>
    <n v="137"/>
    <s v="Ungraded"/>
    <s v="Normal wear"/>
    <m/>
    <m/>
    <n v="0"/>
    <n v="1"/>
    <d v="2026-06-10T00:00:00"/>
    <m/>
    <m/>
    <n v="492"/>
    <m/>
    <s v="Stephon Marbury"/>
    <s v="1996 Upper Deck"/>
    <s v="-"/>
    <s v="74"/>
    <n v="1.37"/>
    <x v="59"/>
    <s v="For Sale"/>
    <n v="4"/>
    <n v="3"/>
    <n v="1.5"/>
    <n v="1"/>
  </r>
  <r>
    <n v="87387"/>
    <s v="Stephon Marbury #74"/>
    <s v="Basketball Cards 1996 Upper Deck"/>
    <n v="137"/>
    <s v="Ungraded"/>
    <s v="Normal wear"/>
    <m/>
    <m/>
    <n v="0"/>
    <n v="1"/>
    <d v="2026-06-10T00:00:00"/>
    <m/>
    <m/>
    <n v="494"/>
    <m/>
    <s v="Stephon Marbury"/>
    <s v="1996 Upper Deck"/>
    <s v="-"/>
    <s v="74"/>
    <n v="1.37"/>
    <x v="59"/>
    <s v="For Sale"/>
    <n v="4"/>
    <n v="3"/>
    <n v="1.5"/>
    <n v="1"/>
  </r>
  <r>
    <n v="87435"/>
    <s v="Stephon Marbury #346"/>
    <s v="Basketball Cards 1996 Upper Deck"/>
    <n v="127"/>
    <s v="Ungraded"/>
    <s v="Normal wear"/>
    <m/>
    <m/>
    <n v="0"/>
    <n v="1"/>
    <d v="2026-06-10T00:00:00"/>
    <m/>
    <m/>
    <n v="501"/>
    <m/>
    <s v="Stephon Marbury"/>
    <s v="1996 Upper Deck"/>
    <s v="-"/>
    <s v="346"/>
    <n v="1.27"/>
    <x v="59"/>
    <s v="For Sale"/>
    <n v="2"/>
    <n v="3"/>
    <n v="1.5"/>
    <n v="1"/>
  </r>
  <r>
    <n v="87435"/>
    <s v="Stephon Marbury #346"/>
    <s v="Basketball Cards 1996 Upper Deck"/>
    <n v="127"/>
    <s v="Ungraded"/>
    <s v="Normal wear"/>
    <m/>
    <m/>
    <n v="0"/>
    <n v="1"/>
    <d v="2026-05-31T00:00:00"/>
    <m/>
    <m/>
    <n v="502"/>
    <m/>
    <s v="Stephon Marbury"/>
    <s v="1996 Upper Deck"/>
    <s v="-"/>
    <s v="346"/>
    <n v="1.27"/>
    <x v="59"/>
    <s v="For Sale"/>
    <n v="2"/>
    <n v="3"/>
    <n v="1.5"/>
    <n v="1"/>
  </r>
  <r>
    <n v="85398"/>
    <s v="Stephon Marbury #134"/>
    <s v="Basketball Cards 1996 Fleer Metal"/>
    <n v="125"/>
    <s v="Ungraded"/>
    <s v="Normal wear"/>
    <m/>
    <m/>
    <n v="0"/>
    <n v="1"/>
    <d v="2026-04-17T00:00:00"/>
    <m/>
    <m/>
    <n v="495"/>
    <m/>
    <s v="Stephon Marbury"/>
    <s v="1996 Fleer Metal"/>
    <s v="-"/>
    <s v="134"/>
    <n v="1.25"/>
    <x v="59"/>
    <s v="For Sale"/>
    <n v="1"/>
    <n v="3"/>
    <n v="1.5"/>
    <n v="1.25"/>
  </r>
  <r>
    <n v="85663"/>
    <s v="Stephon Marbury #69"/>
    <s v="Basketball Cards 1996 Skybox Premium"/>
    <n v="118"/>
    <s v="Ungraded"/>
    <s v="Normal wear"/>
    <m/>
    <m/>
    <n v="0"/>
    <n v="1"/>
    <d v="2026-05-07T00:00:00"/>
    <d v="2026-05-07T00:00:00"/>
    <m/>
    <n v="380"/>
    <m/>
    <s v="Stephon Marbury"/>
    <s v="1996 Skybox Premium"/>
    <s v="-"/>
    <s v="69"/>
    <n v="1.18"/>
    <x v="59"/>
    <s v="For Sale"/>
    <n v="1"/>
    <n v="3"/>
    <n v="1.25"/>
    <n v="1"/>
  </r>
  <r>
    <n v="87243"/>
    <s v="Stephon Marbury #2"/>
    <s v="Basketball Cards 1996 UD3"/>
    <n v="99"/>
    <s v="Ungraded"/>
    <s v="Normal wear"/>
    <m/>
    <m/>
    <n v="0"/>
    <n v="1"/>
    <d v="2026-04-17T00:00:00"/>
    <m/>
    <m/>
    <n v="407"/>
    <m/>
    <s v="Stephon Marbury"/>
    <s v="1996 UD3"/>
    <s v="-"/>
    <s v="2"/>
    <n v="0.99"/>
    <x v="59"/>
    <s v="For Sale"/>
    <n v="1"/>
    <n v="3"/>
    <n v="1"/>
    <n v="0.75"/>
  </r>
  <r>
    <n v="85421"/>
    <s v="Stephon Marbury #189"/>
    <s v="Basketball Cards 1996 Fleer Metal"/>
    <n v="82"/>
    <s v="Ungraded"/>
    <s v="Normal wear"/>
    <m/>
    <m/>
    <n v="0"/>
    <n v="1"/>
    <d v="2026-06-10T00:00:00"/>
    <m/>
    <m/>
    <n v="509"/>
    <m/>
    <s v="Stephon Marbury"/>
    <s v="1996 Fleer Metal"/>
    <s v="-"/>
    <s v="189"/>
    <n v="0.82"/>
    <x v="59"/>
    <s v="For Sale"/>
    <n v="3"/>
    <n v="3"/>
    <n v="0.75"/>
    <n v="0.5"/>
  </r>
  <r>
    <n v="85421"/>
    <s v="Stephon Marbury #189"/>
    <s v="Basketball Cards 1996 Fleer Metal"/>
    <n v="82"/>
    <s v="Ungraded"/>
    <s v="Normal wear"/>
    <m/>
    <m/>
    <n v="0"/>
    <n v="1"/>
    <d v="2026-06-10T00:00:00"/>
    <m/>
    <m/>
    <n v="512"/>
    <m/>
    <s v="Stephon Marbury"/>
    <s v="1996 Fleer Metal"/>
    <s v="-"/>
    <s v="189"/>
    <n v="0.82"/>
    <x v="59"/>
    <s v="For Sale"/>
    <n v="3"/>
    <n v="3"/>
    <n v="0.75"/>
    <n v="0.5"/>
  </r>
  <r>
    <n v="85421"/>
    <s v="Stephon Marbury #189"/>
    <s v="Basketball Cards 1996 Fleer Metal"/>
    <n v="82"/>
    <s v="Ungraded"/>
    <s v="Normal wear"/>
    <m/>
    <m/>
    <n v="0"/>
    <n v="1"/>
    <d v="2026-05-31T00:00:00"/>
    <m/>
    <m/>
    <n v="514"/>
    <m/>
    <s v="Stephon Marbury"/>
    <s v="1996 Fleer Metal"/>
    <s v="-"/>
    <s v="189"/>
    <n v="0.82"/>
    <x v="59"/>
    <s v="For Sale"/>
    <n v="3"/>
    <n v="3"/>
    <n v="0.75"/>
    <n v="0.5"/>
  </r>
  <r>
    <n v="8088869"/>
    <s v="Stephon Marbury #121"/>
    <s v="Basketball Cards 1997 Skybox Premium"/>
    <n v="74"/>
    <s v="Ungraded"/>
    <s v="Normal wear"/>
    <m/>
    <m/>
    <n v="0"/>
    <n v="1"/>
    <d v="2026-05-31T00:00:00"/>
    <m/>
    <m/>
    <n v="587"/>
    <m/>
    <s v="Stephon Marbury"/>
    <s v="1997 Skybox Premium"/>
    <s v="-"/>
    <s v="121"/>
    <n v="0.74"/>
    <x v="59"/>
    <s v="For Sale"/>
    <n v="1"/>
    <n v="3"/>
    <n v="0.75"/>
    <n v="0.5"/>
  </r>
  <r>
    <n v="13163236"/>
    <s v="Stephon Marbury #SL24"/>
    <s v="Basketball Cards 1998 Kenner Upper Deck Starting Lineup"/>
    <n v="0"/>
    <s v="Ungraded"/>
    <s v="Normal wear"/>
    <m/>
    <m/>
    <n v="0"/>
    <n v="1"/>
    <d v="2026-05-31T00:00:00"/>
    <m/>
    <m/>
    <n v="603"/>
    <m/>
    <s v="Stephon Marbury"/>
    <s v="1998 Kenner Upper Deck Starting Lineup"/>
    <s v="-"/>
    <s v="SL24"/>
    <n v="0"/>
    <x v="59"/>
    <s v="For Sale"/>
    <n v="1"/>
    <n v="3"/>
    <n v="0.25"/>
    <n v="0.25"/>
  </r>
  <r>
    <n v="7641306"/>
    <s v="Thomas Dooley #7"/>
    <s v="Soccer Cards 1994 Upper Deck World Cup Soccer"/>
    <n v="223"/>
    <s v="Ungraded"/>
    <s v="Normal wear"/>
    <m/>
    <m/>
    <n v="0"/>
    <n v="1"/>
    <d v="2026-04-17T00:00:00"/>
    <m/>
    <m/>
    <n v="231"/>
    <m/>
    <s v="Thomas Dooley"/>
    <s v="1994 Upper Deck World Cup Soccer"/>
    <s v="-"/>
    <s v="7"/>
    <n v="2.23"/>
    <x v="60"/>
    <s v="For Sale"/>
    <n v="1"/>
    <n v="3"/>
    <n v="3"/>
    <n v="2"/>
  </r>
  <r>
    <n v="2478471"/>
    <s v="Tyrese Haliburton #75"/>
    <s v="Basketball Cards 2020 Panini Clearly Donruss"/>
    <n v="389"/>
    <s v="Ungraded"/>
    <s v="Normal wear"/>
    <m/>
    <s v="&quot;https://www.whatnot.com/order/3L3ttnP3dWr4gppLFyVTfw_x000d__x000a_$4.00 + $0.00 (Shared Shipping) + $0.41 Tax = Total of $4.41&quot;"/>
    <n v="441"/>
    <n v="1"/>
    <d v="2026-05-12T00:00:00"/>
    <d v="2026-05-04T00:00:00"/>
    <m/>
    <n v="128"/>
    <m/>
    <s v="Tyrese Haliburton"/>
    <s v="2020 Panini Clearly Donruss"/>
    <s v="-"/>
    <s v="75"/>
    <n v="3.89"/>
    <x v="61"/>
    <s v="For Sale"/>
    <n v="1"/>
    <n v="3"/>
    <n v="5"/>
    <n v="4"/>
  </r>
  <r>
    <n v="10134970"/>
    <s v="Tyrese Haliburton [Blue Refractor] #38"/>
    <s v="Basketball Cards 2024 Topps Finest"/>
    <n v="233"/>
    <s v="Ungraded"/>
    <s v="Normal wear"/>
    <m/>
    <s v="&quot;https://www.whatnot.com/order/j5AumEDPb4dAWPPgEGjD26_x000d__x000a_$1.00 + $0.00 (Shared Shipping) + $0.10 Tax = Total of $1.10&quot;"/>
    <n v="110"/>
    <n v="1"/>
    <d v="2026-06-09T00:00:00"/>
    <d v="2026-06-08T00:00:00"/>
    <m/>
    <n v="218"/>
    <m/>
    <s v="Tyrese Haliburton"/>
    <s v="2024 Topps Finest"/>
    <s v="Blue Refractor"/>
    <s v="38"/>
    <n v="2.33"/>
    <x v="61"/>
    <s v="For Sale"/>
    <n v="1"/>
    <n v="3"/>
    <n v="3"/>
    <n v="1"/>
  </r>
  <r>
    <n v="94143"/>
    <s v="Vince Carter #120"/>
    <s v="Basketball Cards 1998 Upper Deck Black Diamond"/>
    <n v="605"/>
    <s v="Ungraded"/>
    <s v="Normal wear"/>
    <m/>
    <m/>
    <n v="0"/>
    <n v="1"/>
    <d v="2026-04-15T00:00:00"/>
    <m/>
    <m/>
    <n v="42"/>
    <m/>
    <s v="Vince Carter"/>
    <s v="1998 Upper Deck Black Diamond"/>
    <s v="-"/>
    <s v="120"/>
    <n v="6.05"/>
    <x v="62"/>
    <s v="For Sale"/>
    <n v="1"/>
    <n v="3"/>
    <n v="7"/>
    <n v="6"/>
  </r>
  <r>
    <n v="10714956"/>
    <s v="Vince Carter #14"/>
    <s v="Basketball Cards 1998 Ultra World Premiere"/>
    <n v="421"/>
    <s v="Ungraded"/>
    <s v="Normal wear"/>
    <m/>
    <m/>
    <n v="0"/>
    <n v="1"/>
    <d v="2026-04-15T00:00:00"/>
    <m/>
    <m/>
    <n v="121"/>
    <m/>
    <s v="Vince Carter"/>
    <s v="1998 Ultra World Premiere"/>
    <s v="-"/>
    <s v="14"/>
    <n v="4.21"/>
    <x v="62"/>
    <s v="For Sale"/>
    <n v="1"/>
    <n v="3"/>
    <n v="5"/>
    <n v="4"/>
  </r>
  <r>
    <n v="2884415"/>
    <s v="Vince Carter #79"/>
    <s v="Basketball Cards 1999 SP Authentic"/>
    <n v="102"/>
    <s v="Ungraded"/>
    <s v="Normal wear"/>
    <m/>
    <m/>
    <n v="0"/>
    <n v="1"/>
    <d v="2026-04-16T00:00:00"/>
    <d v="2026-04-16T00:00:00"/>
    <m/>
    <n v="535"/>
    <m/>
    <s v="Vince Carter"/>
    <s v="1999 SP Authentic"/>
    <s v="-"/>
    <s v="79"/>
    <n v="1.02"/>
    <x v="62"/>
    <s v="For Sale"/>
    <n v="1"/>
    <n v="3"/>
    <n v="1"/>
    <n v="1"/>
  </r>
  <r>
    <n v="6665822"/>
    <s v="Yamil Benitez #239"/>
    <s v="Baseball Cards 1996 Upper Deck"/>
    <n v="285"/>
    <s v="Ungraded"/>
    <s v="Normal wear"/>
    <m/>
    <m/>
    <n v="0"/>
    <n v="1"/>
    <d v="2026-06-01T00:00:00"/>
    <m/>
    <m/>
    <n v="196"/>
    <m/>
    <s v="Yamil Benitez"/>
    <s v="1996 Upper Deck"/>
    <s v="-"/>
    <s v="239"/>
    <n v="2.85"/>
    <x v="63"/>
    <s v="For Sale"/>
    <n v="1"/>
    <n v="3"/>
    <n v="3"/>
    <n v="3"/>
  </r>
  <r>
    <n v="93332"/>
    <s v="Antawn Jamison #197"/>
    <s v="Basketball Cards 1998 Stadium Club"/>
    <n v="146"/>
    <s v="Ungraded"/>
    <s v="Normal wear"/>
    <m/>
    <m/>
    <n v="0"/>
    <n v="1"/>
    <d v="2026-06-10T00:00:00"/>
    <m/>
    <m/>
    <n v="438"/>
    <m/>
    <s v="Antawn Jamison"/>
    <s v="1998 Stadium Club"/>
    <s v="-"/>
    <s v="197"/>
    <n v="1.46"/>
    <x v="64"/>
    <s v="For Sale"/>
    <n v="2"/>
    <n v="4"/>
    <n v="2"/>
    <n v="1"/>
  </r>
  <r>
    <n v="93332"/>
    <s v="Antawn Jamison #197"/>
    <s v="Basketball Cards 1998 Stadium Club"/>
    <n v="146"/>
    <s v="Ungraded"/>
    <s v="Normal wear"/>
    <m/>
    <m/>
    <n v="0"/>
    <n v="1"/>
    <d v="2026-04-17T00:00:00"/>
    <m/>
    <m/>
    <n v="439"/>
    <m/>
    <s v="Antawn Jamison"/>
    <s v="1998 Stadium Club"/>
    <s v="-"/>
    <s v="197"/>
    <n v="1.46"/>
    <x v="64"/>
    <s v="For Sale"/>
    <n v="2"/>
    <n v="4"/>
    <n v="2"/>
    <n v="1"/>
  </r>
  <r>
    <n v="3401118"/>
    <s v="Anthony Edwards #3"/>
    <s v="Basketball Cards 2020 Panini Prizm Emergent"/>
    <n v="170"/>
    <s v="Ungraded"/>
    <s v="Normal wear"/>
    <m/>
    <s v="&quot;https://www.whatnot.com/order/3bymbw4YA5kuEYFfvvyWw2_x000d__x000a_$5.00 + $0.45 (Shared Shipping) + $0.63 Tax = Total of $6.34&quot;"/>
    <n v="634"/>
    <n v="1"/>
    <d v="2026-05-09T00:00:00"/>
    <d v="2026-05-04T00:00:00"/>
    <m/>
    <n v="290"/>
    <m/>
    <s v="Anthony Edwards"/>
    <s v="2020 Panini Prizm Emergent"/>
    <s v="-"/>
    <s v="3"/>
    <n v="1.7"/>
    <x v="65"/>
    <s v="For Sale"/>
    <n v="1"/>
    <n v="4"/>
    <n v="8"/>
    <n v="1.5"/>
  </r>
  <r>
    <n v="358012"/>
    <s v="Anthony Edwards #81"/>
    <s v="Basketball Cards 2020 Panini Prizm Draft Picks"/>
    <n v="162"/>
    <s v="Ungraded"/>
    <s v="Normal wear"/>
    <m/>
    <s v="&quot;https://www.whatnot.com/order/TYnJSjGYYq23Mb9UWhC6Xk_x000d__x000a_$0.00 + $0.78 (Shared Shipping) + $0.08 Tax = Total of $0.86&quot;"/>
    <n v="86"/>
    <n v="1"/>
    <d v="2026-05-21T00:00:00"/>
    <d v="2026-05-17T00:00:00"/>
    <m/>
    <n v="334"/>
    <m/>
    <s v="Anthony Edwards"/>
    <s v="2020 Panini Prizm Draft Picks"/>
    <s v="-"/>
    <s v="81"/>
    <n v="1.62"/>
    <x v="65"/>
    <s v="For Sale"/>
    <n v="1"/>
    <n v="4"/>
    <n v="2"/>
    <n v="0.75"/>
  </r>
  <r>
    <n v="87247"/>
    <s v="Antoine Walker #6"/>
    <s v="Basketball Cards 1996 UD3"/>
    <n v="185"/>
    <s v="Ungraded"/>
    <s v="Normal wear"/>
    <m/>
    <m/>
    <n v="0"/>
    <n v="1"/>
    <d v="2026-05-31T00:00:00"/>
    <m/>
    <m/>
    <n v="344"/>
    <m/>
    <s v="Antoine Walker"/>
    <s v="1996 UD3"/>
    <s v="-"/>
    <s v="6"/>
    <n v="1.85"/>
    <x v="66"/>
    <s v="For Sale"/>
    <n v="1"/>
    <n v="4"/>
    <n v="2"/>
    <n v="2"/>
  </r>
  <r>
    <n v="85634"/>
    <s v="Antoine Walker #9"/>
    <s v="Basketball Cards 1996 Skybox Premium"/>
    <n v="100"/>
    <s v="Ungraded"/>
    <s v="Normal wear"/>
    <m/>
    <m/>
    <n v="0"/>
    <n v="1"/>
    <d v="2026-05-31T00:00:00"/>
    <m/>
    <m/>
    <n v="528"/>
    <m/>
    <s v="Antoine Walker"/>
    <s v="1996 Skybox Premium"/>
    <s v="-"/>
    <s v="9"/>
    <n v="1"/>
    <x v="66"/>
    <s v="For Sale"/>
    <n v="1"/>
    <n v="4"/>
    <n v="1"/>
    <n v="1"/>
  </r>
  <r>
    <n v="87420"/>
    <s v="Antoine Walker #187"/>
    <s v="Basketball Cards 1996 Upper Deck"/>
    <n v="99"/>
    <s v="Ungraded"/>
    <s v="Normal wear"/>
    <m/>
    <m/>
    <n v="0"/>
    <n v="1"/>
    <d v="2026-06-10T00:00:00"/>
    <m/>
    <m/>
    <n v="570"/>
    <m/>
    <s v="Antoine Walker"/>
    <s v="1996 Upper Deck"/>
    <s v="-"/>
    <s v="187"/>
    <n v="0.99"/>
    <x v="66"/>
    <s v="For Sale"/>
    <n v="2"/>
    <n v="4"/>
    <n v="1"/>
    <n v="0.75"/>
  </r>
  <r>
    <n v="87420"/>
    <s v="Antoine Walker #187"/>
    <s v="Basketball Cards 1996 Upper Deck"/>
    <n v="99"/>
    <s v="Ungraded"/>
    <s v="Normal wear"/>
    <m/>
    <m/>
    <n v="0"/>
    <n v="1"/>
    <d v="2026-05-31T00:00:00"/>
    <m/>
    <m/>
    <n v="576"/>
    <m/>
    <s v="Antoine Walker"/>
    <s v="1996 Upper Deck"/>
    <s v="-"/>
    <s v="187"/>
    <n v="0.99"/>
    <x v="66"/>
    <s v="For Sale"/>
    <n v="2"/>
    <n v="4"/>
    <n v="1"/>
    <n v="0.75"/>
  </r>
  <r>
    <n v="7444383"/>
    <s v="Antonio Daniels #4"/>
    <s v="Basketball Cards 1997 Ultra All-Rookies"/>
    <n v="190"/>
    <s v="Ungraded"/>
    <s v="Normal wear"/>
    <m/>
    <m/>
    <n v="0"/>
    <n v="1"/>
    <d v="2026-05-31T00:00:00"/>
    <m/>
    <m/>
    <n v="294"/>
    <m/>
    <s v="Antonio Daniels"/>
    <s v="1997 Ultra All-Rookies"/>
    <s v="-"/>
    <s v="4"/>
    <n v="1.9"/>
    <x v="67"/>
    <s v="For Sale"/>
    <n v="1"/>
    <n v="4"/>
    <n v="2.5"/>
    <n v="2"/>
  </r>
  <r>
    <n v="83769"/>
    <s v="Antonio McDyess #135"/>
    <s v="Basketball Cards 1995 Upper Deck"/>
    <n v="116"/>
    <s v="Ungraded"/>
    <s v="Normal wear"/>
    <m/>
    <m/>
    <n v="0"/>
    <n v="1"/>
    <d v="2026-05-07T00:00:00"/>
    <d v="2026-05-07T00:00:00"/>
    <m/>
    <n v="508"/>
    <m/>
    <s v="Antonio McDyess"/>
    <s v="1995 Upper Deck"/>
    <s v="-"/>
    <s v="135"/>
    <n v="1.1599999999999999"/>
    <x v="68"/>
    <s v="For Sale"/>
    <n v="1"/>
    <n v="4"/>
    <n v="1.25"/>
    <n v="1"/>
  </r>
  <r>
    <n v="83770"/>
    <s v="Antonio McDyess [Electric Court] #135"/>
    <s v="Basketball Cards 1995 Upper Deck"/>
    <n v="99"/>
    <s v="Ungraded"/>
    <s v="Normal wear"/>
    <m/>
    <m/>
    <n v="0"/>
    <n v="1"/>
    <d v="2026-04-17T00:00:00"/>
    <d v="2026-04-16T00:00:00"/>
    <m/>
    <n v="577"/>
    <m/>
    <s v="Antonio McDyess"/>
    <s v="1995 Upper Deck"/>
    <s v="Electric Court"/>
    <s v="135"/>
    <n v="0.99"/>
    <x v="68"/>
    <s v="For Sale"/>
    <n v="1"/>
    <n v="4"/>
    <n v="1"/>
    <n v="0.75"/>
  </r>
  <r>
    <n v="13163232"/>
    <s v="Antonio McDyess #17"/>
    <s v="Basketball Cards 1997 Ultra Neat Feats"/>
    <n v="99"/>
    <s v="Ungraded"/>
    <s v="Normal wear"/>
    <m/>
    <m/>
    <n v="0"/>
    <n v="1"/>
    <d v="2026-05-31T00:00:00"/>
    <m/>
    <m/>
    <n v="561"/>
    <m/>
    <s v="Antonio McDyess"/>
    <s v="1997 Ultra Neat Feats"/>
    <s v="-"/>
    <s v="17"/>
    <n v="0.99"/>
    <x v="68"/>
    <s v="For Sale"/>
    <n v="1"/>
    <n v="4"/>
    <n v="1"/>
    <n v="0.75"/>
  </r>
  <r>
    <n v="11589448"/>
    <s v="Bam Adebayo [Refractor] #BD-15"/>
    <s v="Basketball Cards 2025 Topps Chrome Ball Of Duty"/>
    <n v="175"/>
    <s v="Ungraded"/>
    <s v="Normal wear"/>
    <m/>
    <s v="&quot;https://www.whatnot.com/order/2TyjnBKs5xc9uWHYUQd9fu_x000d__x000a_$1.00 + $0.35 (Shared Shipping) + $0.14 Tax = Total of $1.48&quot;"/>
    <n v="148"/>
    <n v="1"/>
    <d v="2026-05-22T00:00:00"/>
    <d v="2026-05-15T00:00:00"/>
    <m/>
    <n v="341"/>
    <m/>
    <s v="Bam Adebayo"/>
    <s v="2025 Topps Chrome Ball Of Duty"/>
    <s v="Refractor"/>
    <s v="BD-15"/>
    <n v="1.75"/>
    <x v="69"/>
    <s v="For Sale"/>
    <n v="1"/>
    <n v="4"/>
    <n v="2"/>
    <n v="1.25"/>
  </r>
  <r>
    <n v="1938193"/>
    <s v="Barry Bonds #440"/>
    <s v="Baseball Cards 1989 Upper Deck"/>
    <n v="125"/>
    <s v="Ungraded"/>
    <s v="Normal wear"/>
    <m/>
    <m/>
    <n v="0"/>
    <n v="1"/>
    <d v="2026-04-17T00:00:00"/>
    <m/>
    <m/>
    <n v="506"/>
    <m/>
    <s v="Barry Bonds"/>
    <s v="1989 Upper Deck"/>
    <s v="-"/>
    <s v="440"/>
    <n v="1.25"/>
    <x v="70"/>
    <s v="For Sale"/>
    <n v="1"/>
    <n v="4"/>
    <n v="1.5"/>
    <n v="1.25"/>
  </r>
  <r>
    <n v="2002325"/>
    <s v="Barry Bonds #373"/>
    <s v="Baseball Cards 1996 Upper Deck"/>
    <n v="125"/>
    <s v="Ungraded"/>
    <s v="Normal wear"/>
    <m/>
    <m/>
    <n v="0"/>
    <n v="1"/>
    <d v="2026-06-01T00:00:00"/>
    <m/>
    <m/>
    <n v="481"/>
    <m/>
    <s v="Barry Bonds"/>
    <s v="1996 Upper Deck"/>
    <s v="-"/>
    <s v="373"/>
    <n v="1.25"/>
    <x v="70"/>
    <s v="For Sale"/>
    <n v="1"/>
    <n v="4"/>
    <n v="1.5"/>
    <n v="1.25"/>
  </r>
  <r>
    <n v="84144"/>
    <s v="Bulls Victory Tour '95-96: Win #46 #26"/>
    <s v="Basketball Cards 1996 Collector's Choice"/>
    <n v="144"/>
    <s v="Ungraded"/>
    <s v="Normal wear"/>
    <m/>
    <m/>
    <n v="0"/>
    <n v="1"/>
    <d v="2026-05-31T00:00:00"/>
    <m/>
    <m/>
    <n v="355"/>
    <m/>
    <s v="Bulls Victory Tour '95-96: Win"/>
    <s v="1996 Collector's Choice"/>
    <s v="-"/>
    <s v="46 #26"/>
    <n v="1.44"/>
    <x v="71"/>
    <s v="For Sale"/>
    <n v="1"/>
    <n v="4"/>
    <n v="1.5"/>
    <n v="1.25"/>
  </r>
  <r>
    <n v="5960361"/>
    <s v="Bulls Victory Tour '95-96: Win #41 #25"/>
    <s v="Basketball Cards 1996 Collector's Choice"/>
    <n v="140"/>
    <s v="Ungraded"/>
    <s v="Normal wear"/>
    <m/>
    <m/>
    <n v="0"/>
    <n v="1"/>
    <d v="2026-05-31T00:00:00"/>
    <m/>
    <m/>
    <n v="340"/>
    <m/>
    <s v="Bulls Victory Tour '95-96: Win"/>
    <s v="1996 Collector's Choice"/>
    <s v="-"/>
    <s v="41 #25"/>
    <n v="1.4"/>
    <x v="71"/>
    <s v="For Sale"/>
    <n v="1"/>
    <n v="4"/>
    <n v="1.5"/>
    <n v="1.25"/>
  </r>
  <r>
    <n v="11474841"/>
    <s v="Cade Cunningham [Refractor] #88"/>
    <s v="Basketball Cards 2025 Topps Chrome"/>
    <n v="201"/>
    <s v="Ungraded"/>
    <s v="Normal wear"/>
    <m/>
    <s v="&quot;https://www.whatnot.com/order/V5Gh7hYUvoJshqsMYA2fjj_x000d__x000a_$2.00 + $1.00 (Shared Shipping) + $0.31 Tax = Total of $3.31&quot;"/>
    <n v="231"/>
    <n v="1"/>
    <d v="2026-05-12T00:00:00"/>
    <d v="2026-05-08T00:00:00"/>
    <m/>
    <n v="235"/>
    <m/>
    <s v="Cade Cunningham"/>
    <s v="2025 Topps Chrome"/>
    <s v="Refractor"/>
    <s v="88"/>
    <n v="2.0099999999999998"/>
    <x v="72"/>
    <s v="For Sale"/>
    <n v="1"/>
    <n v="4"/>
    <n v="3"/>
    <n v="2"/>
  </r>
  <r>
    <n v="3782640"/>
    <s v="Cade Cunningham #22"/>
    <s v="Basketball Cards 2021 Panini Prizm Emergent"/>
    <n v="146"/>
    <s v="Ungraded"/>
    <s v="Normal wear"/>
    <m/>
    <s v="&quot;https://www.whatnot.com/order/JieocTtxhoCCzfkGLnBz49_x000d__x000a_$3.00 + $0.45 (Shared Shipping) + $0.35 Tax = Total of $3.78&quot;"/>
    <n v="378"/>
    <n v="1"/>
    <d v="2026-05-09T00:00:00"/>
    <d v="2026-05-04T00:00:00"/>
    <m/>
    <n v="328"/>
    <m/>
    <s v="Cade Cunningham"/>
    <s v="2021 Panini Prizm Emergent"/>
    <s v="-"/>
    <s v="22"/>
    <n v="1.46"/>
    <x v="72"/>
    <s v="For Sale"/>
    <n v="1"/>
    <n v="4"/>
    <n v="5"/>
    <n v="1.25"/>
  </r>
  <r>
    <n v="2879876"/>
    <s v="Cameron Johnson #210"/>
    <s v="Basketball Cards 2019 Panini Donruss"/>
    <n v="138"/>
    <s v="Ungraded"/>
    <s v="Normal wear"/>
    <m/>
    <m/>
    <n v="0"/>
    <n v="1"/>
    <d v="2026-05-30T00:00:00"/>
    <m/>
    <m/>
    <n v="457"/>
    <m/>
    <s v="Cameron Johnson"/>
    <s v="2019 Panini Donruss"/>
    <s v="-"/>
    <s v="210"/>
    <n v="1.38"/>
    <x v="73"/>
    <s v="For Sale"/>
    <n v="1"/>
    <n v="4"/>
    <n v="1.5"/>
    <n v="1.25"/>
  </r>
  <r>
    <n v="5475661"/>
    <s v="Chet Holmgren #18"/>
    <s v="Basketball Cards 2022 Panini Select Rookie Revolution"/>
    <n v="142"/>
    <s v="Ungraded"/>
    <s v="Normal wear"/>
    <m/>
    <s v="&quot;https://www.whatnot.com/order/7TdKSNvxiGa3Bt8dCiKKbe_x000d__x000a_$3.00 + $0.45 (Shared Shipping) + $0.35 Tax = Total of $3.81&quot;"/>
    <n v="381"/>
    <n v="1"/>
    <d v="2026-05-09T00:00:00"/>
    <d v="2026-05-04T00:00:00"/>
    <m/>
    <n v="451"/>
    <m/>
    <s v="Chet Holmgren"/>
    <s v="2022 Panini Select Rookie Revolution"/>
    <s v="-"/>
    <s v="18"/>
    <n v="1.42"/>
    <x v="74"/>
    <s v="For Sale"/>
    <n v="1"/>
    <n v="4"/>
    <n v="5"/>
    <n v="1.25"/>
  </r>
  <r>
    <n v="3229156"/>
    <s v="Chris Webber #9"/>
    <s v="Basketball Cards 1994 Ultra Power in the Key"/>
    <n v="200"/>
    <s v="Ungraded"/>
    <s v="Normal wear"/>
    <m/>
    <m/>
    <n v="0"/>
    <n v="1"/>
    <d v="2026-04-15T00:00:00"/>
    <m/>
    <m/>
    <n v="206"/>
    <m/>
    <s v="Chris Webber"/>
    <s v="1994 Ultra Power in the Key"/>
    <s v="-"/>
    <s v="9"/>
    <n v="2"/>
    <x v="75"/>
    <s v="For Sale"/>
    <n v="1"/>
    <n v="4"/>
    <n v="2.5"/>
    <n v="2"/>
  </r>
  <r>
    <n v="89036"/>
    <s v="Chris Webber #92"/>
    <s v="Basketball Cards 1997 Metal Universe"/>
    <n v="172"/>
    <s v="Ungraded"/>
    <s v="Normal wear"/>
    <m/>
    <m/>
    <n v="0"/>
    <n v="1"/>
    <d v="2026-05-07T00:00:00"/>
    <m/>
    <m/>
    <n v="291"/>
    <m/>
    <s v="Chris Webber"/>
    <s v="1997 Metal Universe"/>
    <s v="-"/>
    <s v="92"/>
    <n v="1.72"/>
    <x v="75"/>
    <s v="For Sale"/>
    <n v="1"/>
    <n v="4"/>
    <n v="2"/>
    <n v="1.5"/>
  </r>
  <r>
    <n v="6740224"/>
    <s v="Chris Webber #75"/>
    <s v="Basketball Cards 1998 Upper Deck Black Diamond"/>
    <n v="172"/>
    <s v="Ungraded"/>
    <s v="Normal wear"/>
    <m/>
    <m/>
    <n v="0"/>
    <n v="1"/>
    <d v="2026-05-07T00:00:00"/>
    <m/>
    <m/>
    <n v="513"/>
    <m/>
    <s v="Chris Webber"/>
    <s v="1998 Upper Deck Black Diamond"/>
    <s v="-"/>
    <s v="75"/>
    <n v="1.72"/>
    <x v="75"/>
    <s v="For Sale"/>
    <n v="1"/>
    <n v="4"/>
    <n v="2"/>
    <n v="1.5"/>
  </r>
  <r>
    <n v="90696"/>
    <s v="Chris Webber #108"/>
    <s v="Basketball Cards 1997 Ultra"/>
    <n v="142"/>
    <s v="Ungraded"/>
    <s v="Normal wear"/>
    <m/>
    <m/>
    <n v="0"/>
    <n v="1"/>
    <d v="2026-05-07T00:00:00"/>
    <m/>
    <m/>
    <n v="449"/>
    <m/>
    <s v="Chris Webber"/>
    <s v="1997 Ultra"/>
    <s v="-"/>
    <s v="108"/>
    <n v="1.42"/>
    <x v="75"/>
    <s v="For Sale"/>
    <n v="1"/>
    <n v="4"/>
    <n v="1.5"/>
    <n v="1.25"/>
  </r>
  <r>
    <n v="5058426"/>
    <s v="Chris Webber #53"/>
    <s v="Basketball Cards 1995 Upper Deck"/>
    <n v="132"/>
    <s v="Ungraded"/>
    <s v="Normal wear"/>
    <m/>
    <m/>
    <n v="0"/>
    <n v="1"/>
    <d v="2026-05-07T00:00:00"/>
    <m/>
    <m/>
    <n v="465"/>
    <m/>
    <s v="Chris Webber"/>
    <s v="1995 Upper Deck"/>
    <s v="-"/>
    <s v="53"/>
    <n v="1.32"/>
    <x v="75"/>
    <s v="For Sale"/>
    <n v="1"/>
    <n v="4"/>
    <n v="1.5"/>
    <n v="1.25"/>
  </r>
  <r>
    <n v="5670089"/>
    <s v="Chris Webber #348"/>
    <s v="Basketball Cards 1994 Ultra"/>
    <n v="125"/>
    <s v="Ungraded"/>
    <s v="Normal wear"/>
    <m/>
    <m/>
    <n v="0"/>
    <n v="1"/>
    <d v="2026-05-07T00:00:00"/>
    <m/>
    <m/>
    <n v="504"/>
    <m/>
    <s v="Chris Webber"/>
    <s v="1994 Ultra"/>
    <s v="-"/>
    <s v="348"/>
    <n v="1.25"/>
    <x v="75"/>
    <s v="For Sale"/>
    <n v="1"/>
    <n v="4"/>
    <n v="1.5"/>
    <n v="1.25"/>
  </r>
  <r>
    <n v="80961"/>
    <s v="Chris Webber #252"/>
    <s v="Basketball Cards 1993 Ultra"/>
    <n v="113"/>
    <s v="Ungraded"/>
    <s v="Normal wear"/>
    <m/>
    <m/>
    <n v="0"/>
    <n v="1"/>
    <d v="2026-04-15T00:00:00"/>
    <m/>
    <m/>
    <n v="517"/>
    <m/>
    <s v="Chris Webber"/>
    <s v="1993 Ultra"/>
    <s v="-"/>
    <s v="252"/>
    <n v="1.1299999999999999"/>
    <x v="75"/>
    <s v="For Sale"/>
    <n v="1"/>
    <n v="4"/>
    <n v="1.25"/>
    <n v="1"/>
  </r>
  <r>
    <n v="8306388"/>
    <s v="Chris Webber #71"/>
    <s v="Basketball Cards 1999 SP Authentic"/>
    <n v="102"/>
    <s v="Ungraded"/>
    <s v="Normal wear"/>
    <m/>
    <m/>
    <n v="0"/>
    <n v="1"/>
    <d v="2026-05-07T00:00:00"/>
    <m/>
    <m/>
    <n v="536"/>
    <m/>
    <s v="Chris Webber"/>
    <s v="1999 SP Authentic"/>
    <s v="-"/>
    <s v="71"/>
    <n v="1.02"/>
    <x v="75"/>
    <s v="For Sale"/>
    <n v="1"/>
    <n v="4"/>
    <n v="1"/>
    <n v="1"/>
  </r>
  <r>
    <n v="4830876"/>
    <s v="Chris Webber #108"/>
    <s v="Basketball Cards 1996 Fleer Metal"/>
    <n v="99"/>
    <s v="Ungraded"/>
    <s v="Normal wear"/>
    <m/>
    <m/>
    <n v="0"/>
    <n v="1"/>
    <d v="2026-05-07T00:00:00"/>
    <m/>
    <m/>
    <n v="554"/>
    <m/>
    <s v="Chris Webber"/>
    <s v="1996 Fleer Metal"/>
    <s v="-"/>
    <s v="108"/>
    <n v="0.99"/>
    <x v="75"/>
    <s v="For Sale"/>
    <n v="9"/>
    <n v="4"/>
    <n v="1"/>
    <n v="0.75"/>
  </r>
  <r>
    <n v="4830876"/>
    <s v="Chris Webber #108"/>
    <s v="Basketball Cards 1996 Fleer Metal"/>
    <n v="99"/>
    <s v="Ungraded"/>
    <s v="Normal wear"/>
    <m/>
    <m/>
    <n v="0"/>
    <n v="1"/>
    <d v="2026-06-10T00:00:00"/>
    <m/>
    <m/>
    <n v="557"/>
    <m/>
    <s v="Chris Webber"/>
    <s v="1996 Fleer Metal"/>
    <s v="-"/>
    <s v="108"/>
    <n v="0.99"/>
    <x v="75"/>
    <s v="For Sale"/>
    <n v="9"/>
    <n v="4"/>
    <n v="1"/>
    <n v="0.75"/>
  </r>
  <r>
    <n v="4830876"/>
    <s v="Chris Webber #108"/>
    <s v="Basketball Cards 1996 Fleer Metal"/>
    <n v="99"/>
    <s v="Ungraded"/>
    <s v="Normal wear"/>
    <m/>
    <m/>
    <n v="0"/>
    <n v="1"/>
    <d v="2026-06-10T00:00:00"/>
    <m/>
    <m/>
    <n v="558"/>
    <m/>
    <s v="Chris Webber"/>
    <s v="1996 Fleer Metal"/>
    <s v="-"/>
    <s v="108"/>
    <n v="0.99"/>
    <x v="75"/>
    <s v="For Sale"/>
    <n v="9"/>
    <n v="4"/>
    <n v="1"/>
    <n v="0.75"/>
  </r>
  <r>
    <n v="4830876"/>
    <s v="Chris Webber #108"/>
    <s v="Basketball Cards 1996 Fleer Metal"/>
    <n v="99"/>
    <s v="Ungraded"/>
    <s v="Normal wear"/>
    <m/>
    <m/>
    <n v="0"/>
    <n v="1"/>
    <d v="2026-06-10T00:00:00"/>
    <m/>
    <m/>
    <n v="560"/>
    <m/>
    <s v="Chris Webber"/>
    <s v="1996 Fleer Metal"/>
    <s v="-"/>
    <s v="108"/>
    <n v="0.99"/>
    <x v="75"/>
    <s v="For Sale"/>
    <n v="9"/>
    <n v="4"/>
    <n v="1"/>
    <n v="0.75"/>
  </r>
  <r>
    <n v="4830876"/>
    <s v="Chris Webber #108"/>
    <s v="Basketball Cards 1996 Fleer Metal"/>
    <n v="99"/>
    <s v="Ungraded"/>
    <s v="Normal wear"/>
    <m/>
    <m/>
    <n v="0"/>
    <n v="1"/>
    <d v="2026-06-10T00:00:00"/>
    <m/>
    <m/>
    <n v="563"/>
    <m/>
    <s v="Chris Webber"/>
    <s v="1996 Fleer Metal"/>
    <s v="-"/>
    <s v="108"/>
    <n v="0.99"/>
    <x v="75"/>
    <s v="For Sale"/>
    <n v="9"/>
    <n v="4"/>
    <n v="1"/>
    <n v="0.75"/>
  </r>
  <r>
    <n v="4830876"/>
    <s v="Chris Webber #108"/>
    <s v="Basketball Cards 1996 Fleer Metal"/>
    <n v="99"/>
    <s v="Ungraded"/>
    <s v="Normal wear"/>
    <m/>
    <m/>
    <n v="0"/>
    <n v="1"/>
    <d v="2026-06-10T00:00:00"/>
    <m/>
    <m/>
    <n v="565"/>
    <m/>
    <s v="Chris Webber"/>
    <s v="1996 Fleer Metal"/>
    <s v="-"/>
    <s v="108"/>
    <n v="0.99"/>
    <x v="75"/>
    <s v="For Sale"/>
    <n v="9"/>
    <n v="4"/>
    <n v="1"/>
    <n v="0.75"/>
  </r>
  <r>
    <n v="4830876"/>
    <s v="Chris Webber #108"/>
    <s v="Basketball Cards 1996 Fleer Metal"/>
    <n v="99"/>
    <s v="Ungraded"/>
    <s v="Normal wear"/>
    <m/>
    <m/>
    <n v="0"/>
    <n v="1"/>
    <d v="2026-06-10T00:00:00"/>
    <m/>
    <m/>
    <n v="571"/>
    <m/>
    <s v="Chris Webber"/>
    <s v="1996 Fleer Metal"/>
    <s v="-"/>
    <s v="108"/>
    <n v="0.99"/>
    <x v="75"/>
    <s v="For Sale"/>
    <n v="9"/>
    <n v="4"/>
    <n v="1"/>
    <n v="0.75"/>
  </r>
  <r>
    <n v="4830876"/>
    <s v="Chris Webber #108"/>
    <s v="Basketball Cards 1996 Fleer Metal"/>
    <n v="99"/>
    <s v="Ungraded"/>
    <s v="Normal wear"/>
    <m/>
    <m/>
    <n v="0"/>
    <n v="1"/>
    <d v="2026-06-10T00:00:00"/>
    <m/>
    <m/>
    <n v="572"/>
    <m/>
    <s v="Chris Webber"/>
    <s v="1996 Fleer Metal"/>
    <s v="-"/>
    <s v="108"/>
    <n v="0.99"/>
    <x v="75"/>
    <s v="For Sale"/>
    <n v="9"/>
    <n v="4"/>
    <n v="1"/>
    <n v="0.75"/>
  </r>
  <r>
    <n v="4830876"/>
    <s v="Chris Webber #108"/>
    <s v="Basketball Cards 1996 Fleer Metal"/>
    <n v="99"/>
    <s v="Ungraded"/>
    <s v="Normal wear"/>
    <m/>
    <m/>
    <n v="0"/>
    <n v="1"/>
    <d v="2026-06-10T00:00:00"/>
    <m/>
    <m/>
    <n v="573"/>
    <m/>
    <s v="Chris Webber"/>
    <s v="1996 Fleer Metal"/>
    <s v="-"/>
    <s v="108"/>
    <n v="0.99"/>
    <x v="75"/>
    <s v="For Sale"/>
    <n v="9"/>
    <n v="4"/>
    <n v="1"/>
    <n v="0.75"/>
  </r>
  <r>
    <n v="87400"/>
    <s v="Chris Webber #135"/>
    <s v="Basketball Cards 1996 Upper Deck"/>
    <n v="11"/>
    <s v="Ungraded"/>
    <s v="Normal wear"/>
    <m/>
    <m/>
    <n v="0"/>
    <n v="1"/>
    <d v="2026-05-07T00:00:00"/>
    <m/>
    <m/>
    <n v="593"/>
    <m/>
    <s v="Chris Webber"/>
    <s v="1996 Upper Deck"/>
    <s v="-"/>
    <s v="135"/>
    <n v="0.11"/>
    <x v="75"/>
    <s v="For Sale"/>
    <n v="2"/>
    <n v="4"/>
    <n v="0.25"/>
    <n v="0.25"/>
  </r>
  <r>
    <n v="87400"/>
    <s v="Chris Webber #135"/>
    <s v="Basketball Cards 1996 Upper Deck"/>
    <n v="11"/>
    <s v="Ungraded"/>
    <s v="Normal wear"/>
    <m/>
    <m/>
    <n v="0"/>
    <n v="1"/>
    <d v="2026-06-10T00:00:00"/>
    <m/>
    <m/>
    <n v="594"/>
    <m/>
    <s v="Chris Webber"/>
    <s v="1996 Upper Deck"/>
    <s v="-"/>
    <s v="135"/>
    <n v="0.11"/>
    <x v="75"/>
    <s v="For Sale"/>
    <n v="2"/>
    <n v="4"/>
    <n v="0.25"/>
    <n v="0.25"/>
  </r>
  <r>
    <n v="4830850"/>
    <s v="Clyde Drexler #15"/>
    <s v="Basketball Cards 1994 Fleer All Stars"/>
    <n v="189"/>
    <s v="Ungraded"/>
    <s v="Normal wear"/>
    <m/>
    <m/>
    <n v="0"/>
    <n v="1"/>
    <d v="2026-05-07T00:00:00"/>
    <m/>
    <m/>
    <n v="295"/>
    <m/>
    <s v="Clyde Drexler"/>
    <s v="1994 Fleer All Stars"/>
    <s v="-"/>
    <s v="15"/>
    <n v="1.89"/>
    <x v="76"/>
    <s v="For Sale"/>
    <n v="1"/>
    <n v="4"/>
    <n v="2.5"/>
    <n v="2"/>
  </r>
  <r>
    <n v="83369"/>
    <s v="Clyde Drexler #38"/>
    <s v="Basketball Cards 1995 Metal"/>
    <n v="139"/>
    <s v="Ungraded"/>
    <s v="Normal wear"/>
    <m/>
    <m/>
    <n v="0"/>
    <n v="1"/>
    <d v="2026-04-17T00:00:00"/>
    <m/>
    <m/>
    <n v="450"/>
    <m/>
    <s v="Clyde Drexler"/>
    <s v="1995 Metal"/>
    <s v="-"/>
    <s v="38"/>
    <n v="1.39"/>
    <x v="76"/>
    <s v="For Sale"/>
    <n v="1"/>
    <n v="4"/>
    <n v="1.5"/>
    <n v="1.25"/>
  </r>
  <r>
    <n v="2532533"/>
    <s v="Clyde Drexler #FB6"/>
    <s v="Basketball Cards 1996 Upper Deck Fast Break Connection"/>
    <n v="100"/>
    <s v="Ungraded"/>
    <s v="Normal wear"/>
    <m/>
    <m/>
    <n v="0"/>
    <n v="1"/>
    <d v="2026-04-16T00:00:00"/>
    <d v="2026-04-16T00:00:00"/>
    <m/>
    <n v="546"/>
    <m/>
    <s v="Clyde Drexler"/>
    <s v="1996 Upper Deck Fast Break Connection"/>
    <s v="-"/>
    <s v="FB6"/>
    <n v="1"/>
    <x v="76"/>
    <s v="For Sale"/>
    <n v="1"/>
    <n v="4"/>
    <n v="1"/>
    <n v="1"/>
  </r>
  <r>
    <n v="2730130"/>
    <s v="Cobi Jones #11"/>
    <s v="Soccer Cards 1994 Upper Deck World Cup Soccer"/>
    <n v="199"/>
    <s v="Ungraded"/>
    <s v="Normal wear"/>
    <m/>
    <m/>
    <n v="0"/>
    <n v="1"/>
    <d v="2026-04-17T00:00:00"/>
    <m/>
    <m/>
    <n v="268"/>
    <m/>
    <s v="Cobi Jones"/>
    <s v="1994 Upper Deck World Cup Soccer"/>
    <s v="-"/>
    <s v="11"/>
    <n v="1.99"/>
    <x v="77"/>
    <s v="For Sale"/>
    <n v="1"/>
    <n v="4"/>
    <n v="2.5"/>
    <n v="2"/>
  </r>
  <r>
    <n v="12627605"/>
    <s v="Cotie McMahon #BPP-30"/>
    <s v="Basketball Cards 2025 Bowman Prospects"/>
    <n v="150"/>
    <s v="Ungraded"/>
    <s v="Normal wear"/>
    <m/>
    <s v="&quot;https://www.whatnot.com/order/ezSKfFW6zDG5UWaRKJYAXA_x000d__x000a_$0.00 + $0.00 (Shared Shipping) + $0.00 Tax = Total of $0.00&quot;"/>
    <n v="0"/>
    <n v="1"/>
    <d v="2026-05-15T00:00:00"/>
    <d v="2026-05-07T00:00:00"/>
    <m/>
    <n v="426"/>
    <m/>
    <s v="Cotie McMahon"/>
    <s v="2025 Bowman Prospects"/>
    <s v="-"/>
    <s v="BPP-30"/>
    <n v="1.5"/>
    <x v="78"/>
    <s v="For Sale"/>
    <n v="1"/>
    <n v="4"/>
    <n v="2"/>
    <n v="1.5"/>
  </r>
  <r>
    <n v="4125221"/>
    <s v="Damon Stoudamire #98"/>
    <s v="Basketball Cards 1996 Fleer Metal"/>
    <n v="112"/>
    <s v="Ungraded"/>
    <s v="Normal wear"/>
    <m/>
    <m/>
    <n v="0"/>
    <n v="1"/>
    <d v="2026-06-10T00:00:00"/>
    <m/>
    <m/>
    <n v="518"/>
    <m/>
    <s v="Damon Stoudamire"/>
    <s v="1996 Fleer Metal"/>
    <s v="-"/>
    <s v="98"/>
    <n v="1.1200000000000001"/>
    <x v="79"/>
    <s v="For Sale"/>
    <n v="8"/>
    <n v="4"/>
    <n v="1.25"/>
    <n v="0.75"/>
  </r>
  <r>
    <n v="4125221"/>
    <s v="Damon Stoudamire #98"/>
    <s v="Basketball Cards 1996 Fleer Metal"/>
    <n v="112"/>
    <s v="Ungraded"/>
    <s v="Normal wear"/>
    <m/>
    <m/>
    <n v="0"/>
    <n v="1"/>
    <d v="2026-05-31T00:00:00"/>
    <m/>
    <m/>
    <n v="519"/>
    <m/>
    <s v="Damon Stoudamire"/>
    <s v="1996 Fleer Metal"/>
    <s v="-"/>
    <s v="98"/>
    <n v="1.1200000000000001"/>
    <x v="79"/>
    <s v="For Sale"/>
    <n v="8"/>
    <n v="4"/>
    <n v="1.25"/>
    <n v="0.75"/>
  </r>
  <r>
    <n v="4125221"/>
    <s v="Damon Stoudamire #98"/>
    <s v="Basketball Cards 1996 Fleer Metal"/>
    <n v="112"/>
    <s v="Ungraded"/>
    <s v="Normal wear"/>
    <m/>
    <m/>
    <n v="0"/>
    <n v="1"/>
    <d v="2026-06-10T00:00:00"/>
    <m/>
    <m/>
    <n v="520"/>
    <m/>
    <s v="Damon Stoudamire"/>
    <s v="1996 Fleer Metal"/>
    <s v="-"/>
    <s v="98"/>
    <n v="1.1200000000000001"/>
    <x v="79"/>
    <s v="For Sale"/>
    <n v="8"/>
    <n v="4"/>
    <n v="1.25"/>
    <n v="0.75"/>
  </r>
  <r>
    <n v="4125221"/>
    <s v="Damon Stoudamire #98"/>
    <s v="Basketball Cards 1996 Fleer Metal"/>
    <n v="112"/>
    <s v="Ungraded"/>
    <s v="Normal wear"/>
    <m/>
    <m/>
    <n v="0"/>
    <n v="1"/>
    <d v="2026-06-10T00:00:00"/>
    <m/>
    <m/>
    <n v="521"/>
    <m/>
    <s v="Damon Stoudamire"/>
    <s v="1996 Fleer Metal"/>
    <s v="-"/>
    <s v="98"/>
    <n v="1.1200000000000001"/>
    <x v="79"/>
    <s v="For Sale"/>
    <n v="8"/>
    <n v="4"/>
    <n v="1.25"/>
    <n v="0.75"/>
  </r>
  <r>
    <n v="4125221"/>
    <s v="Damon Stoudamire #98"/>
    <s v="Basketball Cards 1996 Fleer Metal"/>
    <n v="112"/>
    <s v="Ungraded"/>
    <s v="Normal wear"/>
    <m/>
    <m/>
    <n v="0"/>
    <n v="1"/>
    <d v="2026-06-10T00:00:00"/>
    <m/>
    <m/>
    <n v="522"/>
    <m/>
    <s v="Damon Stoudamire"/>
    <s v="1996 Fleer Metal"/>
    <s v="-"/>
    <s v="98"/>
    <n v="1.1200000000000001"/>
    <x v="79"/>
    <s v="For Sale"/>
    <n v="8"/>
    <n v="4"/>
    <n v="1.25"/>
    <n v="0.75"/>
  </r>
  <r>
    <n v="4125221"/>
    <s v="Damon Stoudamire #98"/>
    <s v="Basketball Cards 1996 Fleer Metal"/>
    <n v="112"/>
    <s v="Ungraded"/>
    <s v="Normal wear"/>
    <m/>
    <m/>
    <n v="0"/>
    <n v="1"/>
    <d v="2026-06-10T00:00:00"/>
    <m/>
    <m/>
    <n v="523"/>
    <m/>
    <s v="Damon Stoudamire"/>
    <s v="1996 Fleer Metal"/>
    <s v="-"/>
    <s v="98"/>
    <n v="1.1200000000000001"/>
    <x v="79"/>
    <s v="For Sale"/>
    <n v="8"/>
    <n v="4"/>
    <n v="1.25"/>
    <n v="0.75"/>
  </r>
  <r>
    <n v="4125221"/>
    <s v="Damon Stoudamire #98"/>
    <s v="Basketball Cards 1996 Fleer Metal"/>
    <n v="112"/>
    <s v="Ungraded"/>
    <s v="Normal wear"/>
    <m/>
    <m/>
    <n v="0"/>
    <n v="1"/>
    <d v="2026-06-10T00:00:00"/>
    <m/>
    <m/>
    <n v="524"/>
    <m/>
    <s v="Damon Stoudamire"/>
    <s v="1996 Fleer Metal"/>
    <s v="-"/>
    <s v="98"/>
    <n v="1.1200000000000001"/>
    <x v="79"/>
    <s v="For Sale"/>
    <n v="8"/>
    <n v="4"/>
    <n v="1.25"/>
    <n v="0.75"/>
  </r>
  <r>
    <n v="4125221"/>
    <s v="Damon Stoudamire #98"/>
    <s v="Basketball Cards 1996 Fleer Metal"/>
    <n v="112"/>
    <s v="Ungraded"/>
    <s v="Normal wear"/>
    <m/>
    <m/>
    <n v="0"/>
    <n v="1"/>
    <d v="2026-06-10T00:00:00"/>
    <m/>
    <m/>
    <n v="525"/>
    <m/>
    <s v="Damon Stoudamire"/>
    <s v="1996 Fleer Metal"/>
    <s v="-"/>
    <s v="98"/>
    <n v="1.1200000000000001"/>
    <x v="79"/>
    <s v="For Sale"/>
    <n v="8"/>
    <n v="4"/>
    <n v="1.25"/>
    <n v="0.75"/>
  </r>
  <r>
    <n v="83398"/>
    <s v="Damon Stoudamire #200"/>
    <s v="Basketball Cards 1995 Metal"/>
    <n v="99"/>
    <s v="Ungraded"/>
    <s v="Normal wear"/>
    <m/>
    <m/>
    <n v="0"/>
    <n v="1"/>
    <d v="2026-05-31T00:00:00"/>
    <m/>
    <m/>
    <n v="531"/>
    <m/>
    <s v="Damon Stoudamire"/>
    <s v="1995 Metal"/>
    <s v="-"/>
    <s v="200"/>
    <n v="0.99"/>
    <x v="79"/>
    <s v="For Sale"/>
    <n v="1"/>
    <n v="4"/>
    <n v="1"/>
    <n v="0.75"/>
  </r>
  <r>
    <n v="87397"/>
    <s v="Damon Stoudamire #120"/>
    <s v="Basketball Cards 1996 Upper Deck"/>
    <n v="99"/>
    <s v="Ungraded"/>
    <s v="Normal wear"/>
    <m/>
    <m/>
    <n v="0"/>
    <n v="1"/>
    <d v="2026-05-31T00:00:00"/>
    <m/>
    <m/>
    <n v="552"/>
    <m/>
    <s v="Damon Stoudamire"/>
    <s v="1996 Upper Deck"/>
    <s v="-"/>
    <s v="120"/>
    <n v="0.99"/>
    <x v="79"/>
    <s v="For Sale"/>
    <n v="1"/>
    <n v="4"/>
    <n v="1"/>
    <n v="0.75"/>
  </r>
  <r>
    <n v="85693"/>
    <s v="Darrell Armstrong #176"/>
    <s v="Basketball Cards 1996 Skybox Premium"/>
    <n v="144"/>
    <s v="Ungraded"/>
    <s v="Normal wear"/>
    <m/>
    <m/>
    <n v="0"/>
    <n v="1"/>
    <d v="2026-05-07T00:00:00"/>
    <m/>
    <m/>
    <n v="462"/>
    <m/>
    <s v="Darrell Armstrong"/>
    <s v="1996 Skybox Premium"/>
    <s v="-"/>
    <s v="176"/>
    <n v="1.44"/>
    <x v="80"/>
    <s v="For Sale"/>
    <n v="1"/>
    <n v="4"/>
    <n v="1.5"/>
    <n v="1.25"/>
  </r>
  <r>
    <n v="4125235"/>
    <s v="David Robinson #18"/>
    <s v="Basketball Cards 1996 Skybox Premium Intimidators"/>
    <n v="154"/>
    <s v="Ungraded"/>
    <s v="Normal wear"/>
    <m/>
    <m/>
    <n v="0"/>
    <n v="1"/>
    <d v="2026-04-17T00:00:00"/>
    <m/>
    <m/>
    <n v="375"/>
    <m/>
    <s v="David Robinson"/>
    <s v="1996 Skybox Premium Intimidators"/>
    <s v="-"/>
    <s v="18"/>
    <n v="1.54"/>
    <x v="81"/>
    <s v="For Sale"/>
    <n v="1"/>
    <n v="4"/>
    <n v="2"/>
    <n v="1.5"/>
  </r>
  <r>
    <n v="2245258"/>
    <s v="Dean Palmer #177"/>
    <s v="Baseball Cards 1992 Donruss"/>
    <n v="149"/>
    <s v="Ungraded"/>
    <s v="Normal wear"/>
    <m/>
    <m/>
    <n v="0"/>
    <n v="1"/>
    <d v="2026-05-30T00:00:00"/>
    <m/>
    <m/>
    <n v="430"/>
    <m/>
    <s v="Dean Palmer"/>
    <s v="1992 Donruss"/>
    <s v="-"/>
    <s v="177"/>
    <n v="1.49"/>
    <x v="82"/>
    <s v="For Sale"/>
    <n v="1"/>
    <n v="4"/>
    <n v="2"/>
    <n v="1.25"/>
  </r>
  <r>
    <n v="12551745"/>
    <s v="Delanie Walker #LOG-30"/>
    <s v="Football Cards 2025 Topps Chrome Legends Of The Gridiron"/>
    <n v="100"/>
    <s v="Ungraded"/>
    <s v="Normal wear"/>
    <m/>
    <m/>
    <n v="0"/>
    <n v="1"/>
    <d v="2026-05-30T00:00:00"/>
    <m/>
    <m/>
    <n v="541"/>
    <m/>
    <s v="Delanie Walker"/>
    <s v="2025 Topps Chrome Legends Of The Gridiron"/>
    <s v="-"/>
    <s v="LOG-30"/>
    <n v="1"/>
    <x v="83"/>
    <s v="For Sale"/>
    <n v="1"/>
    <n v="4"/>
    <n v="1"/>
    <n v="1"/>
  </r>
  <r>
    <n v="81490"/>
    <s v="Dennis Rodman #90"/>
    <s v="Basketball Cards 1994 E Motion"/>
    <n v="199"/>
    <s v="Ungraded"/>
    <s v="Normal wear"/>
    <m/>
    <m/>
    <n v="0"/>
    <n v="1"/>
    <d v="2026-05-31T00:00:00"/>
    <m/>
    <m/>
    <n v="249"/>
    <m/>
    <s v="Dennis Rodman"/>
    <s v="1994 E Motion"/>
    <s v="-"/>
    <s v="90"/>
    <n v="1.99"/>
    <x v="84"/>
    <s v="For Sale"/>
    <n v="1"/>
    <n v="4"/>
    <n v="2.5"/>
    <n v="2"/>
  </r>
  <r>
    <n v="2193671"/>
    <s v="Dennis Rodman #279"/>
    <s v="Basketball Cards 1994 Upper Deck"/>
    <n v="161"/>
    <s v="Ungraded"/>
    <s v="Normal wear"/>
    <m/>
    <s v="&quot;https://www.whatnot.com/order/bjbSDowQ8rwtKXCHzkacVp_x000d__x000a_$0.00 + $1.36 (Shared Shipping) + $0.14 Tax = Total of $1.50&quot;"/>
    <n v="150"/>
    <n v="1"/>
    <d v="2026-05-17T00:00:00"/>
    <d v="2026-05-15T00:00:00"/>
    <m/>
    <n v="383"/>
    <m/>
    <s v="Dennis Rodman"/>
    <s v="1994 Upper Deck"/>
    <s v="-"/>
    <s v="279"/>
    <n v="1.61"/>
    <x v="84"/>
    <s v="For Sale"/>
    <n v="1"/>
    <n v="4"/>
    <n v="2"/>
    <n v="1.5"/>
  </r>
  <r>
    <n v="10819480"/>
    <s v="Dylan Harper #202"/>
    <s v="Basketball Cards 2025 Topps"/>
    <n v="127"/>
    <s v="Ungraded"/>
    <s v="Normal wear"/>
    <m/>
    <s v="&quot;https://www.whatnot.com/order/K7zApfgiyGLvandFaboi4m_x000d__x000a_$1.00 + $0.00 (Shared Shipping) + $0.10 Tax = Total of $1.10&quot;"/>
    <n v="110"/>
    <n v="1"/>
    <d v="2026-06-09T00:00:00"/>
    <d v="2026-06-08T00:00:00"/>
    <m/>
    <n v="406"/>
    <m/>
    <s v="Dylan Harper"/>
    <s v="2025 Topps"/>
    <s v="-"/>
    <s v="202"/>
    <n v="1.27"/>
    <x v="85"/>
    <s v="For Sale"/>
    <n v="1"/>
    <n v="4"/>
    <n v="1.5"/>
    <n v="1"/>
  </r>
  <r>
    <n v="4341158"/>
    <s v="Dyson Daniels #7"/>
    <s v="Basketball Cards 2022 Panini Chronicles Draft Picks"/>
    <n v="170"/>
    <s v="Ungraded"/>
    <s v="Normal wear"/>
    <m/>
    <m/>
    <n v="0"/>
    <n v="1"/>
    <d v="2026-05-30T00:00:00"/>
    <m/>
    <m/>
    <n v="342"/>
    <m/>
    <s v="Dyson Daniels"/>
    <s v="2022 Panini Chronicles Draft Picks"/>
    <s v="-"/>
    <s v="7"/>
    <n v="1.7"/>
    <x v="86"/>
    <s v="For Sale"/>
    <n v="1"/>
    <n v="4"/>
    <n v="2"/>
    <n v="1.5"/>
  </r>
  <r>
    <n v="11668402"/>
    <s v="Edmundo #297"/>
    <s v="Soccer Cards 1994 Upper Deck World Cup Soccer"/>
    <n v="199"/>
    <s v="Ungraded"/>
    <s v="Normal wear"/>
    <m/>
    <m/>
    <n v="0"/>
    <n v="1"/>
    <d v="2026-06-13T00:00:00"/>
    <m/>
    <m/>
    <n v="271"/>
    <m/>
    <s v="Edmundo"/>
    <s v="1994 Upper Deck World Cup Soccer"/>
    <s v="-"/>
    <s v="297"/>
    <n v="1.99"/>
    <x v="87"/>
    <s v="For Sale"/>
    <n v="1"/>
    <n v="4"/>
    <n v="2.5"/>
    <n v="2"/>
  </r>
  <r>
    <n v="1105503"/>
    <s v="Emmitt Smith #685"/>
    <s v="Football Cards 1990 Pro Set"/>
    <n v="199"/>
    <s v="Ungraded"/>
    <s v="Normal wear"/>
    <m/>
    <s v="&quot;https://www.whatnot.com/order/cav4UM3BapHtzDbW3nupgs_x000d__x000a_$1.00 + $4.86 (Shared Shipping) + $0.60 Tax = Total of $6.46&quot;"/>
    <n v="646"/>
    <n v="1"/>
    <d v="2026-05-28T00:00:00"/>
    <d v="2026-05-25T00:00:00"/>
    <m/>
    <n v="238"/>
    <m/>
    <s v="Emmitt Smith"/>
    <s v="1990 Pro Set"/>
    <s v="-"/>
    <s v="685"/>
    <n v="1.99"/>
    <x v="88"/>
    <s v="For Sale"/>
    <n v="1"/>
    <n v="4"/>
    <n v="8"/>
    <n v="2"/>
  </r>
  <r>
    <n v="12522107"/>
    <s v="George Pickens #80"/>
    <s v="Football Cards 2025 Topps Chrome"/>
    <n v="138"/>
    <s v="Ungraded"/>
    <s v="Normal wear"/>
    <m/>
    <m/>
    <n v="0"/>
    <n v="1"/>
    <d v="2026-05-30T00:00:00"/>
    <m/>
    <m/>
    <n v="445"/>
    <m/>
    <s v="George Pickens"/>
    <s v="2025 Topps Chrome"/>
    <s v="-"/>
    <s v="80"/>
    <n v="1.38"/>
    <x v="89"/>
    <s v="For Sale"/>
    <n v="1"/>
    <n v="4"/>
    <n v="1.5"/>
    <n v="1.25"/>
  </r>
  <r>
    <n v="4838082"/>
    <s v="Giannis Antetokounmpo [Green Laser] #53"/>
    <s v="Basketball Cards 2022 Panini Donruss"/>
    <n v="154"/>
    <s v="Ungraded"/>
    <s v="Normal wear"/>
    <m/>
    <s v="&quot;https://www.whatnot.com/order/iCNDrAZ6Wd9xsmW5GPkgEJ_x000d__x000a_$4.00 + $0.00 (Shared Shipping) + $0.41 Tax = Total of $4.41&quot;"/>
    <n v="441"/>
    <n v="1"/>
    <d v="2026-05-12T00:00:00"/>
    <d v="2026-05-04T00:00:00"/>
    <m/>
    <n v="398"/>
    <m/>
    <s v="Giannis Antetokounmpo"/>
    <s v="2022 Panini Donruss"/>
    <s v="Green Laser"/>
    <s v="53"/>
    <n v="1.54"/>
    <x v="90"/>
    <s v="For Sale"/>
    <n v="1"/>
    <n v="4"/>
    <n v="5"/>
    <n v="1.5"/>
  </r>
  <r>
    <n v="2932739"/>
    <s v="Glenn Robinson #287"/>
    <s v="Basketball Cards 1994 Ultra"/>
    <n v="175"/>
    <s v="Ungraded"/>
    <s v="Normal wear"/>
    <m/>
    <m/>
    <n v="0"/>
    <n v="1"/>
    <d v="2026-05-31T00:00:00"/>
    <m/>
    <m/>
    <n v="329"/>
    <m/>
    <s v="Glenn Robinson"/>
    <s v="1994 Ultra"/>
    <s v="-"/>
    <s v="287"/>
    <n v="1.75"/>
    <x v="91"/>
    <s v="For Sale"/>
    <n v="1"/>
    <n v="4"/>
    <n v="2"/>
    <n v="2"/>
  </r>
  <r>
    <n v="4948606"/>
    <s v="Glenn Robinson #281"/>
    <s v="Basketball Cards 1994 Upper Deck"/>
    <n v="119"/>
    <s v="Ungraded"/>
    <s v="Normal wear"/>
    <m/>
    <m/>
    <n v="0"/>
    <n v="1"/>
    <d v="2026-05-31T00:00:00"/>
    <m/>
    <m/>
    <n v="505"/>
    <m/>
    <s v="Glenn Robinson"/>
    <s v="1994 Upper Deck"/>
    <s v="-"/>
    <s v="281"/>
    <n v="1.19"/>
    <x v="91"/>
    <s v="For Sale"/>
    <n v="1"/>
    <n v="4"/>
    <n v="1.25"/>
    <n v="1"/>
  </r>
  <r>
    <n v="3086925"/>
    <s v="Heathcliff Slocumb #334"/>
    <s v="Baseball Cards 1992 Donruss"/>
    <n v="100"/>
    <s v="Ungraded"/>
    <s v="Normal wear"/>
    <m/>
    <m/>
    <n v="0"/>
    <n v="1"/>
    <d v="2026-05-30T00:00:00"/>
    <m/>
    <m/>
    <n v="548"/>
    <m/>
    <s v="Heathcliff Slocumb"/>
    <s v="1992 Donruss"/>
    <s v="-"/>
    <s v="334"/>
    <n v="1"/>
    <x v="92"/>
    <s v="For Sale"/>
    <n v="1"/>
    <n v="4"/>
    <n v="1"/>
    <n v="1"/>
  </r>
  <r>
    <n v="6358249"/>
    <s v="Jaden Hardy [Red] #21"/>
    <s v="Basketball Cards 2023 Panini Prizm"/>
    <n v="188"/>
    <s v="Ungraded"/>
    <s v="Normal wear"/>
    <m/>
    <s v="&quot;https://www.whatnot.com/order/K7zApfgiyGLvandFaboi4m_x000d__x000a_$1.00 + $0.00 (Shared Shipping) + $0.10 Tax = Total of $1.10&quot;"/>
    <n v="110"/>
    <n v="1"/>
    <d v="2026-06-09T00:00:00"/>
    <d v="2026-06-08T00:00:00"/>
    <m/>
    <n v="307"/>
    <m/>
    <s v="Jaden Hardy"/>
    <s v="2023 Panini Prizm"/>
    <s v="Red"/>
    <s v="21"/>
    <n v="1.88"/>
    <x v="93"/>
    <s v="For Sale"/>
    <n v="1"/>
    <n v="4"/>
    <n v="2.5"/>
    <n v="1"/>
  </r>
  <r>
    <n v="11909457"/>
    <s v="Jalen Brunson #SH-JB"/>
    <s v="Basketball Cards 2025 Topps Match Attax Scoring Hero"/>
    <n v="219"/>
    <s v="Ungraded"/>
    <s v="Normal wear"/>
    <m/>
    <s v="&quot;https://www.whatnot.com/order/dyEnQ5ykexmH9Y87DbAujo_x000d__x000a_$1.00 + $2.89 (Shared Shipping) + $0.40 Tax = Total of $4.28&quot;"/>
    <n v="428"/>
    <n v="1"/>
    <d v="2026-05-29T00:00:00"/>
    <d v="2026-05-26T00:00:00"/>
    <m/>
    <n v="327"/>
    <m/>
    <s v="Jalen Brunson"/>
    <s v="2025 Topps Match Attax Scoring Hero"/>
    <s v="-"/>
    <s v="SH-JB"/>
    <n v="2.19"/>
    <x v="94"/>
    <s v="For Sale"/>
    <n v="1"/>
    <n v="4"/>
    <n v="5"/>
    <n v="2"/>
  </r>
  <r>
    <n v="2965943"/>
    <s v="Jalen Brunson [Emerald] #125"/>
    <s v="Basketball Cards 2020 Panini Illusions"/>
    <n v="135"/>
    <s v="Ungraded"/>
    <s v="Normal wear"/>
    <m/>
    <s v="&quot;https://www.whatnot.com/order/6AEw6dYtHHV2b8pbZH8HLX_x000d__x000a_$2.00 + $0.74 (Shared Shipping) + $0.28 Tax = Total of $3.02&quot;"/>
    <n v="302"/>
    <n v="1"/>
    <d v="2026-05-12T00:00:00"/>
    <d v="2026-05-12T00:00:00"/>
    <m/>
    <n v="382"/>
    <m/>
    <s v="Jalen Brunson"/>
    <s v="2020 Panini Illusions"/>
    <s v="Emerald"/>
    <s v="125"/>
    <n v="1.35"/>
    <x v="94"/>
    <s v="For Sale"/>
    <n v="1"/>
    <n v="4"/>
    <n v="4"/>
    <n v="1.25"/>
  </r>
  <r>
    <n v="10122340"/>
    <s v="Jalen Green #198"/>
    <s v="Basketball Cards 2024 Panini Haunted Hoops"/>
    <n v="198"/>
    <s v="Ungraded"/>
    <s v="Normal wear"/>
    <m/>
    <m/>
    <n v="0"/>
    <n v="1"/>
    <d v="2026-05-30T00:00:00"/>
    <m/>
    <m/>
    <n v="279"/>
    <m/>
    <s v="Jalen Green"/>
    <s v="2024 Panini Haunted Hoops"/>
    <s v="-"/>
    <s v="198"/>
    <n v="1.98"/>
    <x v="95"/>
    <s v="For Sale"/>
    <n v="1"/>
    <n v="4"/>
    <n v="2.5"/>
    <n v="2"/>
  </r>
  <r>
    <n v="5178537"/>
    <s v="Jamal Murray #9"/>
    <s v="Basketball Cards 2022 Panini Contenders Suite Shots"/>
    <n v="155"/>
    <s v="Ungraded"/>
    <s v="Normal wear"/>
    <m/>
    <s v="&quot;https://www.whatnot.com/order/XWP5KdeeCdt8TKjdVmH5ek_x000d__x000a_$1.00 + $0.45 (Shared Shipping) + $0.12 Tax = Total of $1.26&quot;"/>
    <n v="126"/>
    <n v="1"/>
    <d v="2026-05-09T00:00:00"/>
    <d v="2026-05-04T00:00:00"/>
    <m/>
    <n v="394"/>
    <m/>
    <s v="Jamal Murray"/>
    <s v="2022 Panini Contenders Suite Shots"/>
    <s v="-"/>
    <s v="9"/>
    <n v="1.55"/>
    <x v="96"/>
    <s v="For Sale"/>
    <n v="1"/>
    <n v="4"/>
    <n v="2"/>
    <n v="1.25"/>
  </r>
  <r>
    <n v="2856356"/>
    <s v="Jaren Jackson Jr. #13"/>
    <s v="Basketball Cards 2019 Panini Chronicles"/>
    <n v="108"/>
    <s v="Ungraded"/>
    <s v="Normal wear"/>
    <m/>
    <m/>
    <n v="0"/>
    <n v="1"/>
    <d v="2026-05-30T00:00:00"/>
    <m/>
    <m/>
    <n v="529"/>
    <m/>
    <s v="Jaren Jackson Jr."/>
    <s v="2019 Panini Chronicles"/>
    <s v="-"/>
    <s v="13"/>
    <n v="1.08"/>
    <x v="97"/>
    <s v="For Sale"/>
    <n v="1"/>
    <n v="4"/>
    <n v="1.25"/>
    <n v="1"/>
  </r>
  <r>
    <n v="92995"/>
    <s v="Jason Kidd #66"/>
    <s v="Basketball Cards 1998 SP Authentic"/>
    <n v="170"/>
    <s v="Ungraded"/>
    <s v="Normal wear"/>
    <m/>
    <m/>
    <n v="0"/>
    <n v="1"/>
    <d v="2026-05-07T00:00:00"/>
    <m/>
    <m/>
    <n v="343"/>
    <m/>
    <s v="Jason Kidd"/>
    <s v="1998 SP Authentic"/>
    <s v="-"/>
    <s v="66"/>
    <n v="1.7"/>
    <x v="98"/>
    <s v="For Sale"/>
    <n v="1"/>
    <n v="4"/>
    <n v="2"/>
    <n v="1.5"/>
  </r>
  <r>
    <n v="81386"/>
    <s v="Jason Kidd #408"/>
    <s v="Basketball Cards 1994 Collector's Choice"/>
    <n v="126"/>
    <s v="Ungraded"/>
    <s v="Normal wear"/>
    <m/>
    <m/>
    <n v="0"/>
    <n v="1"/>
    <d v="2026-05-07T00:00:00"/>
    <m/>
    <m/>
    <n v="493"/>
    <m/>
    <s v="Jason Kidd"/>
    <s v="1994 Collector's Choice"/>
    <s v="-"/>
    <s v="408"/>
    <n v="1.26"/>
    <x v="98"/>
    <s v="For Sale"/>
    <n v="1"/>
    <n v="4"/>
    <n v="1.5"/>
    <n v="1.25"/>
  </r>
  <r>
    <n v="94053"/>
    <s v="Jason Kidd Single #68"/>
    <s v="Basketball Cards 1998 Upper Deck Black Diamond"/>
    <n v="149"/>
    <s v="Ungraded"/>
    <s v="Normal wear"/>
    <m/>
    <m/>
    <n v="0"/>
    <n v="1"/>
    <d v="2026-05-07T00:00:00"/>
    <m/>
    <m/>
    <n v="431"/>
    <m/>
    <s v="Jason Kidd Single"/>
    <s v="1998 Upper Deck Black Diamond"/>
    <s v="-"/>
    <s v="68"/>
    <n v="1.49"/>
    <x v="99"/>
    <s v="For Sale"/>
    <n v="1"/>
    <n v="4"/>
    <n v="2"/>
    <n v="1.25"/>
  </r>
  <r>
    <n v="10122547"/>
    <s v="Jaylen Brown #227"/>
    <s v="Basketball Cards 2024 Panini Haunted Hoops"/>
    <n v="119"/>
    <s v="Ungraded"/>
    <s v="Normal wear"/>
    <m/>
    <m/>
    <n v="0"/>
    <n v="1"/>
    <d v="2026-05-30T00:00:00"/>
    <m/>
    <m/>
    <n v="510"/>
    <m/>
    <s v="Jaylen Brown"/>
    <s v="2024 Panini Haunted Hoops"/>
    <s v="-"/>
    <s v="227"/>
    <n v="1.19"/>
    <x v="100"/>
    <s v="For Sale"/>
    <n v="1"/>
    <n v="4"/>
    <n v="1.25"/>
    <n v="1"/>
  </r>
  <r>
    <n v="10198347"/>
    <s v="Jaylen Brown [Purple] #206"/>
    <s v="Basketball Cards 2024 Panini Donruss Optic"/>
    <n v="100"/>
    <s v="Ungraded"/>
    <s v="Normal wear"/>
    <m/>
    <s v="&quot;https://www.whatnot.com/order/9Nw32iaBQX4B786bgpSBCs_x000d__x000a_$0.00 + $0.21 (Shared Shipping) + $0.02 Tax = Total of $0.23&quot;"/>
    <n v="23"/>
    <n v="1"/>
    <d v="2026-05-12T00:00:00"/>
    <d v="2026-05-06T00:00:00"/>
    <m/>
    <n v="537"/>
    <m/>
    <s v="Jaylen Brown"/>
    <s v="2024 Panini Donruss Optic"/>
    <s v="Purple"/>
    <s v="206"/>
    <n v="1"/>
    <x v="100"/>
    <s v="For Sale"/>
    <n v="1"/>
    <n v="4"/>
    <n v="1"/>
    <n v="0.25"/>
  </r>
  <r>
    <n v="1105658"/>
    <s v="Jerry Rice #23"/>
    <s v="Football Cards 1990 Pro Set Super Bowl MVP"/>
    <n v="166"/>
    <s v="Ungraded"/>
    <s v="Normal wear"/>
    <m/>
    <m/>
    <n v="0"/>
    <n v="1"/>
    <d v="2026-04-17T00:00:00"/>
    <m/>
    <m/>
    <n v="385"/>
    <m/>
    <s v="Jerry Rice"/>
    <s v="1990 Pro Set Super Bowl MVP"/>
    <s v="-"/>
    <s v="23"/>
    <n v="1.66"/>
    <x v="101"/>
    <s v="For Sale"/>
    <n v="1"/>
    <n v="4"/>
    <n v="2"/>
    <n v="1.5"/>
  </r>
  <r>
    <n v="83766"/>
    <s v="Jerry Stackhouse #133"/>
    <s v="Basketball Cards 1995 Upper Deck"/>
    <n v="124"/>
    <s v="Ungraded"/>
    <s v="Normal wear"/>
    <m/>
    <m/>
    <n v="0"/>
    <n v="1"/>
    <d v="2026-04-17T00:00:00"/>
    <m/>
    <m/>
    <n v="464"/>
    <m/>
    <s v="Jerry Stackhouse"/>
    <s v="1995 Upper Deck"/>
    <s v="-"/>
    <s v="133"/>
    <n v="1.24"/>
    <x v="102"/>
    <s v="For Sale"/>
    <n v="2"/>
    <n v="4"/>
    <n v="1.25"/>
    <n v="1"/>
  </r>
  <r>
    <n v="83766"/>
    <s v="Jerry Stackhouse #133"/>
    <s v="Basketball Cards 1995 Upper Deck"/>
    <n v="124"/>
    <s v="Ungraded"/>
    <s v="Normal wear"/>
    <m/>
    <m/>
    <n v="0"/>
    <n v="1"/>
    <d v="2026-06-10T00:00:00"/>
    <m/>
    <m/>
    <n v="466"/>
    <m/>
    <s v="Jerry Stackhouse"/>
    <s v="1995 Upper Deck"/>
    <s v="-"/>
    <s v="133"/>
    <n v="1.24"/>
    <x v="102"/>
    <s v="For Sale"/>
    <n v="2"/>
    <n v="4"/>
    <n v="1.25"/>
    <n v="1"/>
  </r>
  <r>
    <n v="12628486"/>
    <s v="JT Toppin #BPP-93"/>
    <s v="Basketball Cards 2025 Bowman Prospects"/>
    <n v="175"/>
    <s v="Ungraded"/>
    <s v="Normal wear"/>
    <m/>
    <s v="&quot;https://www.whatnot.com/order/C8wNmr23XSGaFU3EsaesSS_x000d__x000a_$0.50 + $0.27 (Shared Shipping) + $0.08 Tax = Total of $0.85&quot;"/>
    <n v="85"/>
    <n v="1"/>
    <d v="2026-05-18T00:00:00"/>
    <d v="2026-05-17T00:00:00"/>
    <m/>
    <n v="331"/>
    <m/>
    <s v="JT Toppin"/>
    <s v="2025 Bowman Prospects"/>
    <s v="-"/>
    <s v="BPP-93"/>
    <n v="1.75"/>
    <x v="103"/>
    <s v="For Sale"/>
    <n v="1"/>
    <n v="4"/>
    <n v="2"/>
    <n v="0.75"/>
  </r>
  <r>
    <n v="12642248"/>
    <s v="JT Toppin #BV-15"/>
    <s v="Basketball Cards 2025 Bowman Verified"/>
    <n v="97"/>
    <s v="Ungraded"/>
    <s v="Normal wear"/>
    <m/>
    <s v="&quot;https://www.whatnot.com/order/C8wNmr23XSGaFU3EsaesSS_x000d__x000a_$0.50 + $0.27 (Shared Shipping) + $0.08 Tax = Total of $0.85&quot;"/>
    <n v="85"/>
    <n v="1"/>
    <d v="2026-05-18T00:00:00"/>
    <d v="2026-05-17T00:00:00"/>
    <m/>
    <n v="540"/>
    <m/>
    <s v="JT Toppin"/>
    <s v="2025 Bowman Verified"/>
    <s v="-"/>
    <s v="BV-15"/>
    <n v="0.97"/>
    <x v="103"/>
    <s v="For Sale"/>
    <n v="1"/>
    <n v="4"/>
    <n v="1"/>
    <n v="0.75"/>
  </r>
  <r>
    <n v="11741779"/>
    <s v="Katie Lou Samuelson #82"/>
    <s v="Basketball Cards 2025 Panini Prizm WNBA"/>
    <n v="150"/>
    <s v="Ungraded"/>
    <s v="Normal wear"/>
    <m/>
    <m/>
    <n v="0"/>
    <n v="1"/>
    <d v="2026-05-30T00:00:00"/>
    <m/>
    <m/>
    <n v="413"/>
    <m/>
    <s v="Katie Lou Samuelson"/>
    <s v="2025 Panini Prizm WNBA"/>
    <s v="-"/>
    <s v="82"/>
    <n v="1.5"/>
    <x v="104"/>
    <s v="For Sale"/>
    <n v="1"/>
    <n v="4"/>
    <n v="2"/>
    <n v="1.5"/>
  </r>
  <r>
    <n v="89029"/>
    <s v="Keith Van Horn #80"/>
    <s v="Basketball Cards 1997 Metal Universe"/>
    <n v="199"/>
    <s v="Ungraded"/>
    <s v="Normal wear"/>
    <m/>
    <m/>
    <n v="0"/>
    <n v="1"/>
    <d v="2026-05-31T00:00:00"/>
    <m/>
    <m/>
    <n v="345"/>
    <m/>
    <s v="Keith Van Horn"/>
    <s v="1997 Metal Universe"/>
    <s v="-"/>
    <s v="80"/>
    <n v="1.99"/>
    <x v="105"/>
    <s v="For Sale"/>
    <n v="1"/>
    <n v="4"/>
    <n v="2.5"/>
    <n v="2"/>
  </r>
  <r>
    <n v="3102405"/>
    <s v="Kevin Morton #330"/>
    <s v="Baseball Cards 1992 Donruss"/>
    <n v="116"/>
    <s v="Ungraded"/>
    <s v="Normal wear"/>
    <m/>
    <m/>
    <n v="0"/>
    <n v="1"/>
    <d v="2026-05-30T00:00:00"/>
    <m/>
    <m/>
    <n v="507"/>
    <m/>
    <s v="Kevin Morton"/>
    <s v="1992 Donruss"/>
    <s v="-"/>
    <s v="330"/>
    <n v="1.1599999999999999"/>
    <x v="106"/>
    <s v="For Sale"/>
    <n v="1"/>
    <n v="4"/>
    <n v="1.25"/>
    <n v="1"/>
  </r>
  <r>
    <n v="3834726"/>
    <s v="Kyrie Irving [Holo] #8"/>
    <s v="Basketball Cards 2020 Panini Donruss Optic My House"/>
    <n v="199"/>
    <s v="Ungraded"/>
    <s v="Normal wear"/>
    <m/>
    <s v="&quot;https://www.whatnot.com/order/atV5mnNpi29X79RWUk3egh_x000d__x000a_$1.00 + $2.18 (Shared Shipping) + $0.33 Tax = Total of $3.50&quot;"/>
    <n v="350"/>
    <n v="1"/>
    <d v="2026-05-15T00:00:00"/>
    <d v="2026-05-14T00:00:00"/>
    <m/>
    <n v="272"/>
    <m/>
    <s v="Kyrie Irving"/>
    <s v="2020 Panini Donruss Optic My House"/>
    <s v="Holo"/>
    <s v="8"/>
    <n v="1.99"/>
    <x v="107"/>
    <s v="For Sale"/>
    <n v="1"/>
    <n v="4"/>
    <n v="4"/>
    <n v="2"/>
  </r>
  <r>
    <n v="11830171"/>
    <s v="Kyrie Irving #100C-KI"/>
    <s v="Basketball Cards 2025 Topps Match Attax 100 Club"/>
    <n v="199"/>
    <s v="Ungraded"/>
    <s v="Normal wear"/>
    <m/>
    <s v="&quot;https://www.whatnot.com/order/am68o5TGkfds6VHNQLbuH7_x000d__x000a_$0.00 + $0.35 (Shared Shipping) + $0.04 Tax = Total of $0.38&quot;"/>
    <n v="38"/>
    <n v="1"/>
    <d v="2026-05-21T00:00:00"/>
    <d v="2026-05-15T00:00:00"/>
    <m/>
    <n v="404"/>
    <m/>
    <s v="Kyrie Irving"/>
    <s v="2025 Topps Match Attax 100 Club"/>
    <s v="-"/>
    <s v="100C-KI"/>
    <n v="1.99"/>
    <x v="107"/>
    <s v="For Sale"/>
    <n v="1"/>
    <n v="4"/>
    <n v="2.5"/>
    <n v="0.25"/>
  </r>
  <r>
    <n v="6355545"/>
    <s v="Kyrie Irving [Orange Ice] #22"/>
    <s v="Basketball Cards 2023 Panini Prizm"/>
    <n v="150"/>
    <s v="Ungraded"/>
    <s v="Normal wear"/>
    <m/>
    <s v="&quot;https://www.whatnot.com/order/U4wUV4wsrmJG4Ko5kpcCWo_x000d__x000a_$2.00 + $0.74 (Shared Shipping) + $0.28 Tax = Total of $3.02&quot;"/>
    <n v="302"/>
    <n v="1"/>
    <d v="2026-05-12T00:00:00"/>
    <d v="2026-05-12T00:00:00"/>
    <m/>
    <n v="348"/>
    <m/>
    <s v="Kyrie Irving"/>
    <s v="2023 Panini Prizm"/>
    <s v="Orange Ice"/>
    <s v="22"/>
    <n v="1.5"/>
    <x v="107"/>
    <s v="For Sale"/>
    <n v="1"/>
    <n v="4"/>
    <n v="4"/>
    <n v="1.5"/>
  </r>
  <r>
    <n v="4343792"/>
    <s v="Kyrie Irving #63"/>
    <s v="Basketball Cards 2022 Panini Chronicles Draft Picks Revolution"/>
    <n v="125"/>
    <s v="Ungraded"/>
    <s v="Normal wear"/>
    <m/>
    <s v="&quot;https://www.whatnot.com/order/4QyCs9xsuozDF4z5kAMs7r_x000d__x000a_$3.00 + $1.72 (Shared Shipping) + $0.48 Tax = Total of $5.20&quot;"/>
    <n v="520"/>
    <n v="1"/>
    <d v="2026-05-12T00:00:00"/>
    <d v="2026-05-08T00:00:00"/>
    <m/>
    <n v="486"/>
    <m/>
    <s v="Kyrie Irving"/>
    <s v="2022 Panini Chronicles Draft Picks Revolution"/>
    <s v="-"/>
    <s v="63"/>
    <n v="1.25"/>
    <x v="107"/>
    <s v="For Sale"/>
    <n v="1"/>
    <n v="4"/>
    <n v="6"/>
    <n v="1.25"/>
  </r>
  <r>
    <n v="5468137"/>
    <s v="Kyrie Irving [Blue Ice] #130"/>
    <s v="Basketball Cards 2022 Panini Select"/>
    <n v="104"/>
    <s v="Ungraded"/>
    <s v="Normal wear"/>
    <m/>
    <s v="&quot;https://www.whatnot.com/order/6aFhbaxuXeTPJA8aZNx5Bj_x000d__x000a_$2.00 + $0.74 (Shared Shipping) + $0.28 Tax = Total of $3.02&quot;"/>
    <n v="302"/>
    <n v="1"/>
    <d v="2026-05-12T00:00:00"/>
    <d v="2026-05-12T00:00:00"/>
    <m/>
    <n v="534"/>
    <m/>
    <s v="Kyrie Irving"/>
    <s v="2022 Panini Select"/>
    <s v="Blue Ice"/>
    <s v="130"/>
    <n v="1.04"/>
    <x v="107"/>
    <s v="For Sale"/>
    <n v="1"/>
    <n v="4"/>
    <n v="4"/>
    <n v="1"/>
  </r>
  <r>
    <n v="6835303"/>
    <s v="Kyrie Irving / Luka Doncic #4"/>
    <s v="Basketball Cards 2023 Donruss Optic Optical Illusions"/>
    <n v="191"/>
    <s v="Ungraded"/>
    <s v="Normal wear"/>
    <m/>
    <s v="&quot;https://www.whatnot.com/order/YzDdv3jRTf8P5R9sGqJ4Q7_x000d__x000a_$1.00 + $4.74 (Shared Shipping) + $0.59 Tax = Total of $6.33&quot;"/>
    <n v="633"/>
    <n v="1"/>
    <d v="2026-05-29T00:00:00"/>
    <d v="2026-05-25T00:00:00"/>
    <m/>
    <n v="293"/>
    <m/>
    <s v="Kyrie Irving / Luka Doncic"/>
    <s v="2023 Donruss Optic Optical Illusions"/>
    <s v="-"/>
    <s v="4"/>
    <n v="1.91"/>
    <x v="108"/>
    <s v="For Sale"/>
    <n v="1"/>
    <n v="4"/>
    <n v="8"/>
    <n v="2"/>
  </r>
  <r>
    <n v="78022"/>
    <s v="Larry Bird #52"/>
    <s v="Basketball Cards 1991 Hoops McDonalds"/>
    <n v="181"/>
    <s v="Ungraded"/>
    <s v="Normal wear"/>
    <m/>
    <m/>
    <n v="0"/>
    <n v="1"/>
    <d v="2026-05-07T00:00:00"/>
    <d v="2026-05-07T00:00:00"/>
    <m/>
    <n v="324"/>
    <m/>
    <s v="Larry Bird"/>
    <s v="1991 Hoops McDonalds"/>
    <s v="-"/>
    <s v="52"/>
    <n v="1.81"/>
    <x v="109"/>
    <s v="For Sale"/>
    <n v="1"/>
    <n v="4"/>
    <n v="2"/>
    <n v="2"/>
  </r>
  <r>
    <n v="154457"/>
    <s v="Larry Bird #12"/>
    <s v="Basketball Cards 1991 Skybox"/>
    <n v="150"/>
    <s v="Ungraded"/>
    <s v="Normal wear"/>
    <m/>
    <m/>
    <n v="0"/>
    <n v="1"/>
    <d v="2026-05-31T00:00:00"/>
    <m/>
    <m/>
    <n v="313"/>
    <m/>
    <s v="Larry Bird"/>
    <s v="1991 Skybox"/>
    <s v="-"/>
    <s v="12"/>
    <n v="1.5"/>
    <x v="109"/>
    <s v="For Sale"/>
    <n v="1"/>
    <n v="4"/>
    <n v="2"/>
    <n v="1.5"/>
  </r>
  <r>
    <n v="4643480"/>
    <s v="Latrell Sprewell #8"/>
    <s v="Basketball Cards 1993 Ultra Inside Outside"/>
    <n v="112"/>
    <s v="Ungraded"/>
    <s v="Normal wear"/>
    <m/>
    <m/>
    <n v="0"/>
    <n v="1"/>
    <d v="2026-05-31T00:00:00"/>
    <m/>
    <m/>
    <n v="582"/>
    <m/>
    <s v="Latrell Sprewell"/>
    <s v="1993 Ultra Inside Outside"/>
    <s v="-"/>
    <s v="8"/>
    <n v="1.1200000000000001"/>
    <x v="110"/>
    <s v="For Sale"/>
    <n v="1"/>
    <n v="4"/>
    <n v="1.25"/>
    <n v="1"/>
  </r>
  <r>
    <n v="12622531"/>
    <s v="Luka DoncÌŒic #BCV-123"/>
    <s v="Basketball Cards 2025 Bowman Chrome"/>
    <n v="199"/>
    <s v="Ungraded"/>
    <s v="Normal wear"/>
    <m/>
    <s v="&quot;whatnot.com/order/QmxKqJw97MkWL4F4CV22QD_x000d__x000a_$0.50 + $0.23 (Shared Shipping) + $0.07 Tax = Total of $0.81&quot;"/>
    <n v="81"/>
    <n v="1"/>
    <d v="2026-06-10T00:00:00"/>
    <d v="2026-05-14T00:00:00"/>
    <m/>
    <n v="269"/>
    <m/>
    <s v="Luka DoncÌŒic"/>
    <s v="2025 Bowman Chrome"/>
    <s v="-"/>
    <s v="BCV-123"/>
    <n v="1.99"/>
    <x v="111"/>
    <s v="For Sale"/>
    <n v="2"/>
    <n v="4"/>
    <n v="2.5"/>
    <n v="0.5"/>
  </r>
  <r>
    <n v="12622531"/>
    <s v="Luka DoncÌŒic #BCV-123"/>
    <s v="Basketball Cards 2025 Bowman Chrome"/>
    <n v="199"/>
    <s v="Ungraded"/>
    <s v="Normal wear"/>
    <m/>
    <s v="&quot;whatnot.com/order/QmxKqJw97MkWL4F4CV22QD_x000d__x000a_$0.50 + $0.23 (Shared Shipping) + $0.07 Tax = Total of $0.81&quot;"/>
    <n v="81"/>
    <n v="1"/>
    <d v="2026-05-15T00:00:00"/>
    <d v="2026-05-14T00:00:00"/>
    <m/>
    <n v="277"/>
    <m/>
    <s v="Luka DoncÌŒic"/>
    <s v="2025 Bowman Chrome"/>
    <s v="-"/>
    <s v="BCV-123"/>
    <n v="1.99"/>
    <x v="111"/>
    <s v="For Sale"/>
    <n v="2"/>
    <n v="4"/>
    <n v="2.5"/>
    <n v="0.5"/>
  </r>
  <r>
    <n v="78605"/>
    <s v="Magic Johnson #32"/>
    <s v="Basketball Cards 1992 Stadium Club"/>
    <n v="150"/>
    <s v="Ungraded"/>
    <s v="Normal wear"/>
    <m/>
    <m/>
    <n v="0"/>
    <n v="1"/>
    <d v="2026-05-07T00:00:00"/>
    <d v="2026-05-07T00:00:00"/>
    <m/>
    <n v="346"/>
    <m/>
    <s v="Magic Johnson"/>
    <s v="1992 Stadium Club"/>
    <s v="-"/>
    <s v="32"/>
    <n v="1.5"/>
    <x v="112"/>
    <s v="For Sale"/>
    <n v="1"/>
    <n v="4"/>
    <n v="2"/>
    <n v="1.5"/>
  </r>
  <r>
    <n v="7641293"/>
    <s v="Marcelo Balboa #3"/>
    <s v="Soccer Cards 1994 Upper Deck World Cup Soccer"/>
    <n v="199"/>
    <s v="Ungraded"/>
    <s v="Normal wear"/>
    <m/>
    <m/>
    <n v="0"/>
    <n v="1"/>
    <d v="2026-04-17T00:00:00"/>
    <m/>
    <m/>
    <n v="264"/>
    <m/>
    <s v="Marcelo Balboa"/>
    <s v="1994 Upper Deck World Cup Soccer"/>
    <s v="-"/>
    <s v="3"/>
    <n v="1.99"/>
    <x v="113"/>
    <s v="For Sale"/>
    <n v="1"/>
    <n v="4"/>
    <n v="2.5"/>
    <n v="2"/>
  </r>
  <r>
    <n v="7978663"/>
    <s v="Marcus Camby #C26"/>
    <s v="Basketball Cards 1996 Collector's Choice Crash the Game"/>
    <n v="200"/>
    <s v="Ungraded"/>
    <s v="Normal wear"/>
    <m/>
    <m/>
    <n v="0"/>
    <n v="1"/>
    <d v="2026-05-07T00:00:00"/>
    <m/>
    <m/>
    <n v="258"/>
    <m/>
    <s v="Marcus Camby"/>
    <s v="1996 Collector's Choice Crash the Game"/>
    <s v="-"/>
    <s v="C26"/>
    <n v="2"/>
    <x v="114"/>
    <s v="For Sale"/>
    <n v="1"/>
    <n v="4"/>
    <n v="2.5"/>
    <n v="2"/>
  </r>
  <r>
    <n v="7323906"/>
    <s v="Marcus Camby #6"/>
    <s v="Basketball Cards 1997 Ultra Neat Feats"/>
    <n v="165"/>
    <s v="Ungraded"/>
    <s v="Normal wear"/>
    <m/>
    <m/>
    <n v="0"/>
    <n v="1"/>
    <d v="2026-05-31T00:00:00"/>
    <m/>
    <m/>
    <n v="364"/>
    <m/>
    <s v="Marcus Camby"/>
    <s v="1997 Ultra Neat Feats"/>
    <s v="-"/>
    <s v="6"/>
    <n v="1.65"/>
    <x v="114"/>
    <s v="For Sale"/>
    <n v="1"/>
    <n v="4"/>
    <n v="2"/>
    <n v="1.5"/>
  </r>
  <r>
    <n v="8212141"/>
    <s v="Marcus Camby #253"/>
    <s v="Basketball Cards 1997 Ultra"/>
    <n v="158"/>
    <s v="Ungraded"/>
    <s v="Normal wear"/>
    <m/>
    <m/>
    <n v="0"/>
    <n v="1"/>
    <d v="2026-05-07T00:00:00"/>
    <m/>
    <m/>
    <n v="389"/>
    <m/>
    <s v="Marcus Camby"/>
    <s v="1997 Ultra"/>
    <s v="-"/>
    <s v="253"/>
    <n v="1.58"/>
    <x v="114"/>
    <s v="For Sale"/>
    <n v="1"/>
    <n v="4"/>
    <n v="2"/>
    <n v="1.5"/>
  </r>
  <r>
    <n v="2336254"/>
    <s v="Maurice Taylor #R14"/>
    <s v="Basketball Cards 1997 Upper Deck Rookie Discovery I"/>
    <n v="100"/>
    <s v="Ungraded"/>
    <s v="Normal wear"/>
    <m/>
    <m/>
    <n v="0"/>
    <n v="1"/>
    <d v="2026-05-31T00:00:00"/>
    <m/>
    <m/>
    <n v="545"/>
    <m/>
    <s v="Maurice Taylor"/>
    <s v="1997 Upper Deck Rookie Discovery I"/>
    <s v="-"/>
    <s v="R14"/>
    <n v="1"/>
    <x v="115"/>
    <s v="For Sale"/>
    <n v="1"/>
    <n v="4"/>
    <n v="1"/>
    <n v="1"/>
  </r>
  <r>
    <n v="11486782"/>
    <s v="Maxime Raynaud #293"/>
    <s v="Basketball Cards 2025 Topps Chrome"/>
    <n v="100"/>
    <s v="Ungraded"/>
    <s v="Normal wear"/>
    <m/>
    <s v="&quot;https://www.whatnot.com/order/kPmzHw359b76wtiBHv2d7E _x000d__x000a_$0.00 + $0.00 (Shared Shipping) + $0.00 Tax = Total of $0.00&quot;"/>
    <n v="0"/>
    <n v="1"/>
    <d v="2026-05-14T00:00:00"/>
    <d v="2026-05-10T00:00:00"/>
    <m/>
    <n v="532"/>
    <m/>
    <s v="Maxime Raynaud"/>
    <s v="2025 Topps Chrome"/>
    <s v="-"/>
    <s v="293"/>
    <n v="1"/>
    <x v="116"/>
    <s v="For Sale"/>
    <n v="1"/>
    <n v="4"/>
    <n v="1"/>
    <n v="1"/>
  </r>
  <r>
    <n v="83394"/>
    <s v="Michael Finley #180"/>
    <s v="Basketball Cards 1995 Metal"/>
    <n v="143"/>
    <s v="Ungraded"/>
    <s v="Normal wear"/>
    <m/>
    <m/>
    <n v="0"/>
    <n v="1"/>
    <d v="2026-06-10T00:00:00"/>
    <m/>
    <m/>
    <n v="446"/>
    <m/>
    <s v="Michael Finley"/>
    <s v="1995 Metal"/>
    <s v="-"/>
    <s v="180"/>
    <n v="1.43"/>
    <x v="117"/>
    <s v="For Sale"/>
    <n v="3"/>
    <n v="4"/>
    <n v="1.5"/>
    <n v="1"/>
  </r>
  <r>
    <n v="83394"/>
    <s v="Michael Finley #180"/>
    <s v="Basketball Cards 1995 Metal"/>
    <n v="143"/>
    <s v="Ungraded"/>
    <s v="Normal wear"/>
    <m/>
    <m/>
    <n v="0"/>
    <n v="1"/>
    <d v="2026-06-10T00:00:00"/>
    <m/>
    <m/>
    <n v="447"/>
    <m/>
    <s v="Michael Finley"/>
    <s v="1995 Metal"/>
    <s v="-"/>
    <s v="180"/>
    <n v="1.43"/>
    <x v="117"/>
    <s v="For Sale"/>
    <n v="3"/>
    <n v="4"/>
    <n v="1.5"/>
    <n v="1"/>
  </r>
  <r>
    <n v="83394"/>
    <s v="Michael Finley #180"/>
    <s v="Basketball Cards 1995 Metal"/>
    <n v="143"/>
    <s v="Ungraded"/>
    <s v="Normal wear"/>
    <m/>
    <m/>
    <n v="0"/>
    <n v="1"/>
    <d v="2026-05-07T00:00:00"/>
    <m/>
    <m/>
    <n v="452"/>
    <m/>
    <s v="Michael Finley"/>
    <s v="1995 Metal"/>
    <s v="-"/>
    <s v="180"/>
    <n v="1.43"/>
    <x v="117"/>
    <s v="For Sale"/>
    <n v="3"/>
    <n v="4"/>
    <n v="1.5"/>
    <n v="1"/>
  </r>
  <r>
    <n v="6303461"/>
    <s v="Michael Finley #FB11"/>
    <s v="Basketball Cards 1996 Upper Deck Fast Break Connection"/>
    <n v="0"/>
    <s v="Ungraded"/>
    <s v="Normal wear"/>
    <m/>
    <m/>
    <n v="0"/>
    <n v="1"/>
    <d v="2026-04-15T00:00:00"/>
    <m/>
    <m/>
    <n v="605"/>
    <m/>
    <s v="Michael Finley"/>
    <s v="1996 Upper Deck Fast Break Connection"/>
    <s v="-"/>
    <s v="FB11"/>
    <n v="0"/>
    <x v="117"/>
    <s v="For Sale"/>
    <n v="1"/>
    <n v="4"/>
    <n v="0.25"/>
    <n v="0.25"/>
  </r>
  <r>
    <n v="93419"/>
    <s v="Mike Bibby #196"/>
    <s v="Basketball Cards 1998 Topps"/>
    <n v="149"/>
    <s v="Ungraded"/>
    <s v="Normal wear"/>
    <m/>
    <m/>
    <n v="0"/>
    <n v="1"/>
    <d v="2026-05-07T00:00:00"/>
    <m/>
    <m/>
    <n v="463"/>
    <m/>
    <s v="Mike Bibby"/>
    <s v="1998 Topps"/>
    <s v="-"/>
    <s v="196"/>
    <n v="1.49"/>
    <x v="118"/>
    <s v="For Sale"/>
    <n v="1"/>
    <n v="4"/>
    <n v="2"/>
    <n v="1.25"/>
  </r>
  <r>
    <n v="93331"/>
    <s v="Mike Bibby #195"/>
    <s v="Basketball Cards 1998 Stadium Club"/>
    <n v="99"/>
    <s v="Ungraded"/>
    <s v="Normal wear"/>
    <m/>
    <m/>
    <n v="0"/>
    <n v="1"/>
    <d v="2026-05-31T00:00:00"/>
    <m/>
    <m/>
    <n v="578"/>
    <m/>
    <s v="Mike Bibby"/>
    <s v="1998 Stadium Club"/>
    <s v="-"/>
    <s v="195"/>
    <n v="0.99"/>
    <x v="118"/>
    <s v="For Sale"/>
    <n v="1"/>
    <n v="4"/>
    <n v="1"/>
    <n v="0.75"/>
  </r>
  <r>
    <n v="3102440"/>
    <s v="Pat Lennon #17"/>
    <s v="Baseball Cards 1992 Donruss"/>
    <n v="100"/>
    <s v="Ungraded"/>
    <s v="Normal wear"/>
    <m/>
    <m/>
    <n v="0"/>
    <n v="1"/>
    <d v="2026-05-30T00:00:00"/>
    <m/>
    <m/>
    <n v="544"/>
    <m/>
    <s v="Pat Lennon"/>
    <s v="1992 Donruss"/>
    <s v="-"/>
    <s v="17"/>
    <n v="1"/>
    <x v="119"/>
    <s v="For Sale"/>
    <n v="1"/>
    <n v="4"/>
    <n v="1"/>
    <n v="1"/>
  </r>
  <r>
    <n v="5079396"/>
    <s v="Punisher 2099 #101"/>
    <s v="Marvel 1994 Flair"/>
    <n v="132"/>
    <s v="Ungraded"/>
    <s v="Normal wear"/>
    <m/>
    <m/>
    <n v="0"/>
    <n v="1"/>
    <d v="2026-04-17T00:00:00"/>
    <m/>
    <m/>
    <n v="376"/>
    <m/>
    <s v="Punisher 2099"/>
    <s v="Marvel 1994 Flair"/>
    <s v="-"/>
    <s v="101"/>
    <n v="1.32"/>
    <x v="120"/>
    <s v="For Sale"/>
    <n v="1"/>
    <n v="4"/>
    <n v="1.5"/>
    <n v="1.25"/>
  </r>
  <r>
    <n v="83768"/>
    <s v="Rasheed Wallace #134"/>
    <s v="Basketball Cards 1995 Upper Deck"/>
    <n v="153"/>
    <s v="Ungraded"/>
    <s v="Normal wear"/>
    <m/>
    <m/>
    <n v="0"/>
    <n v="1"/>
    <d v="2026-05-07T00:00:00"/>
    <d v="2026-05-07T00:00:00"/>
    <m/>
    <n v="410"/>
    <m/>
    <s v="Rasheed Wallace"/>
    <s v="1995 Upper Deck"/>
    <s v="-"/>
    <s v="134"/>
    <n v="1.53"/>
    <x v="121"/>
    <s v="For Sale"/>
    <n v="2"/>
    <n v="4"/>
    <n v="2"/>
    <n v="1.25"/>
  </r>
  <r>
    <n v="83768"/>
    <s v="Rasheed Wallace #134"/>
    <s v="Basketball Cards 1995 Upper Deck"/>
    <n v="153"/>
    <s v="Ungraded"/>
    <s v="Normal wear"/>
    <m/>
    <m/>
    <n v="0"/>
    <n v="1"/>
    <d v="2026-06-10T00:00:00"/>
    <m/>
    <m/>
    <n v="412"/>
    <m/>
    <s v="Rasheed Wallace"/>
    <s v="1995 Upper Deck"/>
    <s v="-"/>
    <s v="134"/>
    <n v="1.53"/>
    <x v="121"/>
    <s v="For Sale"/>
    <n v="2"/>
    <n v="4"/>
    <n v="2"/>
    <n v="1.25"/>
  </r>
  <r>
    <n v="83399"/>
    <s v="Rasheed Wallace #208"/>
    <s v="Basketball Cards 1995 Metal"/>
    <n v="121"/>
    <s v="Ungraded"/>
    <s v="Normal wear"/>
    <m/>
    <m/>
    <n v="0"/>
    <n v="1"/>
    <d v="2026-06-10T00:00:00"/>
    <m/>
    <m/>
    <n v="476"/>
    <m/>
    <s v="Rasheed Wallace"/>
    <s v="1995 Metal"/>
    <s v="-"/>
    <s v="208"/>
    <n v="1.21"/>
    <x v="121"/>
    <s v="For Sale"/>
    <n v="3"/>
    <n v="4"/>
    <n v="1.25"/>
    <n v="1"/>
  </r>
  <r>
    <n v="83399"/>
    <s v="Rasheed Wallace #208"/>
    <s v="Basketball Cards 1995 Metal"/>
    <n v="121"/>
    <s v="Ungraded"/>
    <s v="Normal wear"/>
    <m/>
    <m/>
    <n v="0"/>
    <n v="1"/>
    <d v="2026-06-10T00:00:00"/>
    <m/>
    <m/>
    <n v="477"/>
    <m/>
    <s v="Rasheed Wallace"/>
    <s v="1995 Metal"/>
    <s v="-"/>
    <s v="208"/>
    <n v="1.21"/>
    <x v="121"/>
    <s v="For Sale"/>
    <n v="3"/>
    <n v="4"/>
    <n v="1.25"/>
    <n v="1"/>
  </r>
  <r>
    <n v="83399"/>
    <s v="Rasheed Wallace #208"/>
    <s v="Basketball Cards 1995 Metal"/>
    <n v="121"/>
    <s v="Ungraded"/>
    <s v="Normal wear"/>
    <m/>
    <m/>
    <n v="0"/>
    <n v="1"/>
    <d v="2026-05-24T00:00:00"/>
    <m/>
    <m/>
    <n v="480"/>
    <m/>
    <s v="Rasheed Wallace"/>
    <s v="1995 Metal"/>
    <s v="-"/>
    <s v="208"/>
    <n v="1.21"/>
    <x v="121"/>
    <s v="For Sale"/>
    <n v="3"/>
    <n v="4"/>
    <n v="1.25"/>
    <n v="1"/>
  </r>
  <r>
    <n v="85400"/>
    <s v="Ray Allen #136"/>
    <s v="Basketball Cards 1996 Fleer Metal"/>
    <n v="158"/>
    <s v="Ungraded"/>
    <s v="Normal wear"/>
    <m/>
    <m/>
    <n v="0"/>
    <n v="1"/>
    <d v="2026-04-17T00:00:00"/>
    <m/>
    <m/>
    <n v="280"/>
    <m/>
    <s v="Ray Allen"/>
    <s v="1996 Fleer Metal"/>
    <s v="-"/>
    <s v="136"/>
    <n v="1.58"/>
    <x v="122"/>
    <s v="For Sale"/>
    <n v="1"/>
    <n v="4"/>
    <n v="2"/>
    <n v="1.5"/>
  </r>
  <r>
    <n v="9782911"/>
    <s v="Reed Sheppard [Blue Cracked Ice Prizm] #68"/>
    <s v="Basketball Cards 2024 Panini Select"/>
    <n v="182"/>
    <s v="Ungraded"/>
    <s v="Normal wear"/>
    <m/>
    <s v="&quot;https://www.whatnot.com/order/9Nw32iaBQX4B786bgpSBCs_x000d__x000a_$0.00 + $0.21 (Shared Shipping) + $0.02 Tax = Total of $0.23&quot;"/>
    <n v="23"/>
    <n v="1"/>
    <d v="2026-05-12T00:00:00"/>
    <d v="2026-05-06T00:00:00"/>
    <m/>
    <n v="298"/>
    <m/>
    <s v="Reed Sheppard"/>
    <s v="2024 Panini Select"/>
    <s v="Blue Cracked Ice Prizm"/>
    <s v="68"/>
    <n v="1.82"/>
    <x v="123"/>
    <s v="For Sale"/>
    <n v="1"/>
    <n v="4"/>
    <n v="2"/>
    <n v="0.25"/>
  </r>
  <r>
    <n v="12615114"/>
    <s v="Reed Sheppard #135"/>
    <s v="Basketball Cards 2025 Bowman"/>
    <n v="99"/>
    <s v="Ungraded"/>
    <s v="Normal wear"/>
    <m/>
    <m/>
    <n v="0"/>
    <n v="1"/>
    <d v="2026-05-30T00:00:00"/>
    <m/>
    <m/>
    <n v="569"/>
    <m/>
    <s v="Reed Sheppard"/>
    <s v="2025 Bowman"/>
    <s v="-"/>
    <s v="135"/>
    <n v="0.99"/>
    <x v="123"/>
    <s v="For Sale"/>
    <n v="1"/>
    <n v="4"/>
    <n v="1"/>
    <n v="0.75"/>
  </r>
  <r>
    <n v="8151713"/>
    <s v="Robert Parish #140"/>
    <s v="Basketball Cards 2023 Topps Cosmic Chrome"/>
    <n v="189"/>
    <s v="Ungraded"/>
    <s v="Normal wear"/>
    <m/>
    <s v="&quot;https://www.whatnot.com/order/mjPJ8grwnTa5xjehNNp2Qq_x000d__x000a_$0.00 + $1.72 (Shared Shipping) + $0.18 Tax = Total of $1.90&quot;"/>
    <n v="190"/>
    <n v="1"/>
    <d v="2026-05-21T00:00:00"/>
    <d v="2026-05-08T00:00:00"/>
    <m/>
    <n v="310"/>
    <m/>
    <s v="Robert Parish"/>
    <s v="2023 Topps Cosmic Chrome"/>
    <s v="-"/>
    <s v="140"/>
    <n v="1.89"/>
    <x v="124"/>
    <s v="For Sale"/>
    <n v="1"/>
    <n v="4"/>
    <n v="2.5"/>
    <n v="2"/>
  </r>
  <r>
    <n v="94132"/>
    <s v="Ruben Patterson #115"/>
    <s v="Basketball Cards 1998 Upper Deck Black Diamond"/>
    <n v="125"/>
    <s v="Ungraded"/>
    <s v="Normal wear"/>
    <m/>
    <m/>
    <n v="0"/>
    <n v="1"/>
    <d v="2026-04-17T00:00:00"/>
    <m/>
    <m/>
    <n v="483"/>
    <m/>
    <s v="Ruben Patterson"/>
    <s v="1998 Upper Deck Black Diamond"/>
    <s v="-"/>
    <s v="115"/>
    <n v="1.25"/>
    <x v="125"/>
    <s v="For Sale"/>
    <n v="1"/>
    <n v="4"/>
    <n v="1.5"/>
    <n v="1.25"/>
  </r>
  <r>
    <n v="2730182"/>
    <s v="Ryan Giggs #282"/>
    <s v="Soccer Cards 1994 Upper Deck World Cup Soccer"/>
    <n v="100"/>
    <s v="Ungraded"/>
    <s v="Normal wear"/>
    <m/>
    <m/>
    <n v="0"/>
    <n v="1"/>
    <d v="2026-06-13T00:00:00"/>
    <m/>
    <m/>
    <n v="330"/>
    <m/>
    <s v="Ryan Giggs"/>
    <s v="1994 Upper Deck World Cup Soccer"/>
    <s v="-"/>
    <s v="282"/>
    <n v="1"/>
    <x v="126"/>
    <s v="For Sale"/>
    <n v="1"/>
    <n v="4"/>
    <n v="1"/>
    <n v="1"/>
  </r>
  <r>
    <n v="4110760"/>
    <s v="Shai Gilgeous Alexander [Holo] #147"/>
    <s v="Basketball Cards 2021 Panini Donruss Optic"/>
    <n v="208"/>
    <s v="Ungraded"/>
    <s v="Normal wear"/>
    <m/>
    <s v="&quot;https://www.whatnot.com/order/ERNzPGDtKT3NBd3m26uHUb_x000d__x000a_$1.00 + $2.18 (Shared Shipping) + $0.33 Tax = Total of $3.50&quot;"/>
    <n v="350"/>
    <n v="1"/>
    <d v="2026-05-15T00:00:00"/>
    <d v="2026-05-14T00:00:00"/>
    <m/>
    <n v="247"/>
    <m/>
    <s v="Shai Gilgeous Alexander"/>
    <s v="2021 Panini Donruss Optic"/>
    <s v="Holo"/>
    <s v="147"/>
    <n v="2.08"/>
    <x v="127"/>
    <s v="For Sale"/>
    <n v="1"/>
    <n v="4"/>
    <n v="4"/>
    <n v="2"/>
  </r>
  <r>
    <n v="4815724"/>
    <s v="Shai Gilgeous Alexander [Silver] #43"/>
    <s v="Basketball Cards 2022 Panini Prizm Draft Picks"/>
    <n v="199"/>
    <s v="Ungraded"/>
    <s v="Normal wear"/>
    <m/>
    <s v="&quot;https://www.whatnot.com/order/WpUhCqurDhocnQw9kQLniM_x000d__x000a_$6.00 + $0.00 (Shared Shipping) + $0.62 Tax = Total of $6.62&quot;"/>
    <n v="662"/>
    <n v="1"/>
    <d v="2026-05-12T00:00:00"/>
    <d v="2026-05-04T00:00:00"/>
    <m/>
    <n v="239"/>
    <m/>
    <s v="Shai Gilgeous Alexander"/>
    <s v="2022 Panini Prizm Draft Picks"/>
    <s v="Silver"/>
    <s v="43"/>
    <n v="1.99"/>
    <x v="127"/>
    <s v="For Sale"/>
    <n v="1"/>
    <n v="4"/>
    <n v="8"/>
    <n v="2"/>
  </r>
  <r>
    <n v="3727518"/>
    <s v="Shai Gilgeous Alexander #238"/>
    <s v="Basketball Cards 2021 Panini Prizm"/>
    <n v="147"/>
    <s v="Ungraded"/>
    <s v="Normal wear"/>
    <m/>
    <s v="&quot;https://www.whatnot.com/order/7eozouSEnosHtokHHfAAYH_x000d__x000a_$1.67 + $1.02 (Shared Shipping) + $0.28 Tax = Total of $2.97&quot;"/>
    <n v="297"/>
    <n v="1"/>
    <d v="2026-05-12T00:00:00"/>
    <d v="2026-05-08T00:00:00"/>
    <m/>
    <n v="363"/>
    <m/>
    <s v="Shai Gilgeous Alexander"/>
    <s v="2021 Panini Prizm"/>
    <s v="-"/>
    <s v="238"/>
    <n v="1.47"/>
    <x v="127"/>
    <s v="For Sale"/>
    <n v="1"/>
    <n v="4"/>
    <n v="4"/>
    <n v="1.25"/>
  </r>
  <r>
    <n v="11673540"/>
    <s v="Shareef Abdur-Rahim #1"/>
    <s v="Basketball Cards 1996 Skybox Premium Intimidators"/>
    <n v="195"/>
    <s v="Ungraded"/>
    <s v="Normal wear"/>
    <m/>
    <m/>
    <n v="0"/>
    <n v="1"/>
    <d v="2026-04-15T00:00:00"/>
    <m/>
    <m/>
    <n v="203"/>
    <m/>
    <s v="Shareef Abdur-Rahim"/>
    <s v="1996 Skybox Premium Intimidators"/>
    <s v="-"/>
    <s v="1"/>
    <n v="1.95"/>
    <x v="128"/>
    <s v="For Sale"/>
    <n v="1"/>
    <n v="4"/>
    <n v="2.5"/>
    <n v="2"/>
  </r>
  <r>
    <n v="2368478"/>
    <s v="Shareef Abdur-Rahim #135"/>
    <s v="Basketball Cards 1996 Fleer Metal"/>
    <n v="99"/>
    <s v="Ungraded"/>
    <s v="Normal wear"/>
    <m/>
    <m/>
    <n v="0"/>
    <n v="1"/>
    <d v="2026-04-17T00:00:00"/>
    <m/>
    <m/>
    <n v="562"/>
    <m/>
    <s v="Shareef Abdur-Rahim"/>
    <s v="1996 Fleer Metal"/>
    <s v="-"/>
    <s v="135"/>
    <n v="0.99"/>
    <x v="128"/>
    <s v="For Sale"/>
    <n v="3"/>
    <n v="4"/>
    <n v="1"/>
    <n v="0.75"/>
  </r>
  <r>
    <n v="2368478"/>
    <s v="Shareef Abdur-Rahim #135"/>
    <s v="Basketball Cards 1996 Fleer Metal"/>
    <n v="99"/>
    <s v="Ungraded"/>
    <s v="Normal wear"/>
    <m/>
    <m/>
    <n v="0"/>
    <n v="1"/>
    <d v="2026-06-10T00:00:00"/>
    <m/>
    <m/>
    <n v="564"/>
    <m/>
    <s v="Shareef Abdur-Rahim"/>
    <s v="1996 Fleer Metal"/>
    <s v="-"/>
    <s v="135"/>
    <n v="0.99"/>
    <x v="128"/>
    <s v="For Sale"/>
    <n v="3"/>
    <n v="4"/>
    <n v="1"/>
    <n v="0.75"/>
  </r>
  <r>
    <n v="2368478"/>
    <s v="Shareef Abdur-Rahim #135"/>
    <s v="Basketball Cards 1996 Fleer Metal"/>
    <n v="99"/>
    <s v="Ungraded"/>
    <s v="Normal wear"/>
    <m/>
    <m/>
    <n v="0"/>
    <n v="1"/>
    <d v="2026-06-10T00:00:00"/>
    <m/>
    <m/>
    <n v="568"/>
    <m/>
    <s v="Shareef Abdur-Rahim"/>
    <s v="1996 Fleer Metal"/>
    <s v="-"/>
    <s v="135"/>
    <n v="0.99"/>
    <x v="128"/>
    <s v="For Sale"/>
    <n v="3"/>
    <n v="4"/>
    <n v="1"/>
    <n v="0.75"/>
  </r>
  <r>
    <n v="8306999"/>
    <s v="Shareef Abdur-Rahim #122"/>
    <s v="Basketball Cards 1996 Skybox Premium"/>
    <n v="99"/>
    <s v="Ungraded"/>
    <s v="Normal wear"/>
    <m/>
    <m/>
    <n v="0"/>
    <n v="1"/>
    <d v="2026-05-07T00:00:00"/>
    <d v="2026-05-07T00:00:00"/>
    <m/>
    <n v="585"/>
    <m/>
    <s v="Shareef Abdur-Rahim"/>
    <s v="1996 Skybox Premium"/>
    <s v="-"/>
    <s v="122"/>
    <n v="0.99"/>
    <x v="128"/>
    <s v="For Sale"/>
    <n v="2"/>
    <n v="4"/>
    <n v="1"/>
    <n v="0.75"/>
  </r>
  <r>
    <n v="8306999"/>
    <s v="Shareef Abdur-Rahim #122"/>
    <s v="Basketball Cards 1996 Skybox Premium"/>
    <n v="99"/>
    <s v="Ungraded"/>
    <s v="Normal wear"/>
    <m/>
    <m/>
    <n v="0"/>
    <n v="1"/>
    <d v="2026-06-10T00:00:00"/>
    <m/>
    <m/>
    <n v="586"/>
    <m/>
    <s v="Shareef Abdur-Rahim"/>
    <s v="1996 Skybox Premium"/>
    <s v="-"/>
    <s v="122"/>
    <n v="0.99"/>
    <x v="128"/>
    <s v="For Sale"/>
    <n v="2"/>
    <n v="4"/>
    <n v="1"/>
    <n v="0.75"/>
  </r>
  <r>
    <n v="6663973"/>
    <s v="Shawn Kemp #CU5"/>
    <s v="Basketball Cards 1996 Skybox Premium Close Ups"/>
    <n v="272"/>
    <s v="Ungraded"/>
    <s v="Normal wear"/>
    <m/>
    <m/>
    <n v="0"/>
    <n v="1"/>
    <d v="2026-04-17T00:00:00"/>
    <m/>
    <m/>
    <n v="136"/>
    <m/>
    <s v="Shawn Kemp"/>
    <s v="1996 Skybox Premium Close Ups"/>
    <s v="-"/>
    <s v="CU5"/>
    <n v="2.72"/>
    <x v="129"/>
    <s v="For Sale"/>
    <n v="1"/>
    <n v="4"/>
    <n v="3"/>
    <n v="3"/>
  </r>
  <r>
    <n v="77646"/>
    <s v="Shawn Kemp #279"/>
    <s v="Basketball Cards 1990 Hoops"/>
    <n v="127"/>
    <s v="Ungraded"/>
    <s v="Normal wear"/>
    <m/>
    <m/>
    <n v="0"/>
    <n v="1"/>
    <d v="2026-05-07T00:00:00"/>
    <m/>
    <m/>
    <n v="461"/>
    <m/>
    <s v="Shawn Kemp"/>
    <s v="1990 Hoops"/>
    <s v="-"/>
    <s v="279"/>
    <n v="1.27"/>
    <x v="129"/>
    <s v="For Sale"/>
    <n v="1"/>
    <n v="4"/>
    <n v="1.5"/>
    <n v="1.25"/>
  </r>
  <r>
    <n v="11881353"/>
    <s v="Shohei Ohtani #200"/>
    <s v="Baseball Cards 2026 Topps"/>
    <n v="100"/>
    <s v="Ungraded"/>
    <s v="Normal wear"/>
    <m/>
    <s v="&quot;https://www.whatnot.com/order/84EtWmjxZp84PtP5CNdWys_x000d__x000a_$3.00 + $2.48 (Shared Shipping) + $0.56 Tax = Total of $6.04&quot;"/>
    <n v="604"/>
    <n v="1"/>
    <d v="2026-05-12T00:00:00"/>
    <d v="2026-05-05T00:00:00"/>
    <m/>
    <n v="288"/>
    <m/>
    <s v="Shohei Ohtani"/>
    <s v="2026 Topps"/>
    <s v="-"/>
    <s v="200"/>
    <n v="1"/>
    <x v="130"/>
    <s v="For Sale"/>
    <n v="1"/>
    <n v="4"/>
    <n v="7"/>
    <n v="1"/>
  </r>
  <r>
    <n v="10210235"/>
    <s v="Stephen Curry [Holo] #13"/>
    <s v="Basketball Cards 2024 Panini Donruss Optic Express Lane"/>
    <n v="199"/>
    <s v="Ungraded"/>
    <s v="Normal wear"/>
    <m/>
    <s v="https://www.whatnot.com/order/MBKbDgY5r4SpwfRrdpBamt_x000d__x000a_$1.00 + $0.36 (Shared Shipping) + $0.14 Tax = Total of $1.50"/>
    <n v="150"/>
    <n v="1"/>
    <d v="2026-05-09T00:00:00"/>
    <d v="2026-05-03T00:00:00"/>
    <m/>
    <n v="278"/>
    <m/>
    <s v="Stephen Curry"/>
    <s v="2024 Panini Donruss Optic Express Lane"/>
    <s v="Holo"/>
    <s v="13"/>
    <n v="1.99"/>
    <x v="131"/>
    <s v="For Sale"/>
    <n v="1"/>
    <n v="4"/>
    <n v="2.5"/>
    <n v="1.5"/>
  </r>
  <r>
    <n v="9778659"/>
    <s v="Stephen Curry [Blue] #7"/>
    <s v="Basketball Cards 2024 Panini Select"/>
    <n v="184"/>
    <s v="Ungraded"/>
    <s v="Normal wear"/>
    <m/>
    <s v="https://www.whatnot.com/order/FPqEc5jV3NSTjBSSKH6SCF_x000d__x000a_$1.00 + $0.43 (Shared Shipping) + $0.15 Tax = Total of $1.57"/>
    <n v="157"/>
    <n v="1"/>
    <d v="2026-05-22T00:00:00"/>
    <d v="2026-05-19T00:00:00"/>
    <m/>
    <n v="543"/>
    <m/>
    <s v="Stephen Curry"/>
    <s v="2024 Panini Select"/>
    <s v="Blue"/>
    <s v="7"/>
    <n v="1.84"/>
    <x v="131"/>
    <s v="For Sale"/>
    <n v="1"/>
    <n v="4"/>
    <n v="2"/>
    <n v="1.5"/>
  </r>
  <r>
    <n v="95756"/>
    <s v="Stephen Curry #98"/>
    <s v="Basketball Cards 2019 Panini Prizm"/>
    <n v="178"/>
    <s v="Ungraded"/>
    <s v="Normal wear"/>
    <m/>
    <s v="&quot;https://www.whatnot.com/order/2Nc9bVsk5chVoBa3qBE7ru_x000d__x000a_$1.00 + $0.00 (Shared Shipping) + $0.10 Tax = Total of $1.10&quot;"/>
    <n v="110"/>
    <n v="1"/>
    <d v="2026-06-09T00:00:00"/>
    <d v="2026-06-08T00:00:00"/>
    <m/>
    <n v="325"/>
    <m/>
    <s v="Stephen Curry"/>
    <s v="2019 Panini Prizm"/>
    <s v="-"/>
    <s v="98"/>
    <n v="1.78"/>
    <x v="131"/>
    <s v="For Sale"/>
    <n v="1"/>
    <n v="4"/>
    <n v="2"/>
    <n v="1"/>
  </r>
  <r>
    <n v="9265999"/>
    <s v="Stephen Curry #3"/>
    <s v="Basketball Cards 2024 Panini Revolution Hardwood Legacy"/>
    <n v="171"/>
    <s v="Ungraded"/>
    <s v="Normal wear"/>
    <m/>
    <s v="&quot;https://www.whatnot.com/order/9Nw32iaBQX4B786bgpSBCs_x000d__x000a_$0.00 + $0.21 (Shared Shipping) + $0.02 Tax = Total of $0.23&quot;"/>
    <n v="23"/>
    <n v="1"/>
    <d v="2026-05-12T00:00:00"/>
    <d v="2026-05-06T00:00:00"/>
    <m/>
    <n v="377"/>
    <m/>
    <s v="Stephen Curry"/>
    <s v="2024 Panini Revolution Hardwood Legacy"/>
    <s v="-"/>
    <s v="3"/>
    <n v="1.71"/>
    <x v="131"/>
    <s v="For Sale"/>
    <n v="1"/>
    <n v="4"/>
    <n v="2"/>
    <n v="0.25"/>
  </r>
  <r>
    <n v="9943175"/>
    <s v="Stephen Curry #163"/>
    <s v="Basketball Cards 2024 Panini Mosaic"/>
    <n v="164"/>
    <s v="Ungraded"/>
    <s v="Normal wear"/>
    <m/>
    <s v="&quot;https://www.whatnot.com/order/7eozouSEnosHtokHHfAAYH_x000d__x000a_$1.67 + $1.02 (Shared Shipping) + $0.28 Tax = Total of $2.97&quot;"/>
    <n v="297"/>
    <n v="1"/>
    <d v="2026-05-12T00:00:00"/>
    <d v="2026-05-08T00:00:00"/>
    <m/>
    <n v="322"/>
    <m/>
    <s v="Stephen Curry"/>
    <s v="2024 Panini Mosaic"/>
    <s v="-"/>
    <s v="163"/>
    <n v="1.64"/>
    <x v="131"/>
    <s v="For Sale"/>
    <n v="1"/>
    <n v="4"/>
    <n v="4"/>
    <n v="1.5"/>
  </r>
  <r>
    <n v="11497213"/>
    <s v="Stephen Curry #BD-9"/>
    <s v="Basketball Cards 2025 Topps Chrome Ball Of Duty"/>
    <n v="137"/>
    <s v="Ungraded"/>
    <s v="Normal wear"/>
    <m/>
    <s v="&quot;https://www.whatnot.com/order/3hBZtxnc5D7aSBGh5GQwZ2_x000d__x000a_$8.00 + $2.48 (Shared Shipping) + $1.07 Tax = Total of $11.55&quot;"/>
    <n v="1155"/>
    <n v="1"/>
    <d v="2026-05-12T00:00:00"/>
    <d v="2026-05-03T00:00:00"/>
    <m/>
    <n v="337"/>
    <m/>
    <s v="Stephen Curry"/>
    <s v="2025 Topps Chrome Ball Of Duty"/>
    <s v="-"/>
    <s v="BD-9"/>
    <n v="1.37"/>
    <x v="131"/>
    <s v="For Sale"/>
    <n v="1"/>
    <n v="4"/>
    <n v="14"/>
    <n v="1.25"/>
  </r>
  <r>
    <n v="2973499"/>
    <s v="Steve Francis #118"/>
    <s v="Basketball Cards 1999 Topps NBA Tipoff"/>
    <n v="129"/>
    <s v="Ungraded"/>
    <s v="Normal wear"/>
    <m/>
    <m/>
    <n v="0"/>
    <n v="1"/>
    <d v="2026-04-15T00:00:00"/>
    <m/>
    <m/>
    <n v="471"/>
    <m/>
    <s v="Steve Francis"/>
    <s v="1999 Topps NBA Tipoff"/>
    <s v="-"/>
    <s v="118"/>
    <n v="1.29"/>
    <x v="132"/>
    <s v="For Sale"/>
    <n v="1"/>
    <n v="4"/>
    <n v="1.5"/>
    <n v="1.25"/>
  </r>
  <r>
    <n v="7641308"/>
    <s v="Tab Ramos #9"/>
    <s v="Soccer Cards 1994 Upper Deck World Cup Soccer"/>
    <n v="199"/>
    <s v="Ungraded"/>
    <s v="Normal wear"/>
    <m/>
    <m/>
    <n v="0"/>
    <n v="1"/>
    <d v="2026-04-17T00:00:00"/>
    <m/>
    <m/>
    <n v="265"/>
    <m/>
    <s v="Tab Ramos"/>
    <s v="1994 Upper Deck World Cup Soccer"/>
    <s v="-"/>
    <s v="9"/>
    <n v="1.99"/>
    <x v="133"/>
    <s v="For Sale"/>
    <n v="1"/>
    <n v="4"/>
    <n v="2.5"/>
    <n v="2"/>
  </r>
  <r>
    <n v="8555315"/>
    <s v="Terrence Shannon Jr. [Pink Ice] #224"/>
    <s v="Basketball Cards 2024 Panini Prizm"/>
    <n v="175"/>
    <s v="Ungraded"/>
    <s v="Normal wear"/>
    <m/>
    <s v="&quot;https://www.whatnot.com/order/NiQA8q5w6tCKyhf9dhniXs_x000d__x000a_$3.00 + $0.63 (Shared Shipping) + $0.37 Tax = Total of $4.00&quot;"/>
    <n v="400"/>
    <n v="1"/>
    <d v="2026-05-14T00:00:00"/>
    <d v="2026-05-13T00:00:00"/>
    <m/>
    <n v="308"/>
    <m/>
    <s v="Terrence Shannon Jr."/>
    <s v="2024 Panini Prizm"/>
    <s v="Pink Ice"/>
    <s v="224"/>
    <n v="1.75"/>
    <x v="134"/>
    <s v="For Sale"/>
    <n v="1"/>
    <n v="4"/>
    <n v="5"/>
    <n v="2"/>
  </r>
  <r>
    <n v="12102811"/>
    <s v="Thomas Sorber #15"/>
    <s v="Basketball Cards 2025 Topps Finest"/>
    <n v="100"/>
    <s v="Ungraded"/>
    <s v="Normal wear"/>
    <m/>
    <s v="&quot;https://www.whatnot.com/order/b7cw23wZQThBVqdCqhgC7j_x000d__x000a_$0.00 + $0.00 (Shared Shipping) + $0.00 Tax = Total of $0.00&quot;"/>
    <n v="0"/>
    <n v="1"/>
    <d v="2026-05-15T00:00:00"/>
    <d v="2026-05-14T00:00:00"/>
    <m/>
    <n v="538"/>
    <m/>
    <s v="Thomas Sorber"/>
    <s v="2025 Topps Finest"/>
    <s v="-"/>
    <s v="15"/>
    <n v="1"/>
    <x v="135"/>
    <s v="For Sale"/>
    <n v="1"/>
    <n v="4"/>
    <n v="1"/>
    <n v="1"/>
  </r>
  <r>
    <n v="12986613"/>
    <s v="Tim Thomas #10"/>
    <s v="Basketball Cards 1997 Ultra Rim Rockers"/>
    <n v="181"/>
    <s v="Ungraded"/>
    <s v="Normal wear"/>
    <m/>
    <m/>
    <n v="0"/>
    <n v="1"/>
    <d v="2026-05-30T00:00:00"/>
    <m/>
    <m/>
    <n v="300"/>
    <m/>
    <s v="Tim Thomas"/>
    <s v="1997 Ultra Rim Rockers"/>
    <s v="-"/>
    <s v="10"/>
    <n v="1.81"/>
    <x v="136"/>
    <s v="For Sale"/>
    <n v="2"/>
    <n v="4"/>
    <n v="2"/>
    <n v="1.5"/>
  </r>
  <r>
    <n v="12986613"/>
    <s v="Tim Thomas #10"/>
    <s v="Basketball Cards 1997 Ultra Rim Rockers"/>
    <n v="181"/>
    <s v="Ungraded"/>
    <s v="Normal wear"/>
    <m/>
    <m/>
    <n v="0"/>
    <n v="1"/>
    <d v="2026-06-10T00:00:00"/>
    <m/>
    <m/>
    <n v="303"/>
    <m/>
    <s v="Tim Thomas"/>
    <s v="1997 Ultra Rim Rockers"/>
    <s v="-"/>
    <s v="10"/>
    <n v="1.81"/>
    <x v="136"/>
    <s v="For Sale"/>
    <n v="2"/>
    <n v="4"/>
    <n v="2"/>
    <n v="1.5"/>
  </r>
  <r>
    <n v="6654217"/>
    <s v="Tim Thomas #13"/>
    <s v="Basketball Cards 1997 Ultra All-Rookies"/>
    <n v="71"/>
    <s v="Ungraded"/>
    <s v="Normal wear"/>
    <m/>
    <m/>
    <n v="0"/>
    <n v="1"/>
    <d v="2026-05-31T00:00:00"/>
    <m/>
    <m/>
    <n v="583"/>
    <m/>
    <s v="Tim Thomas"/>
    <s v="1997 Ultra All-Rookies"/>
    <s v="-"/>
    <s v="13"/>
    <n v="0.71"/>
    <x v="136"/>
    <s v="For Sale"/>
    <n v="1"/>
    <n v="4"/>
    <n v="0.75"/>
    <n v="0.5"/>
  </r>
  <r>
    <n v="93011"/>
    <s v="Tracy McGrady #82"/>
    <s v="Basketball Cards 1998 SP Authentic"/>
    <n v="155"/>
    <s v="Ungraded"/>
    <s v="Normal wear"/>
    <m/>
    <m/>
    <n v="0"/>
    <n v="1"/>
    <d v="2026-05-07T00:00:00"/>
    <m/>
    <m/>
    <n v="453"/>
    <m/>
    <s v="Tracy McGrady"/>
    <s v="1998 SP Authentic"/>
    <s v="-"/>
    <s v="82"/>
    <n v="1.55"/>
    <x v="137"/>
    <s v="For Sale"/>
    <n v="1"/>
    <n v="4"/>
    <n v="2"/>
    <n v="1.5"/>
  </r>
  <r>
    <n v="94061"/>
    <s v="Tracy McGrady #82"/>
    <s v="Basketball Cards 1998 Upper Deck Black Diamond"/>
    <n v="134"/>
    <s v="Ungraded"/>
    <s v="Normal wear"/>
    <m/>
    <m/>
    <n v="0"/>
    <n v="1"/>
    <d v="2026-04-17T00:00:00"/>
    <m/>
    <m/>
    <n v="428"/>
    <m/>
    <s v="Tracy McGrady"/>
    <s v="1998 Upper Deck Black Diamond"/>
    <s v="-"/>
    <s v="82"/>
    <n v="1.34"/>
    <x v="137"/>
    <s v="For Sale"/>
    <n v="1"/>
    <n v="4"/>
    <n v="1.5"/>
    <n v="1.25"/>
  </r>
  <r>
    <n v="10895833"/>
    <s v="VJ Edgecombe #H163"/>
    <s v="Basketball Cards 2025 Topps Holiday"/>
    <n v="144"/>
    <s v="Ungraded"/>
    <s v="Normal wear"/>
    <m/>
    <s v="&quot;https://www.whatnot.com/order/6QdgQ3vUdPh6pHE5WaqAmr_x000d__x000a_$0.00 + $1.14 (Shared Shipping) + $0.12 Tax = Total of $1.25&quot;"/>
    <n v="125"/>
    <n v="1"/>
    <d v="2026-05-07T00:00:00"/>
    <d v="2026-05-03T00:00:00"/>
    <m/>
    <n v="478"/>
    <m/>
    <s v="VJ Edgecombe"/>
    <s v="2025 Topps Holiday"/>
    <s v="-"/>
    <s v="H163"/>
    <n v="1.44"/>
    <x v="138"/>
    <s v="For Sale"/>
    <n v="1"/>
    <n v="4"/>
    <n v="1.5"/>
    <n v="1.25"/>
  </r>
  <r>
    <n v="11105433"/>
    <s v="Bolivia #318"/>
    <s v="Soccer Cards 1994 Upper Deck World Cup Soccer"/>
    <n v="0"/>
    <s v="Ungraded"/>
    <s v="Normal wear"/>
    <m/>
    <m/>
    <n v="0"/>
    <n v="1"/>
    <d v="2026-06-13T00:00:00"/>
    <m/>
    <m/>
    <n v="604"/>
    <m/>
    <s v="Bolivia"/>
    <s v="1994 Upper Deck World Cup Soccer"/>
    <s v="-"/>
    <s v="318"/>
    <n v="0"/>
    <x v="139"/>
    <s v="For Sale"/>
    <n v="1"/>
    <n v="5"/>
    <n v="0.25"/>
    <n v="0.25"/>
  </r>
  <r>
    <n v="10122040"/>
    <s v="Caris LeVert [Orange] #155"/>
    <s v="Basketball Cards 2024 Panini Haunted Hoops"/>
    <n v="25"/>
    <s v="Ungraded"/>
    <s v="Normal wear"/>
    <m/>
    <m/>
    <n v="0"/>
    <n v="1"/>
    <d v="2026-05-30T00:00:00"/>
    <m/>
    <m/>
    <n v="591"/>
    <m/>
    <s v="Caris LeVert"/>
    <s v="2024 Panini Haunted Hoops"/>
    <s v="Orange"/>
    <s v="155"/>
    <n v="0.25"/>
    <x v="140"/>
    <s v="For Sale"/>
    <n v="1"/>
    <n v="5"/>
    <n v="0.25"/>
    <n v="0.25"/>
  </r>
  <r>
    <n v="12955099"/>
    <s v="Chaz Lanier #218"/>
    <s v="Basketball Cards 2025 Topps NBA Hoops"/>
    <n v="0"/>
    <s v="Ungraded"/>
    <s v="Normal wear"/>
    <m/>
    <m/>
    <n v="0"/>
    <n v="1"/>
    <d v="2026-05-30T00:00:00"/>
    <m/>
    <m/>
    <n v="596"/>
    <m/>
    <s v="Chaz Lanier"/>
    <s v="2025 Topps NBA Hoops"/>
    <s v="-"/>
    <s v="218"/>
    <n v="0"/>
    <x v="141"/>
    <s v="For Sale"/>
    <n v="1"/>
    <n v="5"/>
    <n v="0.25"/>
    <n v="0.25"/>
  </r>
  <r>
    <n v="7798609"/>
    <s v="Cole Anthony [Avalanche] #56"/>
    <s v="Basketball Cards 2023 Panini Revolution"/>
    <n v="138"/>
    <s v="Ungraded"/>
    <s v="Normal wear"/>
    <m/>
    <m/>
    <n v="0"/>
    <n v="1"/>
    <d v="2026-05-30T00:00:00"/>
    <m/>
    <m/>
    <n v="459"/>
    <m/>
    <s v="Cole Anthony"/>
    <s v="2023 Panini Revolution"/>
    <s v="Avalanche"/>
    <s v="56"/>
    <n v="1.38"/>
    <x v="142"/>
    <s v="For Sale"/>
    <n v="1"/>
    <n v="5"/>
    <n v="1.5"/>
    <n v="1.25"/>
  </r>
  <r>
    <n v="10818843"/>
    <s v="Cole Anthony #91"/>
    <s v="Basketball Cards 2025 Topps"/>
    <n v="56"/>
    <s v="Ungraded"/>
    <s v="Normal wear"/>
    <m/>
    <m/>
    <n v="0"/>
    <n v="1"/>
    <d v="2026-05-30T00:00:00"/>
    <m/>
    <m/>
    <n v="581"/>
    <m/>
    <s v="Cole Anthony"/>
    <s v="2025 Topps"/>
    <s v="-"/>
    <s v="91"/>
    <n v="0.56000000000000005"/>
    <x v="142"/>
    <s v="For Sale"/>
    <n v="1"/>
    <n v="5"/>
    <n v="0.5"/>
    <n v="0.5"/>
  </r>
  <r>
    <n v="3226146"/>
    <s v="Craig Lefferts #162"/>
    <s v="Baseball Cards 1992 Donruss"/>
    <n v="25"/>
    <s v="Ungraded"/>
    <s v="Normal wear"/>
    <m/>
    <m/>
    <n v="0"/>
    <n v="1"/>
    <d v="2026-05-30T00:00:00"/>
    <m/>
    <m/>
    <n v="589"/>
    <m/>
    <s v="Craig Lefferts"/>
    <s v="1992 Donruss"/>
    <s v="-"/>
    <s v="162"/>
    <n v="0.25"/>
    <x v="143"/>
    <s v="For Sale"/>
    <n v="1"/>
    <n v="5"/>
    <n v="0.25"/>
    <n v="0.25"/>
  </r>
  <r>
    <n v="12523724"/>
    <s v="Dalton Schultz #118"/>
    <s v="Football Cards 2025 Topps Chrome"/>
    <n v="20"/>
    <s v="Ungraded"/>
    <s v="Normal wear"/>
    <m/>
    <m/>
    <n v="0"/>
    <n v="1"/>
    <d v="2026-05-30T00:00:00"/>
    <m/>
    <m/>
    <n v="580"/>
    <m/>
    <s v="Dalton Schultz"/>
    <s v="2025 Topps Chrome"/>
    <s v="-"/>
    <s v="118"/>
    <n v="0.2"/>
    <x v="144"/>
    <s v="For Sale"/>
    <n v="1"/>
    <n v="5"/>
    <n v="0.25"/>
    <n v="0.25"/>
  </r>
  <r>
    <n v="9779919"/>
    <s v="Dereck Lively II [Green White Purple Prizm] #26"/>
    <s v="Basketball Cards 2024 Panini Select"/>
    <n v="99"/>
    <s v="Ungraded"/>
    <s v="Normal wear"/>
    <m/>
    <s v="&quot;https://www.whatnot.com/order/4LCZQZfaVVhJG2pKsSRhXY_x000d__x000a_$0.00 + $0.63 (Shared Shipping) + $0.06 Tax = Total of $0.69&quot;"/>
    <n v="69"/>
    <n v="1"/>
    <d v="2026-05-14T00:00:00"/>
    <d v="2026-05-13T00:00:00"/>
    <m/>
    <n v="556"/>
    <m/>
    <s v="Dereck Lively II"/>
    <s v="2024 Panini Select"/>
    <s v="Green White Purple Prizm"/>
    <s v="26"/>
    <n v="0.99"/>
    <x v="145"/>
    <s v="For Sale"/>
    <n v="1"/>
    <n v="5"/>
    <n v="1"/>
    <n v="0.5"/>
  </r>
  <r>
    <n v="12952668"/>
    <s v="Draymond Green [Rainbow Red Orange] #120"/>
    <s v="Basketball Cards 2025 Topps NBA Hoops"/>
    <n v="0"/>
    <s v="Ungraded"/>
    <s v="Normal wear"/>
    <m/>
    <s v="&quot;https://www.whatnot.com/order/A7skqPgdXNgH85B2zYMLjL_x000d__x000a_$1.00 + $0.35 (Shared Shipping) + $0.14 Tax = Total of $1.48&quot;"/>
    <n v="148"/>
    <n v="1"/>
    <d v="2026-05-22T00:00:00"/>
    <d v="2026-05-15T00:00:00"/>
    <m/>
    <n v="610"/>
    <m/>
    <s v="Draymond Green"/>
    <s v="2025 Topps NBA Hoops"/>
    <s v="Rainbow Red Orange"/>
    <s v="120"/>
    <n v="0"/>
    <x v="146"/>
    <s v="For Sale"/>
    <n v="1"/>
    <n v="5"/>
    <n v="2"/>
    <n v="0.25"/>
  </r>
  <r>
    <n v="5157791"/>
    <s v="Eddie Jones #4"/>
    <s v="Basketball Cards 1994 Ultra All Rookies"/>
    <n v="115"/>
    <s v="Ungraded"/>
    <s v="Normal wear"/>
    <m/>
    <m/>
    <n v="0"/>
    <n v="1"/>
    <d v="2026-04-16T00:00:00"/>
    <d v="2026-04-16T00:00:00"/>
    <m/>
    <n v="511"/>
    <m/>
    <s v="Eddie Jones"/>
    <s v="1994 Ultra All Rookies"/>
    <s v="-"/>
    <s v="4"/>
    <n v="1.1499999999999999"/>
    <x v="147"/>
    <s v="For Sale"/>
    <n v="1"/>
    <n v="5"/>
    <n v="1.25"/>
    <n v="1"/>
  </r>
  <r>
    <n v="6854632"/>
    <s v="Eddie Jones #FB9"/>
    <s v="Basketball Cards 1996 Upper Deck Fast Break Connection"/>
    <n v="0"/>
    <s v="Ungraded"/>
    <s v="Normal wear"/>
    <m/>
    <m/>
    <n v="0"/>
    <n v="1"/>
    <d v="2026-04-16T00:00:00"/>
    <d v="2026-04-16T00:00:00"/>
    <m/>
    <n v="612"/>
    <m/>
    <s v="Eddie Jones"/>
    <s v="1996 Upper Deck Fast Break Connection"/>
    <s v="-"/>
    <s v="FB9"/>
    <n v="0"/>
    <x v="147"/>
    <s v="For Sale"/>
    <n v="1"/>
    <n v="5"/>
    <n v="0.25"/>
    <n v="0.25"/>
  </r>
  <r>
    <n v="13162475"/>
    <s v="Gheorghe MureÈ™an #G20"/>
    <s v="Basketball Cards 1996 Upper Deck Generation Excitement"/>
    <n v="0"/>
    <s v="Ungraded"/>
    <s v="Normal wear"/>
    <m/>
    <m/>
    <n v="0"/>
    <n v="1"/>
    <d v="2026-05-30T00:00:00"/>
    <m/>
    <m/>
    <n v="597"/>
    <m/>
    <s v="Gheorghe MureÈ™an"/>
    <s v="1996 Upper Deck Generation Excitement"/>
    <s v="-"/>
    <s v="G20"/>
    <n v="0"/>
    <x v="148"/>
    <s v="For Sale"/>
    <n v="1"/>
    <n v="5"/>
    <n v="0.25"/>
    <n v="0.25"/>
  </r>
  <r>
    <n v="11105434"/>
    <s v="Italy #320"/>
    <s v="Soccer Cards 1994 Upper Deck World Cup Soccer"/>
    <n v="99"/>
    <s v="Ungraded"/>
    <s v="Normal wear"/>
    <m/>
    <m/>
    <n v="0"/>
    <n v="1"/>
    <d v="2026-06-13T00:00:00"/>
    <m/>
    <m/>
    <n v="601"/>
    <m/>
    <s v="Italy"/>
    <s v="1994 Upper Deck World Cup Soccer"/>
    <s v="-"/>
    <s v="320"/>
    <n v="0.99"/>
    <x v="149"/>
    <s v="For Sale"/>
    <n v="1"/>
    <n v="5"/>
    <n v="1"/>
    <n v="0.75"/>
  </r>
  <r>
    <n v="12950794"/>
    <s v="James Harden [Orange Hoops] #71"/>
    <s v="Basketball Cards 2025 Topps NBA Hoops"/>
    <n v="0"/>
    <s v="Ungraded"/>
    <s v="Normal wear"/>
    <m/>
    <s v="&quot;https://www.whatnot.com/order/adbiydZbLLFo8x6jprPUeB_x000d__x000a_$1.00 + $0.43 (Shared Shipping) + $0.15 Tax = Total of $1.57&quot;"/>
    <n v="157"/>
    <n v="1"/>
    <d v="2026-05-22T00:00:00"/>
    <d v="2026-05-19T00:00:00"/>
    <m/>
    <n v="606"/>
    <m/>
    <s v="James Harden"/>
    <s v="2025 Topps NBA Hoops"/>
    <s v="Orange Hoops"/>
    <s v="71"/>
    <n v="0"/>
    <x v="150"/>
    <s v="For Sale"/>
    <n v="1"/>
    <n v="5"/>
    <n v="2"/>
    <n v="0.25"/>
  </r>
  <r>
    <n v="7641295"/>
    <s v="John Doyle #5"/>
    <s v="Soccer Cards 1994 Upper Deck World Cup Soccer"/>
    <n v="99"/>
    <s v="Ungraded"/>
    <s v="Normal wear"/>
    <m/>
    <m/>
    <n v="0"/>
    <n v="1"/>
    <d v="2026-04-17T00:00:00"/>
    <m/>
    <m/>
    <n v="555"/>
    <m/>
    <s v="John Doyle"/>
    <s v="1994 Upper Deck World Cup Soccer"/>
    <s v="-"/>
    <s v="5"/>
    <n v="0.99"/>
    <x v="151"/>
    <s v="For Sale"/>
    <n v="1"/>
    <n v="5"/>
    <n v="1"/>
    <n v="0.75"/>
  </r>
  <r>
    <n v="6060362"/>
    <s v="Jrue Holiday [Blue] #200"/>
    <s v="Basketball Cards 2023 Panini Hoops"/>
    <n v="99"/>
    <s v="Ungraded"/>
    <s v="Normal wear"/>
    <m/>
    <m/>
    <n v="0"/>
    <n v="1"/>
    <d v="2026-05-30T00:00:00"/>
    <m/>
    <m/>
    <n v="575"/>
    <m/>
    <s v="Jrue Holiday"/>
    <s v="2023 Panini Hoops"/>
    <s v="Blue"/>
    <s v="200"/>
    <n v="0.99"/>
    <x v="152"/>
    <s v="For Sale"/>
    <n v="1"/>
    <n v="5"/>
    <n v="1"/>
    <n v="0.75"/>
  </r>
  <r>
    <n v="11829215"/>
    <s v="Karl-Anthony Towns [Purple] #12"/>
    <s v="Basketball Cards 2025 Topps Match Attax"/>
    <n v="0"/>
    <s v="Ungraded"/>
    <s v="Normal wear"/>
    <m/>
    <m/>
    <n v="0"/>
    <n v="1"/>
    <d v="2026-06-13T00:00:00"/>
    <m/>
    <m/>
    <n v="598"/>
    <m/>
    <s v="Karl-Anthony Towns"/>
    <s v="2025 Topps Match Attax"/>
    <s v="Purple"/>
    <s v="12"/>
    <n v="0"/>
    <x v="153"/>
    <s v="For Sale"/>
    <n v="1"/>
    <n v="5"/>
    <n v="0.25"/>
    <n v="0.25"/>
  </r>
  <r>
    <n v="12518888"/>
    <s v="Kyle Pitts #14"/>
    <s v="Football Cards 2025 Topps Chrome"/>
    <n v="80"/>
    <s v="Ungraded"/>
    <s v="Normal wear"/>
    <m/>
    <m/>
    <n v="0"/>
    <n v="1"/>
    <d v="2026-05-30T00:00:00"/>
    <m/>
    <m/>
    <n v="579"/>
    <m/>
    <s v="Kyle Pitts"/>
    <s v="2025 Topps Chrome"/>
    <s v="-"/>
    <s v="14"/>
    <n v="0.8"/>
    <x v="154"/>
    <s v="For Sale"/>
    <n v="1"/>
    <n v="5"/>
    <n v="0.75"/>
    <n v="0.75"/>
  </r>
  <r>
    <n v="11145114"/>
    <s v="Lamar Jackson [Green Hyper] #144"/>
    <s v="Football Cards 2025 Panini Phoenix"/>
    <n v="0"/>
    <s v="Ungraded"/>
    <s v="Normal wear"/>
    <m/>
    <s v="&quot;https://www.whatnot.com/order/moNYfWFRzgHft49zVDK7Ba_x000d__x000a_$2.00 + $0.28 (Shared Shipping) + $0.23 Tax = Total of $2.51&quot;"/>
    <n v="251"/>
    <n v="1"/>
    <d v="2026-05-15T00:00:00"/>
    <d v="2026-05-14T00:00:00"/>
    <m/>
    <n v="609"/>
    <m/>
    <s v="Lamar Jackson"/>
    <s v="2025 Panini Phoenix"/>
    <s v="Green Hyper"/>
    <s v="144"/>
    <n v="0"/>
    <x v="155"/>
    <s v="For Sale"/>
    <n v="1"/>
    <n v="5"/>
    <n v="3"/>
    <n v="0.25"/>
  </r>
  <r>
    <n v="13163237"/>
    <s v="Michael Doleac [Double] #114"/>
    <s v="Basketball Cards 1998 Upper Deck Black Diamond"/>
    <n v="0"/>
    <s v="Ungraded"/>
    <s v="Normal wear"/>
    <m/>
    <m/>
    <n v="0"/>
    <n v="1"/>
    <d v="2026-05-31T00:00:00"/>
    <m/>
    <m/>
    <n v="600"/>
    <m/>
    <s v="Michael Doleac"/>
    <s v="1998 Upper Deck Black Diamond"/>
    <s v="Double"/>
    <s v="114"/>
    <n v="0"/>
    <x v="156"/>
    <s v="For Sale"/>
    <n v="1"/>
    <n v="5"/>
    <n v="0.25"/>
    <n v="0.25"/>
  </r>
  <r>
    <n v="8312191"/>
    <s v="Nolan Ryan #21"/>
    <s v="Baseball Cards 1992 Donruss Coca Cola Nolan Ryan"/>
    <n v="130"/>
    <s v="Ungraded"/>
    <s v="Normal wear"/>
    <m/>
    <m/>
    <n v="0"/>
    <n v="1"/>
    <d v="2026-05-30T00:00:00"/>
    <m/>
    <m/>
    <n v="470"/>
    <m/>
    <s v="Nolan Ryan"/>
    <s v="1992 Donruss Coca Cola Nolan Ryan"/>
    <s v="-"/>
    <s v="21"/>
    <n v="1.3"/>
    <x v="157"/>
    <s v="For Sale"/>
    <n v="1"/>
    <n v="5"/>
    <n v="1.5"/>
    <n v="1.25"/>
  </r>
  <r>
    <n v="6329652"/>
    <s v="Nolan Ryan [Fitted for a Halo] #6"/>
    <s v="Baseball Cards 1992 Donruss Coca Cola Nolan Ryan"/>
    <n v="25"/>
    <s v="Ungraded"/>
    <s v="Normal wear"/>
    <m/>
    <m/>
    <n v="0"/>
    <n v="1"/>
    <d v="2026-05-30T00:00:00"/>
    <m/>
    <m/>
    <n v="588"/>
    <m/>
    <s v="Nolan Ryan"/>
    <s v="1992 Donruss Coca Cola Nolan Ryan"/>
    <s v="Fitted for a Halo"/>
    <s v="6"/>
    <n v="0.25"/>
    <x v="157"/>
    <s v="For Sale"/>
    <n v="1"/>
    <n v="5"/>
    <n v="0.25"/>
    <n v="0.25"/>
  </r>
  <r>
    <n v="11668414"/>
    <s v="Romario #326"/>
    <s v="Soccer Cards 1994 Upper Deck World Cup Soccer"/>
    <n v="0"/>
    <s v="Ungraded"/>
    <s v="Normal wear"/>
    <m/>
    <m/>
    <n v="0"/>
    <n v="1"/>
    <d v="2026-04-17T00:00:00"/>
    <m/>
    <m/>
    <n v="611"/>
    <m/>
    <s v="Romario"/>
    <s v="1994 Upper Deck World Cup Soccer"/>
    <s v="-"/>
    <s v="326"/>
    <n v="0"/>
    <x v="158"/>
    <s v="For Sale"/>
    <n v="1"/>
    <n v="5"/>
    <n v="0.25"/>
    <n v="0.25"/>
  </r>
  <r>
    <n v="11668389"/>
    <s v="Statistics Keycard #276"/>
    <s v="Soccer Cards 1994 Upper Deck World Cup Soccer"/>
    <n v="0"/>
    <s v="Ungraded"/>
    <s v="Normal wear"/>
    <m/>
    <m/>
    <n v="0"/>
    <n v="1"/>
    <d v="2026-04-17T00:00:00"/>
    <m/>
    <m/>
    <n v="613"/>
    <m/>
    <s v="Statistics Keycard"/>
    <s v="1994 Upper Deck World Cup Soccer"/>
    <s v="-"/>
    <s v="276"/>
    <n v="0"/>
    <x v="159"/>
    <s v="For Sale"/>
    <n v="1"/>
    <n v="5"/>
    <n v="0.25"/>
    <n v="0.25"/>
  </r>
  <r>
    <n v="10818673"/>
    <s v="Tidjane Salaun #71"/>
    <s v="Basketball Cards 2025 Topps"/>
    <n v="99"/>
    <s v="Ungraded"/>
    <s v="Normal wear"/>
    <m/>
    <s v="&quot;https://www.whatnot.com/order/Xz3tx8zp8BHqHykj7qkN3x_x000d__x000a_$0.00 + $0.00 (Shared Shipping) + $0.00 Tax = Total of $0.00&quot;"/>
    <n v="0"/>
    <n v="1"/>
    <d v="2026-05-15T00:00:00"/>
    <d v="2026-05-07T00:00:00"/>
    <m/>
    <n v="567"/>
    <m/>
    <s v="Tidjane Salaun"/>
    <s v="2025 Topps"/>
    <s v="-"/>
    <s v="71"/>
    <n v="0.99"/>
    <x v="160"/>
    <s v="For Sale"/>
    <n v="1"/>
    <n v="5"/>
    <n v="1"/>
    <n v="0.75"/>
  </r>
  <r>
    <n v="2245299"/>
    <s v="Tim Teufel #171"/>
    <s v="Baseball Cards 1992 Donruss"/>
    <n v="25"/>
    <s v="Ungraded"/>
    <s v="Normal wear"/>
    <m/>
    <m/>
    <n v="0"/>
    <n v="1"/>
    <d v="2026-05-30T00:00:00"/>
    <m/>
    <m/>
    <n v="592"/>
    <m/>
    <s v="Tim Teufel"/>
    <s v="1992 Donruss"/>
    <s v="-"/>
    <s v="171"/>
    <n v="0.25"/>
    <x v="161"/>
    <s v="For Sale"/>
    <n v="1"/>
    <n v="5"/>
    <n v="0.25"/>
    <n v="0.25"/>
  </r>
  <r>
    <n v="11105424"/>
    <s v="Wim Jonk #181"/>
    <s v="Soccer Cards 1994 Upper Deck World Cup Soccer"/>
    <n v="0"/>
    <s v="Ungraded"/>
    <s v="Normal wear"/>
    <m/>
    <m/>
    <n v="0"/>
    <n v="1"/>
    <d v="2026-06-13T00:00:00"/>
    <m/>
    <m/>
    <n v="607"/>
    <m/>
    <s v="Wim Jonk"/>
    <s v="1994 Upper Deck World Cup Soccer"/>
    <s v="-"/>
    <s v="181"/>
    <n v="0"/>
    <x v="162"/>
    <s v="For Sale"/>
    <n v="1"/>
    <n v="5"/>
    <n v="0.25"/>
    <n v="0.25"/>
  </r>
  <r>
    <n v="10024601"/>
    <s v="Zetti #83"/>
    <s v="Soccer Cards 1994 Upper Deck World Cup Soccer"/>
    <n v="25"/>
    <s v="Ungraded"/>
    <s v="Normal wear"/>
    <m/>
    <m/>
    <n v="0"/>
    <n v="1"/>
    <d v="2026-06-13T00:00:00"/>
    <m/>
    <m/>
    <n v="590"/>
    <m/>
    <s v="Zetti"/>
    <s v="1994 Upper Deck World Cup Soccer"/>
    <s v="-"/>
    <s v="83"/>
    <n v="0.25"/>
    <x v="163"/>
    <s v="For Sale"/>
    <n v="1"/>
    <n v="5"/>
    <n v="0.25"/>
    <n v="0.25"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  <r>
    <m/>
    <m/>
    <m/>
    <m/>
    <m/>
    <m/>
    <m/>
    <m/>
    <m/>
    <m/>
    <m/>
    <m/>
    <m/>
    <m/>
    <m/>
    <m/>
    <m/>
    <m/>
    <m/>
    <m/>
    <x v="16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s v="Cooper Flagg #251"/>
    <s v="Basketball Cards 2025 Topps Chrome"/>
    <n v="2104"/>
    <s v="Ungraded"/>
    <s v="Normal wear"/>
    <m/>
    <s v="eBay"/>
    <n v="2944"/>
    <n v="1"/>
    <d v="2026-04-21T00:00:00"/>
    <d v="2026-04-20T00:00:00"/>
    <m/>
    <n v="13"/>
    <m/>
    <s v="Cooper Flagg"/>
    <s v="2025 Topps Chrome"/>
    <s v="-"/>
    <s v="251"/>
    <n v="21.04"/>
    <x v="0"/>
    <s v="Keep"/>
    <n v="1"/>
    <n v="1"/>
    <n v="35"/>
    <n v="21"/>
  </r>
  <r>
    <x v="0"/>
    <s v="Cooper Flagg #251"/>
    <s v="Basketball Cards 2025 Topps Chrome"/>
    <n v="2104"/>
    <s v="Ungraded"/>
    <s v="Normal wear"/>
    <m/>
    <s v="&quot;whatnot.com/order/JCCEshFbNE7KuEUh3Kjd6B_x000d__x000a_$15.00 + $1.05 (Shared Shipping) + $1.65 Tax = Total of $17.70&quot;"/>
    <n v="1770"/>
    <n v="1"/>
    <d v="2026-06-10T00:00:00"/>
    <d v="2026-06-09T00:00:00"/>
    <m/>
    <n v="14"/>
    <m/>
    <s v="Cooper Flagg"/>
    <s v="2025 Topps Chrome"/>
    <s v="-"/>
    <s v="251"/>
    <n v="21.04"/>
    <x v="0"/>
    <s v="For Sale"/>
    <n v="1"/>
    <n v="1"/>
    <n v="25"/>
    <n v="18"/>
  </r>
  <r>
    <x v="1"/>
    <s v="Cooper Flagg #SY-11"/>
    <s v="Basketball Cards 2025 Topps Chrome Serenity"/>
    <n v="1311"/>
    <s v="Ungraded"/>
    <s v="Normal wear"/>
    <m/>
    <s v="&quot;https://www.whatnot.com/order/P6hZiMYk2ffSa8sLEMVeWQ_x000d__x000a_$0.00 + $0.91 (Shared Shipping) + $0.09 Tax = Total of $1.00&quot;"/>
    <n v="100"/>
    <n v="1"/>
    <d v="2026-06-01T00:00:00"/>
    <d v="2026-05-31T00:00:00"/>
    <m/>
    <n v="26"/>
    <m/>
    <s v="Cooper Flagg"/>
    <s v="2025 Topps Chrome Serenity"/>
    <s v="-"/>
    <s v="SY-11"/>
    <n v="13.11"/>
    <x v="0"/>
    <s v="For Sale"/>
    <n v="1"/>
    <n v="1"/>
    <n v="16"/>
    <n v="1"/>
  </r>
  <r>
    <x v="2"/>
    <s v="Cooper Flagg #201"/>
    <s v="Basketball Cards 2025 Topps"/>
    <n v="488"/>
    <s v="Ungraded"/>
    <s v="Normal wear"/>
    <m/>
    <s v="&quot;https://www.whatnot.com/order/WKa7ntNswTBEf2VahSBtgB_x000d__x000a_$4.00 + $0.55 (Shared Shipping) + $0.47 Tax = Total of $5.01&quot;"/>
    <n v="501"/>
    <n v="1"/>
    <d v="2026-05-12T00:00:00"/>
    <d v="2026-05-10T00:00:00"/>
    <m/>
    <n v="129"/>
    <m/>
    <s v="Cooper Flagg"/>
    <s v="2025 Topps"/>
    <s v="-"/>
    <s v="201"/>
    <n v="4.88"/>
    <x v="0"/>
    <s v="For Sale"/>
    <n v="1"/>
    <n v="1"/>
    <n v="6"/>
    <n v="5"/>
  </r>
  <r>
    <x v="3"/>
    <s v="Cooper Flagg #1"/>
    <s v="Basketball Cards 2025 Bowman"/>
    <n v="371"/>
    <s v="Ungraded"/>
    <s v="Normal wear"/>
    <m/>
    <s v="&quot;https://www.whatnot.com/order/cVAH6c2Ha2VVKr4oHxHUDo_x000d__x000a_$2.00 + $4.55 (Shared Shipping) + $0.67 Tax = Total of $7.22&quot;"/>
    <n v="722"/>
    <n v="1"/>
    <d v="2026-05-19T00:00:00"/>
    <d v="2026-05-19T00:00:00"/>
    <m/>
    <n v="149"/>
    <m/>
    <s v="Cooper Flagg"/>
    <s v="2025 Bowman"/>
    <s v="-"/>
    <s v="1"/>
    <n v="3.71"/>
    <x v="0"/>
    <s v="For Sale"/>
    <n v="1"/>
    <n v="1"/>
    <n v="9"/>
    <n v="4"/>
  </r>
  <r>
    <x v="4"/>
    <s v="Deommodore Lenoir #269"/>
    <s v="Football Cards 2025 Topps Chrome"/>
    <n v="1231"/>
    <s v="Ungraded"/>
    <s v="Normal wear"/>
    <m/>
    <m/>
    <n v="0"/>
    <n v="1"/>
    <d v="2026-05-30T00:00:00"/>
    <m/>
    <m/>
    <n v="526"/>
    <m/>
    <s v="Deommodore Lenoir"/>
    <s v="2025 Topps Chrome"/>
    <s v="-"/>
    <s v="269"/>
    <n v="12.31"/>
    <x v="1"/>
    <s v="For Sale"/>
    <n v="1"/>
    <n v="1"/>
    <n v="15"/>
    <n v="12"/>
  </r>
  <r>
    <x v="5"/>
    <s v="Kobe Bryant #R10"/>
    <s v="Basketball Cards 1996 Upper Deck Rookie Exclusives"/>
    <n v="5550"/>
    <s v="Ungraded"/>
    <s v="Normal wear"/>
    <m/>
    <m/>
    <n v="0"/>
    <n v="1"/>
    <d v="2026-04-15T00:00:00"/>
    <m/>
    <m/>
    <n v="2"/>
    <m/>
    <s v="Kobe Bryant"/>
    <s v="1996 Upper Deck Rookie Exclusives"/>
    <s v="-"/>
    <s v="R10"/>
    <n v="55.5"/>
    <x v="2"/>
    <s v="Keep"/>
    <n v="0"/>
    <n v="1"/>
    <n v="67"/>
    <n v="56"/>
  </r>
  <r>
    <x v="6"/>
    <s v="Kobe Bryant #52"/>
    <s v="Basketball Cards 1996 Ultra"/>
    <n v="4475"/>
    <s v="Ungraded"/>
    <s v="Normal wear"/>
    <m/>
    <m/>
    <n v="0"/>
    <n v="1"/>
    <d v="2026-04-15T00:00:00"/>
    <m/>
    <m/>
    <n v="4"/>
    <m/>
    <s v="Kobe Bryant"/>
    <s v="1996 Ultra"/>
    <s v="-"/>
    <s v="52"/>
    <n v="44.75"/>
    <x v="2"/>
    <s v="For Sale"/>
    <n v="1"/>
    <n v="1"/>
    <n v="54"/>
    <n v="45"/>
  </r>
  <r>
    <x v="7"/>
    <s v="Kobe Bryant #55"/>
    <s v="Basketball Cards 1996 Skybox Premium"/>
    <n v="3697"/>
    <s v="Ungraded"/>
    <s v="Normal wear"/>
    <m/>
    <m/>
    <n v="0"/>
    <n v="1"/>
    <d v="2026-04-15T00:00:00"/>
    <m/>
    <m/>
    <n v="5"/>
    <m/>
    <s v="Kobe Bryant"/>
    <s v="1996 Skybox Premium"/>
    <s v="-"/>
    <s v="55"/>
    <n v="36.97"/>
    <x v="2"/>
    <s v="For Sale"/>
    <n v="1"/>
    <n v="1"/>
    <n v="44"/>
    <n v="37"/>
  </r>
  <r>
    <x v="8"/>
    <s v="Kobe Bryant #31"/>
    <s v="Basketball Cards 1997 Fleer Million Dollar Moments"/>
    <n v="299"/>
    <s v="Ungraded"/>
    <s v="Normal wear"/>
    <m/>
    <m/>
    <n v="0"/>
    <n v="1"/>
    <d v="2026-06-13T00:00:00"/>
    <m/>
    <m/>
    <n v="192"/>
    <m/>
    <s v="Kobe Bryant"/>
    <s v="1997 Fleer Million Dollar Moments"/>
    <s v="-"/>
    <s v="31"/>
    <n v="2.99"/>
    <x v="2"/>
    <s v="For Sale"/>
    <n v="1"/>
    <n v="1"/>
    <n v="4"/>
    <n v="3"/>
  </r>
  <r>
    <x v="9"/>
    <s v="Luka Doncic #280"/>
    <s v="Basketball Cards 2018 Panini Prizm"/>
    <n v="19425"/>
    <s v="PSA 10"/>
    <s v="Normal wear"/>
    <m/>
    <s v="&quot;https://order.ebay.com/ord/show?orderId=04-14670-36767&amp;purchaseOrderId=04-1467-036766#/_x000d__x000a_$190.00 + $6.00 (Shared Shipping) + $20.09 Tax = Total of $216.09&quot;"/>
    <n v="21609"/>
    <n v="1"/>
    <d v="2026-05-20T00:00:00"/>
    <d v="2026-05-19T00:00:00"/>
    <s v="PSA"/>
    <n v="44578691"/>
    <m/>
    <s v="Luka Doncic"/>
    <s v="2018 Panini Prizm"/>
    <s v="-"/>
    <s v="280"/>
    <n v="194.25"/>
    <x v="3"/>
    <s v="Keep"/>
    <n v="0"/>
    <n v="1"/>
    <n v="259"/>
    <n v="194"/>
  </r>
  <r>
    <x v="10"/>
    <s v="Luka Doncic #122"/>
    <s v="Basketball Cards 2018 Panini Status"/>
    <n v="12000"/>
    <s v="PSA 10"/>
    <s v="Normal wear"/>
    <m/>
    <s v="$85.00 + Shipping $5.75 + Tax $9.30 = $100.05"/>
    <n v="10005"/>
    <n v="1"/>
    <d v="2026-06-19T00:00:00"/>
    <d v="2026-06-13T00:00:00"/>
    <s v="PSA"/>
    <n v="78077713"/>
    <m/>
    <s v="Luka Doncic"/>
    <s v="2018 Panini Status"/>
    <s v="-"/>
    <s v="122"/>
    <n v="120"/>
    <x v="3"/>
    <s v="For Sale"/>
    <n v="1"/>
    <n v="1"/>
    <n v="144"/>
    <n v="100"/>
  </r>
  <r>
    <x v="11"/>
    <s v="Luka Doncic #3"/>
    <s v="Basketball Cards 2018 Panini Hoops Class of 2018"/>
    <n v="1849"/>
    <s v="Ungraded"/>
    <s v="Normal wear"/>
    <m/>
    <s v="Traded for Victor Wembanyama #HP-VW 2025 Topps Match Attax Hot Prospects valued at $7.34"/>
    <n v="734"/>
    <n v="1"/>
    <d v="2026-06-16T00:00:00"/>
    <d v="2026-06-13T00:00:00"/>
    <m/>
    <n v="16"/>
    <m/>
    <s v="Luka Doncic"/>
    <s v="2018 Panini Hoops Class of 2018"/>
    <s v="-"/>
    <s v="3"/>
    <n v="18.489999999999998"/>
    <x v="3"/>
    <s v="For Sale"/>
    <n v="1"/>
    <n v="1"/>
    <n v="22"/>
    <n v="7"/>
  </r>
  <r>
    <x v="12"/>
    <s v="Luka Doncic [Blue Astro] #9"/>
    <s v="Basketball Cards 2024 Panini Revolution Star Gazing"/>
    <n v="1400"/>
    <s v="Ungraded"/>
    <s v="Normal wear"/>
    <m/>
    <s v="&quot;whatnot.com/order/n8cE95JzPotDagv8zS8364_x000d__x000a_$11.00 + $1.05 (Shared Shipping) + $1.24 Tax = Total of $13.29&quot;"/>
    <n v="1329"/>
    <n v="1"/>
    <d v="2026-06-10T00:00:00"/>
    <d v="2026-06-09T00:00:00"/>
    <m/>
    <n v="23"/>
    <m/>
    <s v="Luka Doncic"/>
    <s v="2024 Panini Revolution Star Gazing"/>
    <s v="Blue Astro"/>
    <s v="9"/>
    <n v="14"/>
    <x v="3"/>
    <s v="For Sale"/>
    <n v="1"/>
    <n v="1"/>
    <n v="17"/>
    <n v="13"/>
  </r>
  <r>
    <x v="13"/>
    <s v="Luka Doncic #5"/>
    <s v="Basketball Cards 2020 Panini Hoops SLAM"/>
    <n v="1151"/>
    <s v="Ungraded"/>
    <s v="Normal wear"/>
    <m/>
    <s v="&quot;https://www.ebay.com/itm/318340938096_x000d__x000a_$8.50 + $1.32 (Shared Shipping) + $1.01 Tax = Total of $10.83&quot;"/>
    <n v="1083"/>
    <n v="1"/>
    <d v="2026-05-29T00:00:00"/>
    <d v="2026-05-28T00:00:00"/>
    <m/>
    <n v="29"/>
    <m/>
    <s v="Luka Doncic"/>
    <s v="2020 Panini Hoops SLAM"/>
    <s v="-"/>
    <s v="5"/>
    <n v="11.51"/>
    <x v="3"/>
    <s v="Keep"/>
    <n v="0"/>
    <n v="1"/>
    <n v="14"/>
    <n v="11"/>
  </r>
  <r>
    <x v="14"/>
    <s v="Luka Doncic [Teal] #15"/>
    <s v="Basketball Cards 2019 Panini Chronicles"/>
    <n v="587"/>
    <s v="Ungraded"/>
    <s v="Normal wear"/>
    <m/>
    <s v="&quot;https://www.whatnot.com/order/THjJHwGpnJ2cNFaSnvcckW_x000d__x000a_$1.00 + $1.00 (Shared Shipping) + $0.21 Tax = Total of $2.21&quot;"/>
    <n v="221"/>
    <n v="1"/>
    <d v="2026-05-12T00:00:00"/>
    <d v="2026-05-08T00:00:00"/>
    <m/>
    <n v="110"/>
    <m/>
    <s v="Luka Doncic"/>
    <s v="2019 Panini Chronicles"/>
    <s v="Teal"/>
    <s v="15"/>
    <n v="5.87"/>
    <x v="3"/>
    <s v="For Sale"/>
    <n v="1"/>
    <n v="1"/>
    <n v="7"/>
    <n v="2"/>
  </r>
  <r>
    <x v="15"/>
    <s v="Luka Doncic [Holo] #15"/>
    <s v="Basketball Cards 2020 Panini Donruss Optic Splash"/>
    <n v="418"/>
    <s v="Ungraded"/>
    <s v="Normal wear"/>
    <m/>
    <s v="&quot;https://www.whatnot.com/order/F9dPhgureZfuamzmCSWsoz_x000d__x000a_$2.00 + $1.39 (Shared Shipping) + $0.35 Tax = Total of $3.74&quot;"/>
    <n v="374"/>
    <n v="1"/>
    <d v="2026-06-01T00:00:00"/>
    <d v="2026-05-31T00:00:00"/>
    <m/>
    <n v="132"/>
    <m/>
    <s v="Luka Doncic"/>
    <s v="2020 Panini Donruss Optic Splash"/>
    <s v="Holo"/>
    <s v="15"/>
    <n v="4.18"/>
    <x v="3"/>
    <s v="For Sale"/>
    <n v="1"/>
    <n v="1"/>
    <n v="5"/>
    <n v="4"/>
  </r>
  <r>
    <x v="16"/>
    <s v="Luka Doncic [Green] #10"/>
    <s v="Basketball Cards 2024 Panini Mosaic Epic Performers"/>
    <n v="311"/>
    <s v="Ungraded"/>
    <s v="Normal wear"/>
    <m/>
    <s v="&quot;whatnot.com/order/3YdoTRkTxViD7gGBZ6h9iY_x000d__x000a_$2.00 + $0.63 (Shared Shipping) + $0.27 Tax = Total of $2.90&quot;"/>
    <n v="290"/>
    <n v="1"/>
    <d v="2026-05-12T00:00:00"/>
    <d v="2026-05-13T00:00:00"/>
    <m/>
    <n v="155"/>
    <m/>
    <s v="Luka Doncic"/>
    <s v="2024 Panini Mosaic Epic Performers"/>
    <s v="Green"/>
    <s v="10"/>
    <n v="3.11"/>
    <x v="3"/>
    <s v="For Sale"/>
    <n v="2"/>
    <n v="1"/>
    <n v="4"/>
    <n v="2.5"/>
  </r>
  <r>
    <x v="16"/>
    <s v="Luka Doncic [Green] #10"/>
    <s v="Basketball Cards 2024 Panini Mosaic Epic Performers"/>
    <n v="311"/>
    <s v="Ungraded"/>
    <s v="Normal wear"/>
    <m/>
    <s v="&quot;whatnot.com/order/7eozouSEnosHtokHHfAAYH_x000d__x000a_$1.67 + $1.02 (Shared Shipping) + $0.28 Tax = Total of $2.97&quot;"/>
    <n v="297"/>
    <n v="1"/>
    <d v="2026-06-10T00:00:00"/>
    <d v="2026-05-08T00:00:00"/>
    <m/>
    <n v="156"/>
    <m/>
    <s v="Luka Doncic"/>
    <s v="2024 Panini Mosaic Epic Performers"/>
    <s v="Green"/>
    <s v="10"/>
    <n v="3.11"/>
    <x v="3"/>
    <s v="For Sale"/>
    <n v="2"/>
    <n v="1"/>
    <n v="4"/>
    <n v="3"/>
  </r>
  <r>
    <x v="17"/>
    <s v="Luka Doncic [Green] #89"/>
    <s v="Basketball Cards 2024 Panini Prizm"/>
    <n v="302"/>
    <s v="Ungraded"/>
    <s v="Normal wear"/>
    <m/>
    <s v="&quot;https://www.whatnot.com/order/Qz7U5ppnESxTUaQq9NtVok_x000d__x000a_$2.00 + $0.55 (Shared Shipping) + $0.26 Tax = Total of $2.81&quot;"/>
    <n v="281"/>
    <n v="1"/>
    <d v="2026-05-12T00:00:00"/>
    <d v="2026-05-12T00:00:00"/>
    <m/>
    <n v="215"/>
    <m/>
    <s v="Luka Doncic"/>
    <s v="2024 Panini Prizm"/>
    <s v="Green"/>
    <s v="89"/>
    <n v="3.02"/>
    <x v="3"/>
    <s v="For Sale"/>
    <n v="1"/>
    <n v="1"/>
    <n v="4"/>
    <n v="3"/>
  </r>
  <r>
    <x v="18"/>
    <s v="Luka Doncic [Sapphire] #43"/>
    <s v="Basketball Cards 2020 Panini Illusions"/>
    <n v="300"/>
    <s v="Ungraded"/>
    <s v="Normal wear"/>
    <m/>
    <s v="&quot;https://www.whatnot.com/order/QTaAU7BuEKWFVBSztLHVZt_x000d__x000a_$2.00 + $0.36 (Shared Shipping) + $0.24 Tax = Total of $2.61&quot;"/>
    <n v="261"/>
    <n v="1"/>
    <d v="2026-06-16T00:00:00"/>
    <d v="2026-05-12T00:00:00"/>
    <m/>
    <n v="176"/>
    <m/>
    <s v="Luka Doncic"/>
    <s v="2020 Panini Illusions"/>
    <s v="Sapphire"/>
    <s v="43"/>
    <n v="3"/>
    <x v="3"/>
    <s v="For Sale"/>
    <n v="1"/>
    <n v="1"/>
    <n v="4"/>
    <n v="3"/>
  </r>
  <r>
    <x v="19"/>
    <s v="Luka Doncic [Pink Ice] #89"/>
    <s v="Basketball Cards 2024 Panini Prizm"/>
    <n v="288"/>
    <s v="Ungraded"/>
    <s v="Normal wear"/>
    <m/>
    <s v="&quot;https://www.whatnot.com/order/aE4kEgCLAeDJfnfFh8U4bA_x000d__x000a_$4.00 + $0.78 (Shared Shipping) + $0.49 Tax = Total of $5.27&quot;"/>
    <n v="527"/>
    <n v="1"/>
    <d v="2026-05-17T00:00:00"/>
    <d v="2026-05-17T00:00:00"/>
    <m/>
    <n v="202"/>
    <m/>
    <s v="Luka Doncic"/>
    <s v="2024 Panini Prizm"/>
    <s v="Pink Ice"/>
    <s v="89"/>
    <n v="2.88"/>
    <x v="3"/>
    <s v="For Sale"/>
    <n v="1"/>
    <n v="1"/>
    <n v="6"/>
    <n v="3"/>
  </r>
  <r>
    <x v="20"/>
    <s v="Luka Doncic [Pink] #257"/>
    <s v="Basketball Cards 2022 Panini Chronicles"/>
    <n v="244"/>
    <s v="Ungraded"/>
    <s v="Normal wear"/>
    <m/>
    <s v="&quot;https://www.whatnot.com/order/PH2i3WhAY5rePqutCdgM8c_x000d__x000a_$1.29 + $0.29 (Shared Shipping) + $0.16 Tax = Total of $1.74&quot;"/>
    <n v="174"/>
    <n v="1"/>
    <d v="2026-05-24T00:00:00"/>
    <d v="2026-05-22T00:00:00"/>
    <m/>
    <n v="210"/>
    <m/>
    <s v="Luka Doncic"/>
    <s v="2022 Panini Chronicles"/>
    <s v="Pink"/>
    <s v="257"/>
    <n v="2.44"/>
    <x v="3"/>
    <s v="For Sale"/>
    <n v="1"/>
    <n v="1"/>
    <n v="3"/>
    <n v="1.5"/>
  </r>
  <r>
    <x v="21"/>
    <s v="Luka Doncic #254"/>
    <s v="Basketball Cards 2019 Panini Chronicles"/>
    <n v="238"/>
    <s v="Ungraded"/>
    <s v="Normal wear"/>
    <m/>
    <s v="&quot;https://www.whatnot.com/order/GhBCHwczCmrh6F7iQjEyTX_x000d__x000a_$1.43 + $0.29 (Shared Shipping) + $0.18 Tax = Total of $1.90&quot;"/>
    <n v="190"/>
    <n v="1"/>
    <d v="2026-05-24T00:00:00"/>
    <d v="2026-05-22T00:00:00"/>
    <m/>
    <n v="336"/>
    <m/>
    <s v="Luka Doncic"/>
    <s v="2019 Panini Chronicles"/>
    <s v="-"/>
    <s v="254"/>
    <n v="2.38"/>
    <x v="3"/>
    <s v="For Sale"/>
    <n v="1"/>
    <n v="1"/>
    <n v="3"/>
    <n v="2"/>
  </r>
  <r>
    <x v="22"/>
    <s v="Luka Doncic [Red White Orange Shimmer] #150"/>
    <s v="Basketball Cards 2020 Panini Select"/>
    <n v="237"/>
    <s v="Ungraded"/>
    <s v="Normal wear"/>
    <m/>
    <s v="&quot;https://www.whatnot.com/order/ZtB4ZVd8p4oiJnLmAJs7tz_x000d__x000a_$2.00 + $0.78 (Shared Shipping) + $0.28 Tax = Total of $3.06&quot;"/>
    <n v="306"/>
    <n v="1"/>
    <d v="2026-05-22T00:00:00"/>
    <d v="2026-05-17T00:00:00"/>
    <m/>
    <n v="224"/>
    <m/>
    <s v="Luka Doncic"/>
    <s v="2020 Panini Select"/>
    <s v="Red White Orange Shimmer"/>
    <s v="150"/>
    <n v="2.37"/>
    <x v="3"/>
    <s v="For Sale"/>
    <n v="1"/>
    <n v="1"/>
    <n v="4"/>
    <n v="2.5"/>
  </r>
  <r>
    <x v="23"/>
    <s v="Luka Doncic #26"/>
    <s v="Basketball Cards 2021 Panini Mosaic Montage"/>
    <n v="236"/>
    <s v="Ungraded"/>
    <s v="Normal wear"/>
    <m/>
    <s v="&quot;https://www.whatnot.com/order/eZzEmrYrFPTX2ciq7zw7Hi_x000d__x000a_$2.00 + $0.00 (Shared Shipping) + $0.21 Tax = Total of $2.21&quot;_x000d__x000a_"/>
    <n v="221"/>
    <n v="1"/>
    <d v="2026-06-09T00:00:00"/>
    <d v="2026-06-08T00:00:00"/>
    <m/>
    <n v="220"/>
    <m/>
    <s v="Luka Doncic"/>
    <s v="2021 Panini Mosaic Montage"/>
    <s v="-"/>
    <s v="26"/>
    <n v="2.36"/>
    <x v="3"/>
    <s v="For Sale"/>
    <n v="1"/>
    <n v="1"/>
    <n v="3"/>
    <n v="2"/>
  </r>
  <r>
    <x v="24"/>
    <s v="Luka Doncic [Mosaic] #16"/>
    <s v="Basketball Cards 2024 Panini Mosaic Elevate"/>
    <n v="232"/>
    <s v="Ungraded"/>
    <s v="Normal wear"/>
    <m/>
    <s v="&quot;https://www.whatnot.com/order/8DwoNWn73teh8obUuAY5eP_x000d__x000a_$2.50 + $0.21 (Shared Shipping) + $0.28 Tax = Total of $2.98&quot;"/>
    <n v="298"/>
    <n v="1"/>
    <d v="2026-05-12T00:00:00"/>
    <d v="2026-05-06T00:00:00"/>
    <m/>
    <n v="216"/>
    <m/>
    <s v="Luka Doncic"/>
    <s v="2024 Panini Mosaic Elevate"/>
    <s v="Mosaic"/>
    <s v="16"/>
    <n v="2.3199999999999998"/>
    <x v="3"/>
    <s v="For Sale"/>
    <n v="1"/>
    <n v="1"/>
    <n v="4"/>
    <n v="2.5"/>
  </r>
  <r>
    <x v="25"/>
    <s v="Luka Doncic #29"/>
    <s v="Basketball Cards 2019 Panini Donruss Franchise Features"/>
    <n v="225"/>
    <s v="Ungraded"/>
    <s v="Normal wear"/>
    <m/>
    <s v="&quot;https://www.whatnot.com/order/BgoaXMcouJPo8C7yxmzWdd_x000d__x000a_$1.00 + $0.78 (Shared Shipping) + $0.18 Tax = Total of $1.96&quot;"/>
    <n v="196"/>
    <n v="1"/>
    <d v="2026-05-12T00:00:00"/>
    <d v="2026-05-10T00:00:00"/>
    <m/>
    <n v="228"/>
    <m/>
    <s v="Luka Doncic"/>
    <s v="2019 Panini Donruss Franchise Features"/>
    <s v="-"/>
    <s v="29"/>
    <n v="2.25"/>
    <x v="3"/>
    <s v="For Sale"/>
    <n v="1"/>
    <n v="1"/>
    <n v="3"/>
    <n v="2"/>
  </r>
  <r>
    <x v="26"/>
    <s v="Luka Doncic [Red Ice] #18"/>
    <s v="Basketball Cards 2023 Panini Phoenix Fade To Black"/>
    <n v="225"/>
    <s v="Ungraded"/>
    <s v="Normal wear"/>
    <m/>
    <s v="&quot;https://www.whatnot.com/order/5X36yCiHaJsMeN64D6uPLA_x000d__x000a_$1.50 + $2.28 (Shared Shipping) + $0.39 Tax = Total of $4.16&quot;"/>
    <n v="416"/>
    <n v="1"/>
    <d v="2026-05-17T00:00:00"/>
    <d v="2026-05-16T00:00:00"/>
    <m/>
    <n v="225"/>
    <m/>
    <s v="Luka Doncic"/>
    <s v="2023 Panini Phoenix Fade To Black"/>
    <s v="Red Ice"/>
    <s v="18"/>
    <n v="2.25"/>
    <x v="3"/>
    <s v="For Sale"/>
    <n v="1"/>
    <n v="1"/>
    <n v="5"/>
    <n v="2.5"/>
  </r>
  <r>
    <x v="27"/>
    <s v="Luka Doncic #9"/>
    <s v="Basketball Cards 2024 Panini Select En Fuego"/>
    <n v="225"/>
    <s v="Ungraded"/>
    <s v="Normal wear"/>
    <m/>
    <s v="&quot;https://www.whatnot.com/order/UJkddQRLVRPS28Tdsjeg99_x000d__x000a_$1.00 + $0.43 (Shared Shipping) + $0.15 Tax = Total of $1.57&quot;"/>
    <n v="157"/>
    <n v="1"/>
    <d v="2026-05-22T00:00:00"/>
    <d v="2026-05-19T00:00:00"/>
    <m/>
    <n v="236"/>
    <m/>
    <s v="Luka Doncic"/>
    <s v="2024 Panini Select En Fuego"/>
    <s v="-"/>
    <s v="9"/>
    <n v="2.25"/>
    <x v="3"/>
    <s v="For Sale"/>
    <n v="1"/>
    <n v="1"/>
    <n v="3"/>
    <n v="1.5"/>
  </r>
  <r>
    <x v="28"/>
    <s v="Luka Doncic [Green White Purple Prizm] #141"/>
    <s v="Basketball Cards 2024 Panini Select"/>
    <n v="208"/>
    <s v="Ungraded"/>
    <s v="Normal wear"/>
    <m/>
    <s v="&quot;https://www.whatnot.com/order/X5K6umEJWi23LicF99oSTD_x000d__x000a_$2.00 + $0.63 (Shared Shipping) + $0.27 Tax = Total of $2.90&quot;"/>
    <n v="290"/>
    <n v="1"/>
    <d v="2026-05-14T00:00:00"/>
    <d v="2026-05-13T00:00:00"/>
    <m/>
    <n v="240"/>
    <m/>
    <s v="Luka Doncic"/>
    <s v="2024 Panini Select"/>
    <s v="Green White Purple Prizm"/>
    <s v="141"/>
    <n v="2.08"/>
    <x v="3"/>
    <s v="For Sale"/>
    <n v="1"/>
    <n v="1"/>
    <n v="3"/>
    <n v="2"/>
  </r>
  <r>
    <x v="29"/>
    <s v="Luka Doncic  [Purple] #13"/>
    <s v="Basketball Cards 2023 Donruss Optic Express Lane"/>
    <n v="205"/>
    <s v="Ungraded"/>
    <s v="Normal wear"/>
    <m/>
    <s v="&quot;https://www.whatnot.com/order/N3ommW2GZtgbdFUhrqPhaC_x000d__x000a_$2.33 + $0.21 (Shared Shipping) + $0.26 Tax = Total of $2.80&quot;"/>
    <n v="280"/>
    <n v="1"/>
    <d v="2026-05-12T00:00:00"/>
    <d v="2026-05-06T00:00:00"/>
    <m/>
    <n v="312"/>
    <m/>
    <s v="Luka Doncic"/>
    <s v="2023 Donruss Optic Express Lane"/>
    <s v="Purple"/>
    <s v="13"/>
    <n v="2.0499999999999998"/>
    <x v="3"/>
    <s v="For Sale"/>
    <n v="1"/>
    <n v="1"/>
    <n v="3"/>
    <n v="2"/>
  </r>
  <r>
    <x v="30"/>
    <s v="Luka Doncic [Green Seismic] #214"/>
    <s v="Basketball Cards 2024 Panini Donruss Optic"/>
    <n v="204"/>
    <s v="Ungraded"/>
    <s v="Normal wear"/>
    <m/>
    <s v="&quot;https://www.whatnot.com/order/RzUW8ZqubfD3RCjL2VoBop_x000d__x000a_$2.00 + $0.63 (Shared Shipping) + $0.27 Tax = Total of $2.90&quot;"/>
    <n v="290"/>
    <n v="1"/>
    <d v="2026-05-14T00:00:00"/>
    <d v="2026-05-13T00:00:00"/>
    <m/>
    <n v="246"/>
    <m/>
    <s v="Luka Doncic"/>
    <s v="2024 Panini Donruss Optic"/>
    <s v="Green Seismic"/>
    <s v="214"/>
    <n v="2.04"/>
    <x v="3"/>
    <s v="For Sale"/>
    <n v="1"/>
    <n v="1"/>
    <n v="3"/>
    <n v="2"/>
  </r>
  <r>
    <x v="31"/>
    <s v="Luka Doncic [Slime] #281"/>
    <s v="Basketball Cards 2024 Panini Haunted Hoops"/>
    <n v="201"/>
    <s v="Ungraded"/>
    <s v="Normal wear"/>
    <m/>
    <s v="&quot;https://www.whatnot.com/order/NKDpWFDEF9zthvWQGx6hjv_x000d__x000a_$2.00 + $0.36 (Shared Shipping) + $0.24 Tax = Total of $2.61&quot;"/>
    <n v="261"/>
    <n v="1"/>
    <d v="2026-05-15T00:00:00"/>
    <d v="2026-05-14T00:00:00"/>
    <m/>
    <n v="207"/>
    <m/>
    <s v="Luka Doncic"/>
    <s v="2024 Panini Haunted Hoops"/>
    <s v="Slime"/>
    <s v="281"/>
    <n v="2.0099999999999998"/>
    <x v="3"/>
    <s v="For Sale"/>
    <n v="1"/>
    <n v="1"/>
    <n v="3"/>
    <n v="2"/>
  </r>
  <r>
    <x v="32"/>
    <s v="Luka Doncic [Blue Prizm] #7"/>
    <s v="Basketball Cards 2021 Panini Select Numbers"/>
    <n v="200"/>
    <s v="Ungraded"/>
    <s v="Normal wear"/>
    <m/>
    <s v="&quot;https://www.whatnot.com/order/UJkddQRLVRPS28Tdsjeg99_x000d__x000a_$1.00 + $0.43 (Shared Shipping) + $0.15 Tax = Total of $1.57&quot;"/>
    <n v="157"/>
    <n v="1"/>
    <d v="2026-05-22T00:00:00"/>
    <d v="2026-05-19T00:00:00"/>
    <m/>
    <n v="259"/>
    <m/>
    <s v="Luka Doncic"/>
    <s v="2021 Panini Select Numbers"/>
    <s v="Blue Prizm"/>
    <s v="7"/>
    <n v="2"/>
    <x v="3"/>
    <s v="For Sale"/>
    <n v="1"/>
    <n v="1"/>
    <n v="2.5"/>
    <n v="1.5"/>
  </r>
  <r>
    <x v="33"/>
    <s v="Luka Doncic #519"/>
    <s v="Basketball Cards 2020 Panini Chronicles"/>
    <n v="199"/>
    <s v="Ungraded"/>
    <s v="Normal wear"/>
    <m/>
    <s v="&quot;https://www.whatnot.com/order/N3ommW2GZtgbdFUhrqPhaC_x000d__x000a_$2.33 + $0.21 (Shared Shipping) + $0.26 Tax = Total of $2.80&quot;"/>
    <n v="280"/>
    <n v="1"/>
    <d v="2026-05-12T00:00:00"/>
    <d v="2026-05-06T00:00:00"/>
    <m/>
    <n v="281"/>
    <m/>
    <s v="Luka Doncic"/>
    <s v="2020 Panini Chronicles"/>
    <s v="-"/>
    <s v="519"/>
    <n v="1.99"/>
    <x v="3"/>
    <s v="For Sale"/>
    <n v="1"/>
    <n v="1"/>
    <n v="3"/>
    <n v="2"/>
  </r>
  <r>
    <x v="34"/>
    <s v="Luka Doncic #3"/>
    <s v="Basketball Cards 2022 Panini Donruss Optic My House"/>
    <n v="199"/>
    <s v="Ungraded"/>
    <s v="Normal wear"/>
    <m/>
    <s v="&quot;https://www.whatnot.com/order/GhBCHwczCmrh6F7iQjEyTX_x000d__x000a_$1.43 + $0.29 (Shared Shipping) + $0.18 Tax = Total of $1.90&quot;"/>
    <n v="190"/>
    <n v="1"/>
    <d v="2026-05-24T00:00:00"/>
    <d v="2026-05-22T00:00:00"/>
    <m/>
    <n v="287"/>
    <m/>
    <s v="Luka Doncic"/>
    <s v="2022 Panini Donruss Optic My House"/>
    <s v="-"/>
    <s v="3"/>
    <n v="1.99"/>
    <x v="3"/>
    <s v="For Sale"/>
    <n v="1"/>
    <n v="1"/>
    <n v="2.5"/>
    <n v="2"/>
  </r>
  <r>
    <x v="35"/>
    <s v="Luka Doncic #9"/>
    <s v="Basketball Cards 2023 Panini Haunted Hoops"/>
    <n v="199"/>
    <s v="Ungraded"/>
    <s v="Normal wear"/>
    <m/>
    <s v="&quot;https://www.whatnot.com/order/PH2i3WhAY5rePqutCdgM8c_x000d__x000a_$1.29 + $0.29 (Shared Shipping) + $0.16 Tax = Total of $1.74&quot;"/>
    <n v="174"/>
    <n v="1"/>
    <d v="2026-05-24T00:00:00"/>
    <d v="2026-05-22T00:00:00"/>
    <m/>
    <n v="276"/>
    <m/>
    <s v="Luka Doncic"/>
    <s v="2023 Panini Haunted Hoops"/>
    <s v="-"/>
    <s v="9"/>
    <n v="1.99"/>
    <x v="3"/>
    <s v="For Sale"/>
    <n v="1"/>
    <n v="1"/>
    <n v="2.5"/>
    <n v="1.5"/>
  </r>
  <r>
    <x v="36"/>
    <s v="Luka Doncic #NTN-11"/>
    <s v="Basketball Cards 2025 Topps NBA Hoops Net 2 Net"/>
    <n v="199"/>
    <s v="Ungraded"/>
    <s v="Normal wear"/>
    <m/>
    <s v="&quot;https://www.whatnot.com/order/BqMdVKL98MMvHMvRADiqy8_x000d__x000a_$4.00 + $0.91 (Shared Shipping) + $0.50 Tax = Total of $5.41&quot;"/>
    <n v="541"/>
    <n v="1"/>
    <d v="2026-06-01T00:00:00"/>
    <d v="2026-05-31T00:00:00"/>
    <m/>
    <n v="266"/>
    <m/>
    <s v="Luka Doncic"/>
    <s v="2025 Topps NBA Hoops Net 2 Net"/>
    <s v="-"/>
    <s v="NTN-11"/>
    <n v="1.99"/>
    <x v="3"/>
    <s v="For Sale"/>
    <n v="1"/>
    <n v="1"/>
    <n v="6"/>
    <n v="2"/>
  </r>
  <r>
    <x v="37"/>
    <s v="Luka Doncic [Bronze] #18"/>
    <s v="Basketball Cards 2021 Panini Contenders"/>
    <n v="196"/>
    <s v="Ungraded"/>
    <s v="Normal wear"/>
    <m/>
    <s v="&quot;https://www.whatnot.com/order/PH2i3WhAY5rePqutCdgM8c_x000d__x000a_$0.00 + $0.27 (Shared Shipping) + $0.03 Tax = Total of $0.30&quot;"/>
    <n v="30"/>
    <n v="1"/>
    <d v="2026-05-30T00:00:00"/>
    <d v="2026-05-22T00:00:00"/>
    <m/>
    <n v="282"/>
    <m/>
    <s v="Luka Doncic"/>
    <s v="2021 Panini Contenders"/>
    <s v="Bronze"/>
    <s v="18"/>
    <n v="1.96"/>
    <x v="3"/>
    <s v="For Sale"/>
    <n v="1"/>
    <n v="1"/>
    <n v="2.5"/>
    <n v="0.25"/>
  </r>
  <r>
    <x v="38"/>
    <s v="Luka Doncic #295"/>
    <s v="Basketball Cards 2023 Panini Hoops"/>
    <n v="196"/>
    <s v="Ungraded"/>
    <s v="Normal wear"/>
    <m/>
    <s v="&quot;https://www.whatnot.com/order/PH2i3WhAY5rePqutCdgM8c_x000d__x000a_$1.29 + $0.29 (Shared Shipping) + $0.16 Tax = Total of $1.74&quot;"/>
    <n v="174"/>
    <n v="1"/>
    <d v="2026-05-24T00:00:00"/>
    <d v="2026-05-22T00:00:00"/>
    <m/>
    <n v="368"/>
    <m/>
    <s v="Luka Doncic"/>
    <s v="2023 Panini Hoops"/>
    <s v="-"/>
    <s v="295"/>
    <n v="1.96"/>
    <x v="3"/>
    <s v="For Sale"/>
    <n v="1"/>
    <n v="1"/>
    <n v="2.5"/>
    <n v="1.5"/>
  </r>
  <r>
    <x v="39"/>
    <s v="Luka Doncic #75"/>
    <s v="Basketball Cards 2019 Panini Prizm"/>
    <n v="190"/>
    <s v="Ungraded"/>
    <s v="Normal wear"/>
    <m/>
    <s v="&quot;https://www.whatnot.com/order/LzxCN3kkWJX8nCqy8qr5nU_x000d__x000a_$1.00 + $0.55 (Shared Shipping) + $0.16 Tax = Total of $1.70&quot;"/>
    <n v="170"/>
    <n v="1"/>
    <d v="2026-05-12T00:00:00"/>
    <d v="2026-05-12T00:00:00"/>
    <m/>
    <n v="320"/>
    <m/>
    <s v="Luka Doncic"/>
    <s v="2019 Panini Prizm"/>
    <s v="-"/>
    <s v="75"/>
    <n v="1.9"/>
    <x v="3"/>
    <s v="For Sale"/>
    <n v="1"/>
    <n v="1"/>
    <n v="2.5"/>
    <n v="1.5"/>
  </r>
  <r>
    <x v="40"/>
    <s v="Luka Doncic [Holo] #7"/>
    <s v="Basketball Cards 2021 Panini Donruss Optic Express Lane"/>
    <n v="188"/>
    <s v="Ungraded"/>
    <s v="Normal wear"/>
    <m/>
    <s v="&quot;https://www.whatnot.com/order/ZtB4ZVd8p4oiJnLmAJs7tz_x000d__x000a_$2.00 + $0.78 (Shared Shipping) + $0.28 Tax = Total of $3.06&quot;"/>
    <n v="306"/>
    <n v="1"/>
    <d v="2026-05-22T00:00:00"/>
    <d v="2026-05-17T00:00:00"/>
    <m/>
    <n v="305"/>
    <m/>
    <s v="Luka Doncic"/>
    <s v="2021 Panini Donruss Optic Express Lane"/>
    <s v="Holo"/>
    <s v="7"/>
    <n v="1.88"/>
    <x v="3"/>
    <s v="For Sale"/>
    <n v="1"/>
    <n v="1"/>
    <n v="4"/>
    <n v="2"/>
  </r>
  <r>
    <x v="41"/>
    <s v="Luka Doncic [Astro] #13"/>
    <s v="Basketball Cards 2024 Panini Revolution"/>
    <n v="188"/>
    <s v="Ungraded"/>
    <s v="Normal wear"/>
    <m/>
    <s v="&quot;https://www.whatnot.com/order/5scJ87fFG7iaQkajYWq4bV_x000d__x000a_$2.00 + $0.74 (Shared Shipping) + $0.28 Tax = Total of $3.02&quot;"/>
    <n v="302"/>
    <n v="1"/>
    <d v="2026-05-12T00:00:00"/>
    <d v="2026-05-12T00:00:00"/>
    <m/>
    <n v="241"/>
    <m/>
    <s v="Luka Doncic"/>
    <s v="2024 Panini Revolution"/>
    <s v="Astro"/>
    <s v="13"/>
    <n v="1.88"/>
    <x v="3"/>
    <s v="For Sale"/>
    <n v="1"/>
    <n v="1"/>
    <n v="4"/>
    <n v="2"/>
  </r>
  <r>
    <x v="42"/>
    <s v="Luka Doncic [Purple] #7"/>
    <s v="Basketball Cards 2022 Panini Donruss Optic T Minus 3 2 1"/>
    <n v="186"/>
    <s v="Ungraded"/>
    <s v="Normal wear"/>
    <m/>
    <s v="&quot;https://www.whatnot.com/order/YdoZr7RTzDToYz6PByf22R_x000d__x000a_$3.00 + $0.45 (Shared Shipping) + $0.35 Tax = Total of $3.78&quot;"/>
    <n v="378"/>
    <n v="1"/>
    <d v="2026-05-09T00:00:00"/>
    <d v="2026-05-04T00:00:00"/>
    <m/>
    <n v="311"/>
    <m/>
    <s v="Luka Doncic"/>
    <s v="2022 Panini Donruss Optic T Minus 3 2 1"/>
    <s v="Purple"/>
    <s v="7"/>
    <n v="1.86"/>
    <x v="3"/>
    <s v="For Sale"/>
    <n v="1"/>
    <n v="1"/>
    <n v="5"/>
    <n v="2"/>
  </r>
  <r>
    <x v="43"/>
    <s v="Luka Doncic #134"/>
    <s v="Basketball Cards 2024 Panini Haunted Hoops"/>
    <n v="185"/>
    <s v="Ungraded"/>
    <s v="Normal wear"/>
    <m/>
    <s v="&quot;https://www.whatnot.com/order/CcgKgfJ5nvryvvKXiQFRF3_x000d__x000a_$0.16 + $0.14 (Shared Shipping) + $0.03 Tax = Total of $0.33&quot;"/>
    <n v="33"/>
    <n v="1"/>
    <d v="2026-05-21T00:00:00"/>
    <d v="2026-05-14T00:00:00"/>
    <m/>
    <n v="318"/>
    <m/>
    <s v="Luka Doncic"/>
    <s v="2024 Panini Haunted Hoops"/>
    <s v="-"/>
    <s v="134"/>
    <n v="1.85"/>
    <x v="3"/>
    <s v="For Sale"/>
    <n v="1"/>
    <n v="1"/>
    <n v="2"/>
    <n v="0.25"/>
  </r>
  <r>
    <x v="44"/>
    <s v="Luka Doncic #9"/>
    <s v="Basketball Cards 2022 Panini Mosaic Thunder Road"/>
    <n v="179"/>
    <s v="Ungraded"/>
    <s v="Normal wear"/>
    <m/>
    <s v="&quot;https://www.whatnot.com/order/PH2i3WhAY5rePqutCdgM8c_x000d__x000a_$1.29 + $0.29 (Shared Shipping) + $0.16 Tax = Total of $1.74&quot;"/>
    <n v="174"/>
    <n v="1"/>
    <d v="2026-05-24T00:00:00"/>
    <d v="2026-05-22T00:00:00"/>
    <m/>
    <n v="326"/>
    <m/>
    <s v="Luka Doncic"/>
    <s v="2022 Panini Mosaic Thunder Road"/>
    <s v="-"/>
    <s v="9"/>
    <n v="1.79"/>
    <x v="3"/>
    <s v="For Sale"/>
    <n v="1"/>
    <n v="1"/>
    <n v="2"/>
    <n v="1.5"/>
  </r>
  <r>
    <x v="45"/>
    <s v="Luka Doncic #15"/>
    <s v="Basketball Cards 2020 Panini Select"/>
    <n v="175"/>
    <s v="Ungraded"/>
    <s v="Normal wear"/>
    <m/>
    <s v="&quot;https://www.whatnot.com/order/2Nc9bVsk5chVoBa3qBE7ru_x000d__x000a_$1.00 + $0.00 (Shared Shipping) + $0.10 Tax = Total of $1.10&quot;"/>
    <n v="110"/>
    <n v="1"/>
    <d v="2026-06-09T00:00:00"/>
    <d v="2026-06-08T00:00:00"/>
    <m/>
    <n v="333"/>
    <m/>
    <s v="Luka Doncic"/>
    <s v="2020 Panini Select"/>
    <s v="-"/>
    <s v="15"/>
    <n v="1.75"/>
    <x v="3"/>
    <s v="For Sale"/>
    <n v="1"/>
    <n v="1"/>
    <n v="2"/>
    <n v="1"/>
  </r>
  <r>
    <x v="46"/>
    <s v="Luka Doncic [Pink] #228"/>
    <s v="Basketball Cards 2020 Panini Chronicles"/>
    <n v="174"/>
    <s v="Ungraded"/>
    <s v="Normal wear"/>
    <m/>
    <s v="&quot;https://www.whatnot.com/order/N3ommW2GZtgbdFUhrqPhaC_x000d__x000a_$2.33 + $0.21 (Shared Shipping) + $0.26 Tax = Total of $2.80&quot;"/>
    <n v="280"/>
    <n v="1"/>
    <d v="2026-05-12T00:00:00"/>
    <d v="2026-05-06T00:00:00"/>
    <m/>
    <n v="365"/>
    <m/>
    <s v="Luka Doncic"/>
    <s v="2020 Panini Chronicles"/>
    <s v="Pink"/>
    <s v="228"/>
    <n v="1.74"/>
    <x v="3"/>
    <s v="For Sale"/>
    <n v="1"/>
    <n v="1"/>
    <n v="3"/>
    <n v="1.5"/>
  </r>
  <r>
    <x v="47"/>
    <s v="Luka Doncic #89"/>
    <s v="Basketball Cards 2024 Panini Prizm"/>
    <n v="171"/>
    <s v="Ungraded"/>
    <s v="Normal wear"/>
    <m/>
    <s v="&quot;https://www.whatnot.com/order/N3ommW2GZtgbdFUhrqPhaC_x000d__x000a_$2.33 + $0.21 (Shared Shipping) + $0.26 Tax = Total of $2.80&quot;"/>
    <n v="280"/>
    <n v="1"/>
    <d v="2026-05-12T00:00:00"/>
    <d v="2026-05-06T00:00:00"/>
    <m/>
    <n v="361"/>
    <m/>
    <s v="Luka Doncic"/>
    <s v="2024 Panini Prizm"/>
    <s v="-"/>
    <s v="89"/>
    <n v="1.71"/>
    <x v="3"/>
    <s v="For Sale"/>
    <n v="1"/>
    <n v="1"/>
    <n v="3"/>
    <n v="1.5"/>
  </r>
  <r>
    <x v="48"/>
    <s v="Luka Doncic #1"/>
    <s v="Basketball Cards 2024 Panini Revolution Hardwood Legacy"/>
    <n v="169"/>
    <s v="Ungraded"/>
    <s v="Normal wear"/>
    <m/>
    <s v="&quot;https://www.whatnot.com/order/8DwoNWn73teh8obUuAY5eP_x000d__x000a_$2.50 + $0.21 (Shared Shipping) + $0.28 Tax = Total of $2.98&quot;_x000d__x000a_"/>
    <n v="298"/>
    <n v="1"/>
    <d v="2026-05-12T00:00:00"/>
    <d v="2026-05-06T00:00:00"/>
    <m/>
    <n v="378"/>
    <m/>
    <s v="Luka Doncic"/>
    <s v="2024 Panini Revolution Hardwood Legacy"/>
    <s v="-"/>
    <s v="1"/>
    <n v="1.69"/>
    <x v="3"/>
    <s v="For Sale"/>
    <n v="1"/>
    <n v="1"/>
    <n v="4"/>
    <n v="1.5"/>
  </r>
  <r>
    <x v="49"/>
    <s v="Luka Doncic #2"/>
    <s v="Basketball Cards 2022 Panini Donruss Magicians"/>
    <n v="167"/>
    <s v="Ungraded"/>
    <s v="Normal wear"/>
    <m/>
    <s v="&quot;https://www.whatnot.com/order/N3ommW2GZtgbdFUhrqPhaC_x000d__x000a_$2.33 + $0.21 (Shared Shipping) + $0.26 Tax = Total of $2.80&quot;"/>
    <n v="280"/>
    <n v="1"/>
    <d v="2026-05-12T00:00:00"/>
    <d v="2026-05-06T00:00:00"/>
    <m/>
    <n v="362"/>
    <m/>
    <s v="Luka Doncic"/>
    <s v="2022 Panini Donruss Magicians"/>
    <s v="-"/>
    <s v="2"/>
    <n v="1.67"/>
    <x v="3"/>
    <s v="For Sale"/>
    <n v="1"/>
    <n v="1"/>
    <n v="3"/>
    <n v="1.5"/>
  </r>
  <r>
    <x v="50"/>
    <s v="Luka Doncic #300"/>
    <s v="Basketball Cards 2020 Panini Chronicles"/>
    <n v="163"/>
    <s v="Ungraded"/>
    <s v="Normal wear"/>
    <m/>
    <s v="&quot;https://www.whatnot.com/order/j5AumEDPb4dAWPPgEGjD26_x000d__x000a_$1.00 + $0.00 (Shared Shipping) + $0.10 Tax = Total of $1.10&quot;"/>
    <n v="110"/>
    <n v="1"/>
    <d v="2026-06-09T00:00:00"/>
    <d v="2026-06-08T00:00:00"/>
    <m/>
    <n v="566"/>
    <m/>
    <s v="Luka Doncic"/>
    <s v="2020 Panini Chronicles"/>
    <s v="-"/>
    <s v="300"/>
    <n v="1.63"/>
    <x v="3"/>
    <s v="For Sale"/>
    <n v="1"/>
    <n v="1"/>
    <n v="2"/>
    <n v="1"/>
  </r>
  <r>
    <x v="51"/>
    <s v="Luka Doncic #7"/>
    <s v="Basketball Cards 2021 Panini Select Numbers"/>
    <n v="160"/>
    <s v="Ungraded"/>
    <s v="Normal wear"/>
    <m/>
    <s v="&quot;https://www.whatnot.com/order/GPS2oVEvpYFQarAZqquyDW_x000d__x000a_$4.00 + $0.43 (Shared Shipping) + $0.45 Tax = Total of $4.88&quot;"/>
    <n v="488"/>
    <n v="1"/>
    <d v="2026-05-24T00:00:00"/>
    <d v="2026-05-19T00:00:00"/>
    <m/>
    <n v="384"/>
    <m/>
    <s v="Luka Doncic"/>
    <s v="2021 Panini Select Numbers"/>
    <s v="-"/>
    <s v="7"/>
    <n v="1.6"/>
    <x v="3"/>
    <s v="For Sale"/>
    <n v="1"/>
    <n v="1"/>
    <n v="6"/>
    <n v="1.5"/>
  </r>
  <r>
    <x v="52"/>
    <s v="Luka Doncic #6"/>
    <s v="Basketball Cards 2023 Panini Prizm Deep Space"/>
    <n v="160"/>
    <s v="Ungraded"/>
    <s v="Normal wear"/>
    <m/>
    <s v="&quot;https://www.whatnot.com/order/GhBCHwczCmrh6F7iQjEyTX_x000d__x000a_$1.43 + $0.29 (Shared Shipping) + $0.18 Tax = Total of $1.90&quot;"/>
    <n v="190"/>
    <n v="1"/>
    <d v="2026-05-24T00:00:00"/>
    <d v="2026-05-22T00:00:00"/>
    <m/>
    <n v="484"/>
    <m/>
    <s v="Luka Doncic"/>
    <s v="2023 Panini Prizm Deep Space"/>
    <s v="-"/>
    <s v="6"/>
    <n v="1.6"/>
    <x v="3"/>
    <s v="For Sale"/>
    <n v="1"/>
    <n v="1"/>
    <n v="2.5"/>
    <n v="1.5"/>
  </r>
  <r>
    <x v="53"/>
    <s v="Luka Doncic #1"/>
    <s v="Basketball Cards 2023 Panini Prizm Global Reach"/>
    <n v="158"/>
    <s v="Ungraded"/>
    <s v="Normal wear"/>
    <m/>
    <s v="&quot;https://www.whatnot.com/order/8DwoNWn73teh8obUuAY5eP_x000d__x000a_$2.50 + $0.21 (Shared Shipping) + $0.28 Tax = Total of $2.98&quot;_x000d__x000a_"/>
    <n v="298"/>
    <n v="1"/>
    <d v="2026-05-12T00:00:00"/>
    <d v="2026-05-06T00:00:00"/>
    <m/>
    <n v="387"/>
    <m/>
    <s v="Luka Doncic"/>
    <s v="2023 Panini Prizm Global Reach"/>
    <s v="-"/>
    <s v="1"/>
    <n v="1.58"/>
    <x v="3"/>
    <s v="For Sale"/>
    <n v="1"/>
    <n v="1"/>
    <n v="4"/>
    <n v="1.5"/>
  </r>
  <r>
    <x v="54"/>
    <s v="Luka Doncic #4"/>
    <s v="Basketball Cards 2021 Panini Donruss Optic Splash"/>
    <n v="155"/>
    <s v="Ungraded"/>
    <s v="Normal wear"/>
    <m/>
    <s v="&quot;https://www.whatnot.com/order/UfG2uFVzbc3XCQZDoAnZnQ_x000d__x000a_$4.00 + $0.45 (Shared Shipping) + $0.47 Tax = Total of $5.04&quot;"/>
    <n v="503"/>
    <n v="1"/>
    <d v="2026-05-09T00:00:00"/>
    <d v="2026-05-04T00:00:00"/>
    <m/>
    <n v="397"/>
    <m/>
    <s v="Luka Doncic"/>
    <s v="2021 Panini Donruss Optic Splash"/>
    <s v="-"/>
    <s v="4"/>
    <n v="1.55"/>
    <x v="3"/>
    <s v="For Sale"/>
    <n v="1"/>
    <n v="1"/>
    <n v="6"/>
    <n v="1.5"/>
  </r>
  <r>
    <x v="55"/>
    <s v="Luka Doncic #57"/>
    <s v="Basketball Cards 2022 Panini Contenders"/>
    <n v="150"/>
    <s v="Ungraded"/>
    <s v="Normal wear"/>
    <m/>
    <s v="&quot;https://www.whatnot.com/order/PH2i3WhAY5rePqutCdgM8c_x000d__x000a_$1.29 + $0.29 (Shared Shipping) + $0.16 Tax = Total of $1.74&quot;"/>
    <n v="174"/>
    <n v="1"/>
    <d v="2026-05-24T00:00:00"/>
    <d v="2026-05-22T00:00:00"/>
    <m/>
    <n v="421"/>
    <m/>
    <s v="Luka Doncic"/>
    <s v="2022 Panini Contenders"/>
    <s v="-"/>
    <s v="57"/>
    <n v="1.5"/>
    <x v="3"/>
    <s v="For Sale"/>
    <n v="1"/>
    <n v="1"/>
    <n v="2"/>
    <n v="1.5"/>
  </r>
  <r>
    <x v="56"/>
    <s v="Luka Doncic [Hyper Pink] #214"/>
    <s v="Basketball Cards 2024 Panini Donruss Optic"/>
    <n v="150"/>
    <s v="Ungraded"/>
    <s v="Normal wear"/>
    <m/>
    <s v="&quot;https://www.whatnot.com/order/Mqc2Uuzq8b8WstsiTribsF_x000d__x000a_$3.00 + $0.78 (Shared Shipping) + $0.39 Tax = Total of $4.17&quot;"/>
    <n v="417"/>
    <n v="1"/>
    <d v="2026-05-18T00:00:00"/>
    <d v="2026-05-17T00:00:00"/>
    <m/>
    <n v="357"/>
    <m/>
    <s v="Luka Doncic"/>
    <s v="2024 Panini Donruss Optic"/>
    <s v="Hyper Pink"/>
    <s v="214"/>
    <n v="1.5"/>
    <x v="3"/>
    <s v="For Sale"/>
    <n v="1"/>
    <n v="1"/>
    <n v="5"/>
    <n v="1.5"/>
  </r>
  <r>
    <x v="57"/>
    <s v="Luka Doncic [Purple] #62"/>
    <s v="Basketball Cards 2021 Panini Hoops"/>
    <n v="149"/>
    <s v="Ungraded"/>
    <s v="Normal wear"/>
    <m/>
    <s v="&quot;https://www.whatnot.com/order/AFcBHwTXfggkzDpK3hRwdb_x000d__x000a_$2.00 + $0.36 (Shared Shipping) + $0.24 Tax = Total of $2.61&quot;"/>
    <n v="261"/>
    <n v="1"/>
    <d v="2026-05-12T00:00:00"/>
    <d v="2026-05-12T00:00:00"/>
    <m/>
    <n v="304"/>
    <m/>
    <s v="Luka Doncic"/>
    <s v="2021 Panini Hoops"/>
    <s v="Purple"/>
    <s v="62"/>
    <n v="1.49"/>
    <x v="3"/>
    <s v="For Sale"/>
    <n v="1"/>
    <n v="1"/>
    <n v="3"/>
    <n v="1.25"/>
  </r>
  <r>
    <x v="58"/>
    <s v="Luka Doncic #8"/>
    <s v="Basketball Cards 2024 Panini Prizm Global Reach"/>
    <n v="149"/>
    <s v="Ungraded"/>
    <s v="Normal wear"/>
    <m/>
    <s v="&quot;https://www.whatnot.com/order/GhBCHwczCmrh6F7iQjEyTX_x000d__x000a_$1.43 + $0.29 (Shared Shipping) + $0.18 Tax = Total of $1.90&quot;"/>
    <n v="190"/>
    <n v="1"/>
    <d v="2026-05-24T00:00:00"/>
    <d v="2026-05-22T00:00:00"/>
    <m/>
    <n v="433"/>
    <m/>
    <s v="Luka Doncic"/>
    <s v="2024 Panini Prizm Global Reach"/>
    <s v="-"/>
    <s v="8"/>
    <n v="1.49"/>
    <x v="3"/>
    <s v="For Sale"/>
    <n v="1"/>
    <n v="1"/>
    <n v="2.5"/>
    <n v="1.25"/>
  </r>
  <r>
    <x v="59"/>
    <s v="Luka Doncic #223"/>
    <s v="Basketball Cards 2021 Panini Prizm"/>
    <n v="147"/>
    <s v="Ungraded"/>
    <s v="Normal wear"/>
    <m/>
    <s v="&quot;https://www.whatnot.com/order/8DwoNWn73teh8obUuAY5eP_x000d__x000a_$2.50 + $0.21 (Shared Shipping) + $0.28 Tax = Total of $2.98&quot;"/>
    <n v="298"/>
    <n v="1"/>
    <d v="2026-05-12T00:00:00"/>
    <d v="2026-05-06T00:00:00"/>
    <m/>
    <n v="396"/>
    <m/>
    <s v="Luka Doncic"/>
    <s v="2021 Panini Prizm"/>
    <s v="-"/>
    <s v="223"/>
    <n v="1.47"/>
    <x v="3"/>
    <s v="For Sale"/>
    <n v="1"/>
    <n v="1"/>
    <n v="4"/>
    <n v="1.25"/>
  </r>
  <r>
    <x v="60"/>
    <s v="Luka Doncic #4"/>
    <s v="Basketball Cards 2024 Panini Prizm Deep Space"/>
    <n v="144"/>
    <s v="Ungraded"/>
    <s v="Normal wear"/>
    <m/>
    <s v="&quot;https://www.whatnot.com/order/8DwoNWn73teh8obUuAY5eP_x000d__x000a_$2.50 + $0.21 (Shared Shipping) + $0.28 Tax = Total of $2.98&quot;"/>
    <n v="298"/>
    <n v="1"/>
    <d v="2026-05-12T00:00:00"/>
    <d v="2026-05-06T00:00:00"/>
    <m/>
    <n v="393"/>
    <m/>
    <s v="Luka Doncic"/>
    <s v="2024 Panini Prizm Deep Space"/>
    <s v="-"/>
    <s v="4"/>
    <n v="1.44"/>
    <x v="3"/>
    <s v="For Sale"/>
    <n v="1"/>
    <n v="1"/>
    <n v="4"/>
    <n v="1.25"/>
  </r>
  <r>
    <x v="61"/>
    <s v="Luka Doncic #115"/>
    <s v="Basketball Cards 2024 Panini NBA Hoops"/>
    <n v="142"/>
    <s v="Ungraded"/>
    <s v="Normal wear"/>
    <m/>
    <s v="&quot;https://www.whatnot.com/order/CcgKgfJ5nvryvvKXiQFRF3_x000d__x000a_$0.16 + $0.14 (Shared Shipping) + $0.03 Tax = Total of $0.33&quot;"/>
    <n v="33"/>
    <n v="1"/>
    <d v="2026-05-21T00:00:00"/>
    <d v="2026-05-14T00:00:00"/>
    <m/>
    <n v="417"/>
    <m/>
    <s v="Luka Doncic"/>
    <s v="2024 Panini NBA Hoops"/>
    <s v="-"/>
    <s v="115"/>
    <n v="1.42"/>
    <x v="3"/>
    <s v="For Sale"/>
    <n v="2"/>
    <n v="1"/>
    <n v="1.5"/>
    <n v="0.25"/>
  </r>
  <r>
    <x v="61"/>
    <s v="Luka Doncic #115"/>
    <s v="Basketball Cards 2024 Panini NBA Hoops"/>
    <n v="142"/>
    <s v="Ungraded"/>
    <s v="Normal wear"/>
    <m/>
    <s v="&quot;https://www.whatnot.com/order/GhBCHwczCmrh6F7iQjEyTX_x000d__x000a_$1.43 + $0.29 (Shared Shipping) + $0.18 Tax = Total of $1.90&quot;"/>
    <n v="190"/>
    <n v="1"/>
    <d v="2026-05-24T00:00:00"/>
    <d v="2026-05-22T00:00:00"/>
    <m/>
    <n v="422"/>
    <m/>
    <s v="Luka Doncic"/>
    <s v="2024 Panini NBA Hoops"/>
    <s v="-"/>
    <s v="115"/>
    <n v="1.42"/>
    <x v="3"/>
    <s v="For Sale"/>
    <n v="2"/>
    <n v="1"/>
    <n v="2.5"/>
    <n v="1"/>
  </r>
  <r>
    <x v="62"/>
    <s v="Luka Doncic #82"/>
    <s v="Basketball Cards 2024 Panini Donruss"/>
    <n v="140"/>
    <s v="Ungraded"/>
    <s v="Normal wear"/>
    <m/>
    <s v="&quot;whatnot.com/order/CcgKgfJ5nvryvvKXiQFRF3_x000d__x000a_$0.17 + $0.14 (Shared Shipping) + $0.03 Tax = Total of $0.34&quot;"/>
    <n v="34"/>
    <n v="1"/>
    <d v="2026-06-10T00:00:00"/>
    <d v="2026-05-14T00:00:00"/>
    <m/>
    <n v="416"/>
    <m/>
    <s v="Luka Doncic"/>
    <s v="2024 Panini Donruss"/>
    <s v="-"/>
    <s v="82"/>
    <n v="1.4"/>
    <x v="3"/>
    <s v="For Sale"/>
    <n v="3"/>
    <n v="1"/>
    <n v="1.5"/>
    <n v="0.25"/>
  </r>
  <r>
    <x v="62"/>
    <s v="Luka Doncic #82"/>
    <s v="Basketball Cards 2024 Panini Donruss"/>
    <n v="140"/>
    <s v="Ungraded"/>
    <s v="Normal wear"/>
    <m/>
    <s v="&quot;whatnot.com/order/CcgKgfJ5nvryvvKXiQFRF3_x000d__x000a_$0.17 + $0.14 (Shared Shipping) + $0.03 Tax = Total of $0.34&quot;"/>
    <n v="34"/>
    <n v="1"/>
    <d v="2026-06-10T00:00:00"/>
    <d v="2026-05-14T00:00:00"/>
    <m/>
    <n v="418"/>
    <m/>
    <s v="Luka Doncic"/>
    <s v="2024 Panini Donruss"/>
    <s v="-"/>
    <s v="82"/>
    <n v="1.4"/>
    <x v="3"/>
    <s v="For Sale"/>
    <n v="3"/>
    <n v="1"/>
    <n v="1.5"/>
    <n v="0.25"/>
  </r>
  <r>
    <x v="62"/>
    <s v="Luka Doncic #82"/>
    <s v="Basketball Cards 2024 Panini Donruss"/>
    <n v="140"/>
    <s v="Ungraded"/>
    <s v="Normal wear"/>
    <m/>
    <s v="&quot;whatnot.com/order/CcgKgfJ5nvryvvKXiQFRF3_x000d__x000a_$0.17 + $0.14 (Shared Shipping) + $0.03 Tax = Total of $0.34&quot;"/>
    <n v="34"/>
    <n v="1"/>
    <d v="2026-06-10T00:00:00"/>
    <d v="2026-05-14T00:00:00"/>
    <m/>
    <n v="423"/>
    <m/>
    <s v="Luka Doncic"/>
    <s v="2024 Panini Donruss"/>
    <s v="-"/>
    <s v="82"/>
    <n v="1.4"/>
    <x v="3"/>
    <s v="For Sale"/>
    <n v="3"/>
    <n v="1"/>
    <n v="1.5"/>
    <n v="0.25"/>
  </r>
  <r>
    <x v="63"/>
    <s v="Luka Doncic #12"/>
    <s v="Basketball Cards 2024 Panini Prizm Dominance"/>
    <n v="139"/>
    <s v="Ungraded"/>
    <s v="Normal wear"/>
    <m/>
    <s v="&quot;whatnot.com/order/YAUQiahE9jPotBCmxaNkUS_x000d__x000a_$3.00 + $1.36 (Shared Shipping) + $0.45 Tax = Total of $4.81&quot;"/>
    <n v="481"/>
    <n v="1"/>
    <d v="2026-05-17T00:00:00"/>
    <d v="2026-05-15T00:00:00"/>
    <m/>
    <n v="454"/>
    <m/>
    <s v="Luka Doncic"/>
    <s v="2024 Panini Prizm Dominance"/>
    <s v="-"/>
    <s v="12"/>
    <n v="1.39"/>
    <x v="3"/>
    <s v="For Sale"/>
    <n v="2"/>
    <n v="1"/>
    <n v="6"/>
    <n v="1"/>
  </r>
  <r>
    <x v="63"/>
    <s v="Luka Doncic #12"/>
    <s v="Basketball Cards 2024 Panini Prizm Dominance"/>
    <n v="139"/>
    <s v="Ungraded"/>
    <s v="Normal wear"/>
    <m/>
    <s v="&quot;whatnot.com/order/5X36yCiHaJsMeN64D6uPLA_x000d__x000a_$1.50 + $2.28 (Shared Shipping) + $0.39 Tax = Total of $4.16&quot;"/>
    <n v="416"/>
    <n v="1"/>
    <d v="2026-06-10T00:00:00"/>
    <d v="2026-05-16T00:00:00"/>
    <m/>
    <n v="456"/>
    <m/>
    <s v="Luka Doncic"/>
    <s v="2024 Panini Prizm Dominance"/>
    <s v="-"/>
    <s v="12"/>
    <n v="1.39"/>
    <x v="3"/>
    <s v="For Sale"/>
    <n v="2"/>
    <n v="1"/>
    <n v="5"/>
    <n v="1"/>
  </r>
  <r>
    <x v="64"/>
    <s v="Luka Doncic #3"/>
    <s v="Basketball Cards 2023 Panini Select Thunder Lane"/>
    <n v="135"/>
    <s v="Ungraded"/>
    <s v="Normal wear"/>
    <m/>
    <s v="&quot;https://www.whatnot.com/order/8DwoNWn73teh8obUuAY5eP_x000d__x000a_$2.50 + $0.21 (Shared Shipping) + $0.28 Tax = Total of $2.98&quot;_x000d__x000a_"/>
    <n v="298"/>
    <n v="1"/>
    <d v="2026-05-12T00:00:00"/>
    <d v="2026-05-06T00:00:00"/>
    <m/>
    <n v="323"/>
    <m/>
    <s v="Luka Doncic"/>
    <s v="2023 Panini Select Thunder Lane"/>
    <s v="-"/>
    <s v="3"/>
    <n v="1.35"/>
    <x v="3"/>
    <s v="For Sale"/>
    <n v="1"/>
    <n v="1"/>
    <n v="4"/>
    <n v="1.25"/>
  </r>
  <r>
    <x v="65"/>
    <s v="Luka Doncic #304"/>
    <s v="Basketball Cards 2021 Panini Chronicles"/>
    <n v="130"/>
    <s v="Ungraded"/>
    <s v="Normal wear"/>
    <m/>
    <s v="https://www.whatnot.com/order/gS3Pko5Lnk9cRAzYzXbJeF_x000d__x000a_$3.00 + $0.36 (Shared Shipping) + $0.34 Tax = Total of $3.71"/>
    <n v="371"/>
    <n v="1"/>
    <d v="2026-05-08T00:00:00"/>
    <d v="2026-05-03T00:00:00"/>
    <m/>
    <n v="474"/>
    <m/>
    <s v="Luka Doncic"/>
    <s v="2021 Panini Chronicles"/>
    <s v="-"/>
    <s v="304"/>
    <n v="1.3"/>
    <x v="3"/>
    <s v="For Sale"/>
    <n v="1"/>
    <n v="1"/>
    <n v="4"/>
    <n v="1.25"/>
  </r>
  <r>
    <x v="66"/>
    <s v="Luka Doncic #8"/>
    <s v="Basketball Cards 2022 Panini Hoops Skyview"/>
    <n v="130"/>
    <s v="Ungraded"/>
    <s v="Normal wear"/>
    <m/>
    <s v="&quot;https://www.whatnot.com/order/PH2i3WhAY5rePqutCdgM8c_x000d__x000a_$1.29 + $0.29 (Shared Shipping) + $0.16 Tax = Total of $1.74&quot;"/>
    <n v="174"/>
    <n v="1"/>
    <d v="2026-05-24T00:00:00"/>
    <d v="2026-05-22T00:00:00"/>
    <m/>
    <n v="469"/>
    <m/>
    <s v="Luka Doncic"/>
    <s v="2022 Panini Hoops Skyview"/>
    <s v="-"/>
    <s v="8"/>
    <n v="1.3"/>
    <x v="3"/>
    <s v="For Sale"/>
    <n v="1"/>
    <n v="1"/>
    <n v="2"/>
    <n v="1.25"/>
  </r>
  <r>
    <x v="67"/>
    <s v="Luka Doncic #281"/>
    <s v="Basketball Cards 2024 Panini NBA Hoops"/>
    <n v="129"/>
    <s v="Ungraded"/>
    <s v="Normal wear"/>
    <m/>
    <s v="&quot;https://www.whatnot.com/order/GhBCHwczCmrh6F7iQjEyTX_x000d__x000a_$1.43 + $0.29 (Shared Shipping) + $0.18 Tax = Total of $1.90&quot;"/>
    <n v="190"/>
    <n v="1"/>
    <d v="2026-05-24T00:00:00"/>
    <d v="2026-05-22T00:00:00"/>
    <m/>
    <n v="460"/>
    <m/>
    <s v="Luka Doncic"/>
    <s v="2024 Panini NBA Hoops"/>
    <s v="-"/>
    <s v="281"/>
    <n v="1.29"/>
    <x v="3"/>
    <s v="For Sale"/>
    <n v="1"/>
    <n v="1"/>
    <n v="2.5"/>
    <n v="1.25"/>
  </r>
  <r>
    <x v="68"/>
    <s v="Luka Doncic [Blue Prizm] #12"/>
    <s v="Basketball Cards 2021 Panini Select"/>
    <n v="127"/>
    <s v="Ungraded"/>
    <s v="Normal wear"/>
    <m/>
    <s v="&quot;https://www.whatnot.com/order/A2VyUVWvtd6f5zu7wQpMgK_x000d__x000a_$4.00 + $0.45 (Shared Shipping) + $0.47 Tax = Total of $5.04&quot;"/>
    <n v="504"/>
    <n v="1"/>
    <d v="2026-05-09T00:00:00"/>
    <d v="2026-05-04T00:00:00"/>
    <m/>
    <n v="411"/>
    <m/>
    <s v="Luka Doncic"/>
    <s v="2021 Panini Select"/>
    <s v="Blue Prizm"/>
    <s v="12"/>
    <n v="1.27"/>
    <x v="3"/>
    <s v="For Sale"/>
    <n v="1"/>
    <n v="1"/>
    <n v="6"/>
    <n v="1.25"/>
  </r>
  <r>
    <x v="69"/>
    <s v="Luka Doncic #3"/>
    <s v="Basketball Cards 2023 Panini Donruss Bomb Squad"/>
    <n v="123"/>
    <s v="Ungraded"/>
    <s v="Normal wear"/>
    <m/>
    <s v="&quot;https://www.whatnot.com/order/m7u6JPnkRPdg3KPtvFYypQ_x000d__x000a_$1.00 + $0.36 (Shared Shipping) + $0.14 Tax = Total of $1.50&quot;"/>
    <n v="150"/>
    <n v="1"/>
    <d v="2026-05-15T00:00:00"/>
    <d v="2026-05-14T00:00:00"/>
    <m/>
    <n v="498"/>
    <m/>
    <s v="Luka Doncic"/>
    <s v="2023 Panini Donruss Bomb Squad"/>
    <s v="-"/>
    <s v="3"/>
    <n v="1.23"/>
    <x v="3"/>
    <s v="For Sale"/>
    <n v="1"/>
    <n v="1"/>
    <n v="2"/>
    <n v="1"/>
  </r>
  <r>
    <x v="70"/>
    <s v="Luka Doncic #141"/>
    <s v="Basketball Cards 2023 Panini Donruss"/>
    <n v="121"/>
    <s v="Ungraded"/>
    <s v="Normal wear"/>
    <m/>
    <s v="&quot;https://www.whatnot.com/order/N3ommW2GZtgbdFUhrqPhaC_x000d__x000a_$2.33 + $0.21 (Shared Shipping) + $0.26 Tax = Total of $2.80&quot;_x000d__x000a_"/>
    <n v="280"/>
    <n v="1"/>
    <d v="2026-05-12T00:00:00"/>
    <d v="2026-05-06T00:00:00"/>
    <m/>
    <n v="436"/>
    <m/>
    <s v="Luka Doncic"/>
    <s v="2023 Panini Donruss"/>
    <s v="-"/>
    <s v="141"/>
    <n v="1.21"/>
    <x v="3"/>
    <s v="For Sale"/>
    <n v="1"/>
    <n v="1"/>
    <n v="3"/>
    <n v="1"/>
  </r>
  <r>
    <x v="71"/>
    <s v="Luka Doncic #51"/>
    <s v="Basketball Cards 2022 Panini Select"/>
    <n v="113"/>
    <s v="Ungraded"/>
    <s v="Normal wear"/>
    <m/>
    <s v="&quot;https://www.whatnot.com/order/GhBCHwczCmrh6F7iQjEyTX_x000d__x000a_$1.43 + $0.29 (Shared Shipping) + $0.18 Tax = Total of $1.90&quot;"/>
    <n v="190"/>
    <n v="1"/>
    <d v="2026-05-24T00:00:00"/>
    <d v="2026-05-22T00:00:00"/>
    <m/>
    <n v="516"/>
    <m/>
    <s v="Luka Doncic"/>
    <s v="2022 Panini Select"/>
    <s v="-"/>
    <s v="51"/>
    <n v="1.1299999999999999"/>
    <x v="3"/>
    <s v="For Sale"/>
    <n v="1"/>
    <n v="1"/>
    <n v="2.5"/>
    <n v="1"/>
  </r>
  <r>
    <x v="72"/>
    <s v="Luka Doncic #3"/>
    <s v="Basketball Cards 2024 Panini NBA Hoops Frequent Flyers"/>
    <n v="102"/>
    <s v="Ungraded"/>
    <s v="Normal wear"/>
    <m/>
    <s v="&quot;https://www.whatnot.com/order/N3ommW2GZtgbdFUhrqPhaC_x000d__x000a_$2.33 + $0.21 (Shared Shipping) + $0.26 Tax = Total of $2.80&quot;_x000d__x000a_"/>
    <n v="280"/>
    <n v="1"/>
    <d v="2026-05-12T00:00:00"/>
    <d v="2026-05-06T00:00:00"/>
    <m/>
    <n v="515"/>
    <m/>
    <s v="Luka Doncic"/>
    <s v="2024 Panini NBA Hoops Frequent Flyers"/>
    <s v="-"/>
    <s v="3"/>
    <n v="1.02"/>
    <x v="3"/>
    <s v="For Sale"/>
    <n v="1"/>
    <n v="1"/>
    <n v="3"/>
    <n v="1"/>
  </r>
  <r>
    <x v="73"/>
    <s v="Luka Doncic #13"/>
    <s v="Basketball Cards 2024 Panini Revolution"/>
    <n v="100"/>
    <s v="Ungraded"/>
    <s v="Normal wear"/>
    <m/>
    <s v="&quot;https://www.whatnot.com/order/RBy2pvRpcvEutM74HSJXng_x000d__x000a_$1.00 + $0.55 (Shared Shipping) + $0.16 Tax = Total of $1.70&quot;"/>
    <n v="170"/>
    <n v="1"/>
    <d v="2026-05-15T00:00:00"/>
    <d v="2026-05-10T00:00:00"/>
    <m/>
    <n v="542"/>
    <m/>
    <s v="Luka Doncic"/>
    <s v="2024 Panini Revolution"/>
    <s v="-"/>
    <s v="13"/>
    <n v="1"/>
    <x v="3"/>
    <s v="For Sale"/>
    <n v="1"/>
    <n v="1"/>
    <n v="2"/>
    <n v="1"/>
  </r>
  <r>
    <x v="74"/>
    <s v="Luka Doncic [Blue Retail] #15"/>
    <s v="Basketball Cards 2020 Panini Select"/>
    <n v="99"/>
    <s v="Ungraded"/>
    <s v="Normal wear"/>
    <m/>
    <s v="&quot;https://www.whatnot.com/order/PH2i3WhAY5rePqutCdgM8c_x000d__x000a_$1.29 + $0.29 (Shared Shipping) + $0.16 Tax = Total of $1.74&quot;"/>
    <n v="174"/>
    <n v="1"/>
    <d v="2026-05-24T00:00:00"/>
    <d v="2026-05-22T00:00:00"/>
    <m/>
    <n v="559"/>
    <m/>
    <s v="Luka Doncic"/>
    <s v="2020 Panini Select"/>
    <s v="Blue Retail"/>
    <s v="15"/>
    <n v="0.99"/>
    <x v="3"/>
    <s v="For Sale"/>
    <n v="1"/>
    <n v="1"/>
    <n v="2"/>
    <n v="0.75"/>
  </r>
  <r>
    <x v="75"/>
    <s v="Luka Doncic #151"/>
    <s v="Basketball Cards 2022 Panini Select"/>
    <n v="62"/>
    <s v="Ungraded"/>
    <s v="Normal wear"/>
    <m/>
    <s v="&quot;https://www.whatnot.com/order/hQVu9JLwFefwSJcu3QwY6E_x000d__x000a_$4.00 + $0.45 (Shared Shipping) + $0.47 Tax = Total of $5.04&quot;"/>
    <n v="504"/>
    <n v="1"/>
    <d v="2026-05-09T00:00:00"/>
    <d v="2026-05-04T00:00:00"/>
    <m/>
    <n v="584"/>
    <m/>
    <s v="Luka Doncic"/>
    <s v="2022 Panini Select"/>
    <s v="-"/>
    <s v="151"/>
    <n v="0.62"/>
    <x v="3"/>
    <s v="For Sale"/>
    <n v="1"/>
    <n v="1"/>
    <n v="6"/>
    <n v="0.5"/>
  </r>
  <r>
    <x v="76"/>
    <s v="Luka Doncic #554"/>
    <s v="Basketball Cards 2020 Panini Chronicles Hometown Heroes Rookie Autographs"/>
    <n v="0"/>
    <s v="Ungraded"/>
    <s v="Normal wear"/>
    <m/>
    <s v="&quot;https://www.whatnot.com/order/N3ommW2GZtgbdFUhrqPhaC_x000d__x000a_$2.33 + $0.21 (Shared Shipping) + $0.26 Tax = Total of $2.80&quot;"/>
    <n v="280"/>
    <n v="1"/>
    <d v="2026-05-12T00:00:00"/>
    <d v="2026-05-06T00:00:00"/>
    <m/>
    <n v="599"/>
    <m/>
    <s v="Luka Doncic"/>
    <s v="2020 Panini Chronicles Hometown Heroes Rookie Autographs"/>
    <s v="-"/>
    <s v="554"/>
    <n v="0"/>
    <x v="3"/>
    <s v="For Sale"/>
    <n v="1"/>
    <n v="1"/>
    <n v="3"/>
    <n v="0.25"/>
  </r>
  <r>
    <x v="77"/>
    <s v="Mac McClung [Red] #DP-MMC"/>
    <s v="Basketball Cards 2021 Panini Prizm Draft Picks Autographs"/>
    <n v="2063"/>
    <s v="Ungraded"/>
    <s v="Normal wear"/>
    <m/>
    <s v="https://www.ebay.com/itm/298388905739_x000d__x000a_$28.00 + $8.60 (Shared Shipping) + $3.75 Tax = Total of $40.35"/>
    <n v="4035"/>
    <n v="1"/>
    <d v="2026-06-09T00:00:00"/>
    <d v="2026-06-09T00:00:00"/>
    <m/>
    <n v="22"/>
    <m/>
    <s v="Mac McClung"/>
    <s v="2021 Panini Prizm Draft Picks Autographs"/>
    <s v="Red"/>
    <s v="DP-MMC"/>
    <n v="20.63"/>
    <x v="4"/>
    <s v="For Sale"/>
    <n v="1"/>
    <n v="1"/>
    <n v="48"/>
    <n v="21"/>
  </r>
  <r>
    <x v="78"/>
    <s v="Mac McClung #39"/>
    <s v="Basketball Cards 2021 Panini Prizm Draft Picks"/>
    <n v="149"/>
    <s v="Ungraded"/>
    <s v="Normal wear"/>
    <m/>
    <s v="&quot;https://www.whatnot.com/order/4zv9Y8T8uHjVEzhSWdVnjf_x000d__x000a_$4.00 + $0.00 (Shared Shipping) + $0.41 Tax = Total of $4.41&quot;"/>
    <n v="441"/>
    <n v="1"/>
    <d v="2026-06-09T00:00:00"/>
    <d v="2026-06-08T00:00:00"/>
    <m/>
    <n v="429"/>
    <m/>
    <s v="Mac McClung"/>
    <s v="2021 Panini Prizm Draft Picks"/>
    <s v="-"/>
    <s v="39"/>
    <n v="1.49"/>
    <x v="4"/>
    <s v="For Sale"/>
    <n v="1"/>
    <n v="1"/>
    <n v="5"/>
    <n v="1.25"/>
  </r>
  <r>
    <x v="79"/>
    <s v="Michael Jordan #23"/>
    <s v="Basketball Cards 1997 Metal Universe"/>
    <n v="28311"/>
    <s v="Ungraded"/>
    <s v="Normal wear"/>
    <m/>
    <m/>
    <n v="500"/>
    <n v="1"/>
    <d v="2026-06-10T00:00:00"/>
    <m/>
    <m/>
    <n v="1"/>
    <m/>
    <s v="Michael Jordan"/>
    <s v="1997 Metal Universe"/>
    <s v="-"/>
    <s v="23"/>
    <n v="283.11"/>
    <x v="5"/>
    <s v="Keep"/>
    <n v="0"/>
    <n v="1"/>
    <n v="340"/>
    <n v="5"/>
  </r>
  <r>
    <x v="80"/>
    <s v="Michael Jordan #11"/>
    <s v="Basketball Cards 1996 Fleer Metal"/>
    <n v="5000"/>
    <s v="Ungraded"/>
    <s v="Normal wear"/>
    <m/>
    <m/>
    <n v="500"/>
    <n v="1"/>
    <d v="2026-06-24T00:00:00"/>
    <m/>
    <m/>
    <n v="11"/>
    <m/>
    <s v="Michael Jordan"/>
    <s v="1996 Fleer Metal"/>
    <s v="-"/>
    <s v="11"/>
    <n v="50"/>
    <x v="5"/>
    <s v="Keep"/>
    <n v="1"/>
    <n v="1"/>
    <n v="60"/>
    <n v="5"/>
  </r>
  <r>
    <x v="80"/>
    <s v="Michael Jordan #11"/>
    <s v="Basketball Cards 1996 Fleer Metal"/>
    <n v="5000"/>
    <s v="Ungraded"/>
    <s v="Normal wear"/>
    <m/>
    <m/>
    <n v="500"/>
    <n v="1"/>
    <d v="2026-06-10T00:00:00"/>
    <m/>
    <m/>
    <n v="3"/>
    <m/>
    <s v="Michael Jordan"/>
    <s v="1996 Fleer Metal"/>
    <s v="-"/>
    <s v="11"/>
    <n v="50"/>
    <x v="5"/>
    <s v="For Sale"/>
    <n v="1"/>
    <n v="1"/>
    <n v="60"/>
    <n v="5"/>
  </r>
  <r>
    <x v="81"/>
    <s v="Michael Jordan #241"/>
    <s v="Basketball Cards 1996 Fleer Metal"/>
    <n v="3049"/>
    <s v="Ungraded"/>
    <s v="Normal wear"/>
    <m/>
    <m/>
    <n v="250"/>
    <n v="1"/>
    <d v="2026-04-17T00:00:00"/>
    <m/>
    <m/>
    <n v="7"/>
    <m/>
    <s v="Michael Jordan"/>
    <s v="1996 Fleer Metal"/>
    <s v="-"/>
    <s v="241"/>
    <n v="30.49"/>
    <x v="5"/>
    <s v="For Sale"/>
    <n v="1"/>
    <n v="1"/>
    <n v="37"/>
    <n v="3"/>
  </r>
  <r>
    <x v="82"/>
    <s v="Michael Jordan #100"/>
    <s v="Basketball Cards 1994 E Motion"/>
    <n v="2970"/>
    <s v="Ungraded"/>
    <s v="Normal wear"/>
    <m/>
    <s v="&quot;ebay.com/itm/298423082887_x000d__x000a_$20.00 + $5.48 (Shared Shipping) + $2.61 Tax = Total of $28.09&quot;"/>
    <n v="2809"/>
    <n v="1"/>
    <d v="2026-06-22T00:00:00"/>
    <d v="2026-06-21T00:00:00"/>
    <m/>
    <n v="8"/>
    <m/>
    <s v="Michael Jordan"/>
    <s v="1994 E Motion"/>
    <s v="-"/>
    <s v="100"/>
    <n v="29.7"/>
    <x v="5"/>
    <s v="Keep"/>
    <n v="0"/>
    <n v="1"/>
    <n v="36"/>
    <n v="28"/>
  </r>
  <r>
    <x v="83"/>
    <s v="Michael Jordan #T59"/>
    <s v="Basketball Cards 1997 Upper Deck Teammates"/>
    <n v="2152"/>
    <s v="Ungraded"/>
    <s v="Normal wear"/>
    <m/>
    <m/>
    <n v="0"/>
    <n v="1"/>
    <d v="2026-04-15T00:00:00"/>
    <m/>
    <m/>
    <n v="10"/>
    <m/>
    <s v="Michael Jordan"/>
    <s v="1997 Upper Deck Teammates"/>
    <s v="-"/>
    <s v="T59"/>
    <n v="21.52"/>
    <x v="5"/>
    <s v="For Sale"/>
    <n v="1"/>
    <n v="1"/>
    <n v="26"/>
    <n v="22"/>
  </r>
  <r>
    <x v="84"/>
    <s v="Michael Jordan #SP1"/>
    <s v="Baseball Cards 1991 Upper Deck"/>
    <n v="2034"/>
    <s v="Ungraded"/>
    <s v="Normal wear"/>
    <m/>
    <m/>
    <n v="0"/>
    <n v="1"/>
    <d v="2026-04-17T00:00:00"/>
    <m/>
    <m/>
    <n v="9"/>
    <m/>
    <s v="Michael Jordan"/>
    <s v="1991 Upper Deck"/>
    <s v="-"/>
    <s v="SP1"/>
    <n v="20.34"/>
    <x v="5"/>
    <s v="For Sale"/>
    <n v="1"/>
    <n v="1"/>
    <n v="24"/>
    <n v="20"/>
  </r>
  <r>
    <x v="85"/>
    <s v="Michael Jordan #16"/>
    <s v="Basketball Cards 1996 Skybox Premium"/>
    <n v="1573"/>
    <s v="Ungraded"/>
    <s v="Normal wear"/>
    <m/>
    <m/>
    <n v="0"/>
    <n v="1"/>
    <d v="2026-06-10T00:00:00"/>
    <m/>
    <m/>
    <n v="17"/>
    <m/>
    <s v="Michael Jordan"/>
    <s v="1996 Skybox Premium"/>
    <s v="-"/>
    <s v="16"/>
    <n v="15.73"/>
    <x v="5"/>
    <s v="For Sale"/>
    <n v="2"/>
    <n v="1"/>
    <n v="19"/>
    <n v="13"/>
  </r>
  <r>
    <x v="85"/>
    <s v="Michael Jordan #16"/>
    <s v="Basketball Cards 1996 Skybox Premium"/>
    <n v="1573"/>
    <s v="Ungraded"/>
    <s v="Normal wear"/>
    <m/>
    <m/>
    <n v="0"/>
    <n v="1"/>
    <d v="2026-04-16T00:00:00"/>
    <d v="2026-04-16T00:00:00"/>
    <m/>
    <n v="18"/>
    <m/>
    <s v="Michael Jordan"/>
    <s v="1996 Skybox Premium"/>
    <s v="-"/>
    <s v="16"/>
    <n v="15.73"/>
    <x v="5"/>
    <s v="For Sale"/>
    <n v="2"/>
    <n v="1"/>
    <n v="19"/>
    <n v="13"/>
  </r>
  <r>
    <x v="86"/>
    <s v="Michael Jordan #M25"/>
    <s v="Basketball Cards 1998 Upper Deck MJ23"/>
    <n v="795"/>
    <s v="Ungraded"/>
    <s v="Normal wear"/>
    <m/>
    <m/>
    <n v="0"/>
    <n v="1"/>
    <d v="2026-05-30T00:00:00"/>
    <m/>
    <m/>
    <n v="37"/>
    <m/>
    <s v="Michael Jordan"/>
    <s v="1998 Upper Deck MJ23"/>
    <s v="-"/>
    <s v="M25"/>
    <n v="7.95"/>
    <x v="5"/>
    <s v="For Sale"/>
    <n v="1"/>
    <n v="1"/>
    <n v="10"/>
    <n v="8"/>
  </r>
  <r>
    <x v="87"/>
    <s v="Michael Jordan #39"/>
    <s v="Basketball Cards 1991 Skybox"/>
    <n v="507"/>
    <s v="Ungraded"/>
    <s v="Normal wear"/>
    <m/>
    <m/>
    <n v="0"/>
    <n v="1"/>
    <d v="2026-04-15T00:00:00"/>
    <m/>
    <m/>
    <n v="111"/>
    <m/>
    <s v="Michael Jordan"/>
    <s v="1991 Skybox"/>
    <s v="-"/>
    <s v="39"/>
    <n v="5.07"/>
    <x v="5"/>
    <s v="For Sale"/>
    <n v="1"/>
    <n v="1"/>
    <n v="6"/>
    <n v="5"/>
  </r>
  <r>
    <x v="88"/>
    <s v="Michael Jordan #16"/>
    <s v="Basketball Cards 1996 Upper Deck"/>
    <n v="399"/>
    <s v="Ungraded"/>
    <s v="Normal wear"/>
    <m/>
    <m/>
    <n v="0"/>
    <n v="1"/>
    <d v="2026-04-15T00:00:00"/>
    <m/>
    <m/>
    <n v="163"/>
    <m/>
    <s v="Michael Jordan"/>
    <s v="1996 Upper Deck"/>
    <s v="-"/>
    <s v="16"/>
    <n v="3.99"/>
    <x v="5"/>
    <s v="For Sale"/>
    <n v="1"/>
    <n v="1"/>
    <n v="5"/>
    <n v="4"/>
  </r>
  <r>
    <x v="89"/>
    <s v="Michael Jordan #CA10"/>
    <s v="Basketball Cards 1996 Collector's Choice Jordan Cut Above"/>
    <n v="398"/>
    <s v="Ungraded"/>
    <s v="Normal wear"/>
    <m/>
    <m/>
    <n v="0"/>
    <n v="1"/>
    <d v="2026-04-17T00:00:00"/>
    <m/>
    <m/>
    <n v="161"/>
    <m/>
    <s v="Michael Jordan"/>
    <s v="1996 Collector's Choice Jordan Cut Above"/>
    <s v="-"/>
    <s v="CA10"/>
    <n v="3.98"/>
    <x v="5"/>
    <s v="For Sale"/>
    <n v="1"/>
    <n v="1"/>
    <n v="5"/>
    <n v="4"/>
  </r>
  <r>
    <x v="90"/>
    <s v="Michael Jordan #CA9"/>
    <s v="Basketball Cards 1996 Collector's Choice Jordan Cut Above"/>
    <n v="397"/>
    <s v="Ungraded"/>
    <s v="Normal wear"/>
    <m/>
    <m/>
    <n v="0"/>
    <n v="1"/>
    <d v="2026-04-17T00:00:00"/>
    <m/>
    <m/>
    <n v="147"/>
    <m/>
    <s v="Michael Jordan"/>
    <s v="1996 Collector's Choice Jordan Cut Above"/>
    <s v="-"/>
    <s v="CA9"/>
    <n v="3.97"/>
    <x v="5"/>
    <s v="For Sale"/>
    <n v="1"/>
    <n v="1"/>
    <n v="5"/>
    <n v="4"/>
  </r>
  <r>
    <x v="91"/>
    <s v="Michael Jordan #AT3"/>
    <s v="Basketball Cards 1997 Upper Deck Jordan Air Time"/>
    <n v="392"/>
    <s v="Ungraded"/>
    <s v="Normal wear"/>
    <m/>
    <m/>
    <n v="0"/>
    <n v="1"/>
    <d v="2026-04-15T00:00:00"/>
    <m/>
    <m/>
    <n v="135"/>
    <m/>
    <s v="Michael Jordan"/>
    <s v="1997 Upper Deck Jordan Air Time"/>
    <s v="-"/>
    <s v="AT3"/>
    <n v="3.92"/>
    <x v="5"/>
    <s v="For Sale"/>
    <n v="1"/>
    <n v="1"/>
    <n v="5"/>
    <n v="4"/>
  </r>
  <r>
    <x v="92"/>
    <s v="Michael Jordan #AT5"/>
    <s v="Basketball Cards 1997 Upper Deck Jordan Air Time"/>
    <n v="376"/>
    <s v="Ungraded"/>
    <s v="Normal wear"/>
    <m/>
    <m/>
    <n v="0"/>
    <n v="1"/>
    <d v="2026-05-07T00:00:00"/>
    <m/>
    <m/>
    <n v="144"/>
    <m/>
    <s v="Michael Jordan"/>
    <s v="1997 Upper Deck Jordan Air Time"/>
    <s v="-"/>
    <s v="AT5"/>
    <n v="3.76"/>
    <x v="5"/>
    <s v="For Sale"/>
    <n v="1"/>
    <n v="1"/>
    <n v="5"/>
    <n v="4"/>
  </r>
  <r>
    <x v="93"/>
    <s v="Michael Jordan #137"/>
    <s v="Basketball Cards 1995 Upper Deck"/>
    <n v="350"/>
    <s v="Ungraded"/>
    <s v="Normal wear"/>
    <m/>
    <m/>
    <n v="0"/>
    <n v="1"/>
    <d v="2026-04-17T00:00:00"/>
    <m/>
    <m/>
    <n v="172"/>
    <m/>
    <s v="Michael Jordan"/>
    <s v="1995 Upper Deck"/>
    <s v="-"/>
    <s v="137"/>
    <n v="3.5"/>
    <x v="5"/>
    <s v="For Sale"/>
    <n v="1"/>
    <n v="1"/>
    <n v="4"/>
    <n v="4"/>
  </r>
  <r>
    <x v="94"/>
    <s v="Michael Jordan #23"/>
    <s v="Basketball Cards 1995 Upper Deck"/>
    <n v="330"/>
    <s v="Ungraded"/>
    <s v="Normal wear"/>
    <m/>
    <m/>
    <n v="0"/>
    <n v="1"/>
    <d v="2026-06-10T00:00:00"/>
    <m/>
    <m/>
    <n v="167"/>
    <m/>
    <s v="Michael Jordan"/>
    <s v="1995 Upper Deck"/>
    <s v="-"/>
    <s v="23"/>
    <n v="3.3"/>
    <x v="5"/>
    <s v="For Sale"/>
    <n v="2"/>
    <n v="1"/>
    <n v="4"/>
    <n v="3"/>
  </r>
  <r>
    <x v="94"/>
    <s v="Michael Jordan #23"/>
    <s v="Basketball Cards 1995 Upper Deck"/>
    <n v="330"/>
    <s v="Ungraded"/>
    <s v="Normal wear"/>
    <m/>
    <m/>
    <n v="0"/>
    <n v="1"/>
    <d v="2026-04-15T00:00:00"/>
    <m/>
    <m/>
    <n v="168"/>
    <m/>
    <s v="Michael Jordan"/>
    <s v="1995 Upper Deck"/>
    <s v="-"/>
    <s v="23"/>
    <n v="3.3"/>
    <x v="5"/>
    <s v="For Sale"/>
    <n v="2"/>
    <n v="1"/>
    <n v="4"/>
    <n v="3"/>
  </r>
  <r>
    <x v="95"/>
    <s v="Michael Jordan #CA1"/>
    <s v="Basketball Cards 1996 Collector's Choice Jordan Cut Above"/>
    <n v="319"/>
    <s v="Ungraded"/>
    <s v="Normal wear"/>
    <m/>
    <m/>
    <n v="0"/>
    <n v="1"/>
    <d v="2026-04-17T00:00:00"/>
    <m/>
    <m/>
    <n v="166"/>
    <m/>
    <s v="Michael Jordan"/>
    <s v="1996 Collector's Choice Jordan Cut Above"/>
    <s v="-"/>
    <s v="CA1"/>
    <n v="3.19"/>
    <x v="5"/>
    <s v="For Sale"/>
    <n v="1"/>
    <n v="1"/>
    <n v="4"/>
    <n v="3"/>
  </r>
  <r>
    <x v="96"/>
    <s v="Michael Jordan #CA2"/>
    <s v="Basketball Cards 1996 Collector's Choice Jordan Cut Above"/>
    <n v="309"/>
    <s v="Ungraded"/>
    <s v="Normal wear"/>
    <m/>
    <m/>
    <n v="0"/>
    <n v="1"/>
    <d v="2026-04-17T00:00:00"/>
    <m/>
    <m/>
    <n v="171"/>
    <m/>
    <s v="Michael Jordan"/>
    <s v="1996 Collector's Choice Jordan Cut Above"/>
    <s v="-"/>
    <s v="CA2"/>
    <n v="3.09"/>
    <x v="5"/>
    <s v="For Sale"/>
    <n v="1"/>
    <n v="1"/>
    <n v="4"/>
    <n v="3"/>
  </r>
  <r>
    <x v="97"/>
    <s v="Michael Jordan #23"/>
    <s v="Basketball Cards 1998 UD Choice"/>
    <n v="299"/>
    <s v="Ungraded"/>
    <s v="Normal wear"/>
    <m/>
    <m/>
    <n v="0"/>
    <n v="1"/>
    <d v="2026-06-16T00:00:00"/>
    <m/>
    <m/>
    <n v="181"/>
    <m/>
    <s v="Michael Jordan"/>
    <s v="1998 UD Choice"/>
    <s v="-"/>
    <s v="23"/>
    <n v="2.99"/>
    <x v="5"/>
    <s v="For Sale"/>
    <n v="1"/>
    <n v="1"/>
    <n v="4"/>
    <n v="3"/>
  </r>
  <r>
    <x v="98"/>
    <s v="Michael Jordan #44"/>
    <s v="Basketball Cards 1991 Upper Deck"/>
    <n v="298"/>
    <s v="Ungraded"/>
    <s v="Normal wear"/>
    <m/>
    <m/>
    <n v="0"/>
    <n v="1"/>
    <d v="2026-04-17T00:00:00"/>
    <m/>
    <m/>
    <n v="180"/>
    <m/>
    <s v="Michael Jordan"/>
    <s v="1991 Upper Deck"/>
    <s v="-"/>
    <s v="44"/>
    <n v="2.98"/>
    <x v="5"/>
    <s v="For Sale"/>
    <n v="1"/>
    <n v="1"/>
    <n v="4"/>
    <n v="3"/>
  </r>
  <r>
    <x v="99"/>
    <s v="Michael Jordan #CA7"/>
    <s v="Basketball Cards 1996 Collector's Choice Jordan Cut Above"/>
    <n v="296"/>
    <s v="Ungraded"/>
    <s v="Normal wear"/>
    <m/>
    <m/>
    <n v="0"/>
    <n v="1"/>
    <d v="2026-04-17T00:00:00"/>
    <m/>
    <m/>
    <n v="187"/>
    <m/>
    <s v="Michael Jordan"/>
    <s v="1996 Collector's Choice Jordan Cut Above"/>
    <s v="-"/>
    <s v="CA7"/>
    <n v="2.96"/>
    <x v="5"/>
    <s v="For Sale"/>
    <n v="1"/>
    <n v="1"/>
    <n v="4"/>
    <n v="3"/>
  </r>
  <r>
    <x v="100"/>
    <s v="Michael Jordan #CA5"/>
    <s v="Basketball Cards 1996 Collector's Choice Jordan Cut Above"/>
    <n v="293"/>
    <s v="Ungraded"/>
    <s v="Normal wear"/>
    <m/>
    <m/>
    <n v="0"/>
    <n v="1"/>
    <d v="2026-04-17T00:00:00"/>
    <m/>
    <m/>
    <n v="189"/>
    <m/>
    <s v="Michael Jordan"/>
    <s v="1996 Collector's Choice Jordan Cut Above"/>
    <s v="-"/>
    <s v="CA5"/>
    <n v="2.93"/>
    <x v="5"/>
    <s v="For Sale"/>
    <n v="1"/>
    <n v="1"/>
    <n v="4"/>
    <n v="3"/>
  </r>
  <r>
    <x v="101"/>
    <s v="Michael Jordan #CA4"/>
    <s v="Basketball Cards 1996 Collector's Choice Jordan Cut Above"/>
    <n v="288"/>
    <s v="Ungraded"/>
    <s v="Normal wear"/>
    <m/>
    <m/>
    <n v="0"/>
    <n v="1"/>
    <d v="2026-04-17T00:00:00"/>
    <m/>
    <m/>
    <n v="188"/>
    <m/>
    <s v="Michael Jordan"/>
    <s v="1996 Collector's Choice Jordan Cut Above"/>
    <s v="-"/>
    <s v="CA4"/>
    <n v="2.88"/>
    <x v="5"/>
    <s v="For Sale"/>
    <n v="1"/>
    <n v="1"/>
    <n v="3"/>
    <n v="3"/>
  </r>
  <r>
    <x v="102"/>
    <s v="Michael Jordan #CA6"/>
    <s v="Basketball Cards 1996 Collector's Choice Jordan Cut Above"/>
    <n v="272"/>
    <s v="Ungraded"/>
    <s v="Normal wear"/>
    <m/>
    <m/>
    <n v="0"/>
    <n v="1"/>
    <d v="2026-04-17T00:00:00"/>
    <m/>
    <m/>
    <n v="200"/>
    <m/>
    <s v="Michael Jordan"/>
    <s v="1996 Collector's Choice Jordan Cut Above"/>
    <s v="-"/>
    <s v="CA6"/>
    <n v="2.72"/>
    <x v="5"/>
    <s v="For Sale"/>
    <n v="1"/>
    <n v="1"/>
    <n v="3"/>
    <n v="3"/>
  </r>
  <r>
    <x v="103"/>
    <s v="Michael Jordan #159"/>
    <s v="Basketball Cards 1998 UD Choice"/>
    <n v="269"/>
    <s v="Ungraded"/>
    <s v="Normal wear"/>
    <m/>
    <m/>
    <n v="0"/>
    <n v="1"/>
    <d v="2026-05-31T00:00:00"/>
    <m/>
    <m/>
    <n v="195"/>
    <m/>
    <s v="Michael Jordan"/>
    <s v="1998 UD Choice"/>
    <s v="-"/>
    <s v="159"/>
    <n v="2.69"/>
    <x v="5"/>
    <s v="For Sale"/>
    <n v="1"/>
    <n v="1"/>
    <n v="3"/>
    <n v="3"/>
  </r>
  <r>
    <x v="104"/>
    <s v="Michael Jordan #CA8"/>
    <s v="Basketball Cards 1996 Collector's Choice Jordan Cut Above"/>
    <n v="258"/>
    <s v="Ungraded"/>
    <s v="Normal wear"/>
    <m/>
    <m/>
    <n v="0"/>
    <n v="1"/>
    <d v="2026-04-17T00:00:00"/>
    <m/>
    <m/>
    <n v="204"/>
    <m/>
    <s v="Michael Jordan"/>
    <s v="1996 Collector's Choice Jordan Cut Above"/>
    <s v="-"/>
    <s v="CA8"/>
    <n v="2.58"/>
    <x v="5"/>
    <s v="For Sale"/>
    <n v="1"/>
    <n v="1"/>
    <n v="3"/>
    <n v="3"/>
  </r>
  <r>
    <x v="105"/>
    <s v="Michael Jordan #23"/>
    <s v="Basketball Cards 1996 Collector's Choice"/>
    <n v="253"/>
    <s v="Ungraded"/>
    <s v="Normal wear"/>
    <m/>
    <m/>
    <n v="0"/>
    <n v="1"/>
    <d v="2026-04-17T00:00:00"/>
    <m/>
    <m/>
    <n v="184"/>
    <m/>
    <s v="Michael Jordan"/>
    <s v="1996 Collector's Choice"/>
    <s v="-"/>
    <s v="23"/>
    <n v="2.5299999999999998"/>
    <x v="5"/>
    <s v="For Sale"/>
    <n v="1"/>
    <n v="1"/>
    <n v="3"/>
    <n v="3"/>
  </r>
  <r>
    <x v="106"/>
    <s v="Michael Jordan #165"/>
    <s v="Basketball Cards 1996 Upper Deck"/>
    <n v="251"/>
    <s v="Ungraded"/>
    <s v="Normal wear"/>
    <m/>
    <m/>
    <n v="0"/>
    <n v="1"/>
    <d v="2026-06-10T00:00:00"/>
    <m/>
    <m/>
    <n v="197"/>
    <m/>
    <s v="Michael Jordan"/>
    <s v="1996 Upper Deck"/>
    <s v="-"/>
    <s v="165"/>
    <n v="2.5099999999999998"/>
    <x v="5"/>
    <s v="For Sale"/>
    <n v="2"/>
    <n v="1"/>
    <n v="3"/>
    <n v="2"/>
  </r>
  <r>
    <x v="106"/>
    <s v="Michael Jordan #165"/>
    <s v="Basketball Cards 1996 Upper Deck"/>
    <n v="251"/>
    <s v="Ungraded"/>
    <s v="Normal wear"/>
    <m/>
    <m/>
    <n v="0"/>
    <n v="1"/>
    <d v="2026-04-17T00:00:00"/>
    <m/>
    <m/>
    <n v="198"/>
    <m/>
    <s v="Michael Jordan"/>
    <s v="1996 Upper Deck"/>
    <s v="-"/>
    <s v="165"/>
    <n v="2.5099999999999998"/>
    <x v="5"/>
    <s v="For Sale"/>
    <n v="2"/>
    <n v="1"/>
    <n v="3"/>
    <n v="2"/>
  </r>
  <r>
    <x v="107"/>
    <s v="Michael Jordan #199"/>
    <s v="Basketball Cards 1993 Topps"/>
    <n v="221"/>
    <s v="Ungraded"/>
    <s v="Normal wear"/>
    <m/>
    <m/>
    <n v="0"/>
    <n v="1"/>
    <d v="2026-05-07T00:00:00"/>
    <m/>
    <m/>
    <n v="169"/>
    <m/>
    <s v="Michael Jordan"/>
    <s v="1993 Topps"/>
    <s v="-"/>
    <s v="199"/>
    <n v="2.21"/>
    <x v="5"/>
    <s v="For Sale"/>
    <n v="1"/>
    <n v="1"/>
    <n v="3"/>
    <n v="2"/>
  </r>
  <r>
    <x v="108"/>
    <s v="Michael Jordan #69"/>
    <s v="Basketball Cards 1991 Upper Deck"/>
    <n v="199"/>
    <s v="Ungraded"/>
    <s v="Normal wear"/>
    <m/>
    <m/>
    <n v="0"/>
    <n v="1"/>
    <d v="2026-06-13T00:00:00"/>
    <m/>
    <m/>
    <n v="229"/>
    <m/>
    <s v="Michael Jordan"/>
    <s v="1991 Upper Deck"/>
    <s v="-"/>
    <s v="69"/>
    <n v="1.99"/>
    <x v="5"/>
    <s v="For Sale"/>
    <n v="1"/>
    <n v="1"/>
    <n v="2.5"/>
    <n v="2"/>
  </r>
  <r>
    <x v="109"/>
    <s v="Michael Jordan #VP5"/>
    <s v="Basketball Cards 1997 Upper Deck Holojam"/>
    <n v="0"/>
    <s v="Ungraded"/>
    <s v="Normal wear"/>
    <m/>
    <m/>
    <n v="0"/>
    <n v="1"/>
    <d v="2026-05-07T00:00:00"/>
    <m/>
    <m/>
    <n v="595"/>
    <m/>
    <s v="Michael Jordan"/>
    <s v="1997 Upper Deck Holojam"/>
    <s v="-"/>
    <s v="VP5"/>
    <n v="0"/>
    <x v="5"/>
    <s v="For Sale"/>
    <n v="1"/>
    <n v="1"/>
    <n v="0.25"/>
    <n v="0.25"/>
  </r>
  <r>
    <x v="110"/>
    <s v="Spider-Man #4"/>
    <s v="Marvel 1994 Fleer Amazing Spider-Man Hologram"/>
    <n v="1649"/>
    <s v="Ungraded"/>
    <s v="Normal wear"/>
    <m/>
    <m/>
    <n v="0"/>
    <n v="1"/>
    <d v="2026-04-17T00:00:00"/>
    <m/>
    <m/>
    <n v="19"/>
    <m/>
    <s v="Spider-Man"/>
    <s v="Marvel 1994 Fleer Amazing Spider-Man Hologram"/>
    <s v="-"/>
    <s v="4"/>
    <n v="16.489999999999998"/>
    <x v="6"/>
    <s v="For Sale"/>
    <n v="1"/>
    <n v="1"/>
    <n v="20"/>
    <n v="16"/>
  </r>
  <r>
    <x v="111"/>
    <s v="Victor Wembanyama #1"/>
    <s v="Basketball Cards 2023 Topps Chrome"/>
    <n v="3400"/>
    <s v="Ungraded"/>
    <s v="Normal wear"/>
    <m/>
    <s v="&quot;https://www.whatnot.com/order/Z82h48WoJ3uJcg9xAmSGSz_x000d__x000a_$45.00 + $0.91 (Shared Shipping) + $4.71 Tax = Total of $50.62&quot;"/>
    <n v="5062"/>
    <n v="1"/>
    <d v="2026-06-01T00:00:00"/>
    <d v="2026-05-31T00:00:00"/>
    <m/>
    <n v="6"/>
    <m/>
    <s v="Victor Wembanyama"/>
    <s v="2023 Topps Chrome"/>
    <s v="-"/>
    <s v="1"/>
    <n v="34"/>
    <x v="7"/>
    <s v="Keep"/>
    <n v="0"/>
    <n v="1"/>
    <n v="61"/>
    <n v="34"/>
  </r>
  <r>
    <x v="112"/>
    <s v="Victor Wembanyama #1"/>
    <s v="Basketball Cards 2023 Panini Hoops Attack the Rack"/>
    <n v="1601"/>
    <s v="Ungraded"/>
    <s v="Normal wear"/>
    <m/>
    <s v="&quot;whatnot.com/order/LGPnRNkgKGF9RMDyPrydES_x000d__x000a_$14.00 + $1.05 (Shared Shipping) + $1.54 Tax = Total of $16.59&quot;"/>
    <n v="1659"/>
    <n v="1"/>
    <d v="2026-06-10T00:00:00"/>
    <d v="2026-06-09T00:00:00"/>
    <m/>
    <n v="20"/>
    <m/>
    <s v="Victor Wembanyama"/>
    <s v="2023 Panini Hoops Attack the Rack"/>
    <s v="-"/>
    <s v="1"/>
    <n v="16.010000000000002"/>
    <x v="7"/>
    <s v="Keep"/>
    <n v="0"/>
    <n v="1"/>
    <n v="20"/>
    <n v="16"/>
  </r>
  <r>
    <x v="113"/>
    <s v="Victor Wembanyama #KI-VW"/>
    <s v="Basketball Cards 2025 Topps Match Attax In Motion"/>
    <n v="1097"/>
    <s v="Ungraded"/>
    <s v="Normal wear"/>
    <m/>
    <s v="&quot;https://www.whatnot.com/order/YizRVYJABNSdo22iZwgKNb_x000d__x000a_$5.00 + $0.35 (Shared Shipping) + $0.55 Tax = Total of $5.89&quot;"/>
    <n v="589"/>
    <n v="1"/>
    <d v="2026-05-22T00:00:00"/>
    <d v="2026-05-15T00:00:00"/>
    <m/>
    <n v="30"/>
    <m/>
    <s v="Victor Wembanyama"/>
    <s v="2025 Topps Match Attax In Motion"/>
    <s v="-"/>
    <s v="KI-VW"/>
    <n v="10.97"/>
    <x v="7"/>
    <s v="For Sale"/>
    <n v="1"/>
    <n v="1"/>
    <n v="13"/>
    <n v="6"/>
  </r>
  <r>
    <x v="114"/>
    <s v="Victor Wembanyama #BB-VW"/>
    <s v="Basketball Cards 2025 Topps Match Attax Breakthrough Baller"/>
    <n v="552"/>
    <s v="Ungraded"/>
    <s v="Normal wear"/>
    <m/>
    <s v="&quot;whatnot.com/order/dreE2xdZz6eNaRJPKmkUNj_x000d__x000a_$3.00 + $0.35 (Shared Shipping) + $0.34 Tax = Total of $3.70&quot;"/>
    <n v="370"/>
    <n v="1"/>
    <d v="2026-05-22T00:00:00"/>
    <d v="2026-05-19T00:00:00"/>
    <m/>
    <n v="44"/>
    <m/>
    <s v="Victor Wembanyama"/>
    <s v="2025 Topps Match Attax Breakthrough Baller"/>
    <s v="-"/>
    <s v="BB-VW"/>
    <n v="5.52"/>
    <x v="7"/>
    <s v="For Sale"/>
    <n v="4"/>
    <n v="1"/>
    <n v="7"/>
    <n v="3"/>
  </r>
  <r>
    <x v="114"/>
    <s v="Victor Wembanyama #BB-VW"/>
    <s v="Basketball Cards 2025 Topps Match Attax Breakthrough Baller"/>
    <n v="552"/>
    <s v="Ungraded"/>
    <s v="Normal wear"/>
    <m/>
    <s v="&quot;whatnot.com/order/V7U6XPjihidFw6zF8nFVk5_x000d__x000a_$4.00 + $0.80 (Shared Shipping) + $0.49 Tax = Total of $5.29&quot;"/>
    <n v="529"/>
    <n v="1"/>
    <d v="2026-06-10T00:00:00"/>
    <d v="2026-05-19T00:00:00"/>
    <m/>
    <n v="45"/>
    <m/>
    <s v="Victor Wembanyama"/>
    <s v="2025 Topps Match Attax Breakthrough Baller"/>
    <s v="-"/>
    <s v="BB-VW"/>
    <n v="5.52"/>
    <x v="7"/>
    <s v="For Sale"/>
    <n v="4"/>
    <n v="1"/>
    <n v="7"/>
    <n v="4"/>
  </r>
  <r>
    <x v="114"/>
    <s v="Victor Wembanyama #BB-VW"/>
    <s v="Basketball Cards 2025 Topps Match Attax Breakthrough Baller"/>
    <n v="552"/>
    <s v="Ungraded"/>
    <s v="Normal wear"/>
    <m/>
    <s v="&quot;whatnot.com/order/V3RCUewZwCDfiBZPvUE9Az_x000d__x000a_$3.00 + $0.35 (Shared Shipping) + $0.34 Tax = Total of $3.70&quot;"/>
    <n v="370"/>
    <n v="1"/>
    <d v="2026-06-10T00:00:00"/>
    <d v="2026-05-19T00:00:00"/>
    <m/>
    <n v="46"/>
    <m/>
    <s v="Victor Wembanyama"/>
    <s v="2025 Topps Match Attax Breakthrough Baller"/>
    <s v="-"/>
    <s v="BB-VW"/>
    <n v="5.52"/>
    <x v="7"/>
    <s v="For Sale"/>
    <n v="4"/>
    <n v="1"/>
    <n v="7"/>
    <n v="3"/>
  </r>
  <r>
    <x v="114"/>
    <s v="Victor Wembanyama #BB-VW"/>
    <s v="Basketball Cards 2025 Topps Match Attax Breakthrough Baller"/>
    <n v="552"/>
    <s v="Ungraded"/>
    <s v="Normal wear"/>
    <m/>
    <s v="&quot;whatnot.com/order/XkjMoJAg278e8FP5go6RjV_x000d__x000a_$3.00 + $0.35 (Shared Shipping) + $0.34 Tax = Total of $3.70&quot;"/>
    <n v="370"/>
    <n v="1"/>
    <d v="2026-06-10T00:00:00"/>
    <d v="2026-05-19T00:00:00"/>
    <m/>
    <n v="47"/>
    <m/>
    <s v="Victor Wembanyama"/>
    <s v="2025 Topps Match Attax Breakthrough Baller"/>
    <s v="-"/>
    <s v="BB-VW"/>
    <n v="5.52"/>
    <x v="7"/>
    <s v="For Sale"/>
    <n v="4"/>
    <n v="1"/>
    <n v="7"/>
    <n v="3"/>
  </r>
  <r>
    <x v="115"/>
    <s v="Victor Wembanyama #IP-6"/>
    <s v="Basketball Cards 2025 Topps Chrome Inspirational"/>
    <n v="249"/>
    <s v="Ungraded"/>
    <s v="Normal wear"/>
    <m/>
    <s v="&quot;https://www.whatnot.com/order/oUotfyREdfzsNuUScDvio3_x000d__x000a_$11.00 + $0.78 (Shared Shipping) + $1.21 Tax = Total of $12.99&quot;"/>
    <n v="1299"/>
    <n v="1"/>
    <d v="2026-06-09T00:00:00"/>
    <d v="2026-06-08T00:00:00"/>
    <m/>
    <n v="211"/>
    <m/>
    <s v="Victor Wembanyama"/>
    <s v="2025 Topps Chrome Inspirational"/>
    <s v="-"/>
    <s v="IP-6"/>
    <n v="2.4900000000000002"/>
    <x v="7"/>
    <s v="For Sale"/>
    <n v="1"/>
    <n v="1"/>
    <n v="16"/>
    <n v="2.5"/>
  </r>
  <r>
    <x v="116"/>
    <s v="Victor Wembanyama #289"/>
    <s v="Basketball Cards 2025 Topps NBA Hoops"/>
    <n v="174"/>
    <s v="Ungraded"/>
    <s v="Normal wear"/>
    <m/>
    <m/>
    <n v="0"/>
    <n v="1"/>
    <d v="2026-06-16T00:00:00"/>
    <m/>
    <m/>
    <n v="214"/>
    <m/>
    <s v="Victor Wembanyama"/>
    <s v="2025 Topps NBA Hoops"/>
    <s v="-"/>
    <s v="289"/>
    <n v="1.74"/>
    <x v="7"/>
    <s v="For Sale"/>
    <n v="1"/>
    <n v="1"/>
    <n v="2"/>
    <n v="1.5"/>
  </r>
  <r>
    <x v="117"/>
    <s v="Victor Wembanyama #195"/>
    <s v="Basketball Cards 2025 Topps"/>
    <n v="142"/>
    <s v="Ungraded"/>
    <s v="Normal wear"/>
    <m/>
    <s v="&quot;https://www.whatnot.com/order/NMxKJ4hE9QKucKgDpADrjE_x000d__x000a_$2.50 + $0.00 (Shared Shipping) + $0.26 Tax = Total of $2.76&quot;_x000d__x000a_"/>
    <n v="276"/>
    <n v="1"/>
    <d v="2026-05-24T00:00:00"/>
    <d v="2026-05-23T00:00:00"/>
    <m/>
    <n v="530"/>
    <m/>
    <s v="Victor Wembanyama"/>
    <s v="2025 Topps"/>
    <s v="-"/>
    <s v="195"/>
    <n v="1.42"/>
    <x v="7"/>
    <s v="For Sale"/>
    <n v="1"/>
    <n v="1"/>
    <n v="3"/>
    <n v="1.25"/>
  </r>
  <r>
    <x v="118"/>
    <s v="Victor Wembanyama #143"/>
    <s v="Basketball Cards 2025 Bowman"/>
    <n v="135"/>
    <s v="Ungraded"/>
    <s v="Normal wear"/>
    <m/>
    <s v="&quot;whatnot.com/order/jrU4Q7xp5yH4tmGayj7YpY_x000d__x000a_$1.00 + $0.23 (Shared Shipping) + $0.13 Tax = Total of $1.36&quot;"/>
    <n v="136"/>
    <n v="1"/>
    <d v="2026-06-10T00:00:00"/>
    <d v="2026-05-14T00:00:00"/>
    <m/>
    <n v="414"/>
    <m/>
    <s v="Victor Wembanyama"/>
    <s v="2025 Bowman"/>
    <s v="-"/>
    <s v="143"/>
    <n v="1.35"/>
    <x v="7"/>
    <s v="For Sale"/>
    <n v="2"/>
    <n v="1"/>
    <n v="1.5"/>
    <n v="1"/>
  </r>
  <r>
    <x v="118"/>
    <s v="Victor Wembanyama #143"/>
    <s v="Basketball Cards 2025 Bowman"/>
    <n v="135"/>
    <s v="Ungraded"/>
    <s v="Normal wear"/>
    <m/>
    <s v="&quot;whatnot.com/order/7eozouSEnosHtokHHfAAYH_x000d__x000a_$1.67 + $1.02 (Shared Shipping) + $0.28 Tax = Total of $2.97&quot;"/>
    <n v="297"/>
    <n v="1"/>
    <d v="2026-05-12T00:00:00"/>
    <d v="2026-05-08T00:00:00"/>
    <m/>
    <n v="419"/>
    <m/>
    <s v="Victor Wembanyama"/>
    <s v="2025 Bowman"/>
    <s v="-"/>
    <s v="143"/>
    <n v="1.35"/>
    <x v="7"/>
    <s v="For Sale"/>
    <n v="2"/>
    <n v="1"/>
    <n v="4"/>
    <n v="1"/>
  </r>
  <r>
    <x v="119"/>
    <s v="Austin Reaves #123"/>
    <s v="Basketball Cards 2022 Panini Prizm"/>
    <n v="1129"/>
    <s v="Graded 9"/>
    <s v="Normal wear"/>
    <m/>
    <s v="&quot;https://www.whatnot.com/order/F54vujG64TkcHYp4KU7RHA_x000d__x000a_$10.00 + $0.78 (Shared Shipping) + $1.10 Tax = Total of $11.88&quot;"/>
    <n v="1188"/>
    <n v="1"/>
    <d v="2026-05-17T00:00:00"/>
    <d v="2026-05-17T00:00:00"/>
    <s v="PSA"/>
    <n v="79810203"/>
    <m/>
    <s v="Austin Reaves"/>
    <s v="2022 Panini Prizm"/>
    <s v="-"/>
    <s v="123"/>
    <n v="11.29"/>
    <x v="8"/>
    <s v="For Sale"/>
    <n v="1"/>
    <n v="2"/>
    <n v="14"/>
    <n v="11"/>
  </r>
  <r>
    <x v="120"/>
    <s v="Austin Reaves [Refractor Green] #SF-8"/>
    <s v="Basketball Cards 2025 Topps Chrome Sleek Finishers"/>
    <n v="1000"/>
    <s v="Ungraded"/>
    <s v="Normal wear"/>
    <m/>
    <s v="&quot;https://www.whatnot.com/order/4qGFB5WJq67f7VePPgdKVK_x000d__x000a_$7.00 + $2.24 (Shared Shipping) + $0.95 Tax = Total of $10.18&quot;"/>
    <n v="1018"/>
    <n v="1"/>
    <d v="2026-05-20T00:00:00"/>
    <d v="2026-05-20T00:00:00"/>
    <m/>
    <n v="31"/>
    <m/>
    <s v="Austin Reaves"/>
    <s v="2025 Topps Chrome Sleek Finishers"/>
    <s v="Refractor Green"/>
    <s v="SF-8"/>
    <n v="10"/>
    <x v="8"/>
    <s v="For Sale"/>
    <n v="1"/>
    <n v="2"/>
    <n v="12"/>
    <n v="10"/>
  </r>
  <r>
    <x v="121"/>
    <s v="Austin Reaves #165"/>
    <s v="Basketball Cards 2021 Panini Prizm"/>
    <n v="237"/>
    <s v="Ungraded"/>
    <s v="Normal wear"/>
    <m/>
    <s v="&quot;https://www.whatnot.com/order/o3mHoMSnpC2X8C3j6r4tiK_x000d__x000a_$5.00 + $0.45 (Shared Shipping) + $0.59 Tax = Total of $6.30&quot;"/>
    <n v="630"/>
    <n v="1"/>
    <d v="2026-05-09T00:00:00"/>
    <d v="2026-05-04T00:00:00"/>
    <m/>
    <n v="274"/>
    <m/>
    <s v="Austin Reaves"/>
    <s v="2021 Panini Prizm"/>
    <s v="-"/>
    <s v="165"/>
    <n v="2.37"/>
    <x v="8"/>
    <s v="For Sale"/>
    <n v="1"/>
    <n v="2"/>
    <n v="8"/>
    <n v="2.5"/>
  </r>
  <r>
    <x v="122"/>
    <s v="Austin Reaves [Storm] #163"/>
    <s v="Basketball Cards 2024 Panini Donruss"/>
    <n v="213"/>
    <s v="Ungraded"/>
    <s v="Normal wear"/>
    <m/>
    <s v="&quot;https://www.whatnot.com/order/9ki7HURGVDFpQYLubozunU_x000d__x000a_$5.00 + $0.21 (Shared Shipping) + $0.53 Tax = Total of $5.74&quot;"/>
    <n v="574"/>
    <n v="1"/>
    <d v="2026-05-12T00:00:00"/>
    <d v="2026-05-06T00:00:00"/>
    <m/>
    <n v="253"/>
    <m/>
    <s v="Austin Reaves"/>
    <s v="2024 Panini Donruss"/>
    <s v="Storm"/>
    <s v="163"/>
    <n v="2.13"/>
    <x v="8"/>
    <s v="For Sale"/>
    <n v="1"/>
    <n v="2"/>
    <n v="7"/>
    <n v="2"/>
  </r>
  <r>
    <x v="123"/>
    <s v="Austin Reaves [Winter] #138"/>
    <s v="Basketball Cards 2024 Panini NBA Hoops"/>
    <n v="150"/>
    <s v="Ungraded"/>
    <s v="Normal wear"/>
    <m/>
    <s v="&quot;https://www.whatnot.com/order/CyF3nZr4GRuqeEQwgYCVcq_x000d__x000a_$1.00 + $1.39 (Shared Shipping) + $0.24 Tax = Total of $2.63&quot;"/>
    <n v="263"/>
    <n v="1"/>
    <d v="2026-05-12T00:00:00"/>
    <d v="2026-05-07T00:00:00"/>
    <m/>
    <n v="420"/>
    <m/>
    <s v="Austin Reaves"/>
    <s v="2024 Panini NBA Hoops"/>
    <s v="Winter"/>
    <s v="138"/>
    <n v="1.5"/>
    <x v="8"/>
    <s v="For Sale"/>
    <n v="1"/>
    <n v="2"/>
    <n v="3"/>
    <n v="1.5"/>
  </r>
  <r>
    <x v="124"/>
    <s v="Dirk Nowitzki [Double] #92"/>
    <s v="Basketball Cards 1998 Upper Deck Black Diamond"/>
    <n v="2250"/>
    <s v="Ungraded"/>
    <s v="Normal wear"/>
    <m/>
    <m/>
    <n v="0"/>
    <n v="1"/>
    <d v="2026-04-15T00:00:00"/>
    <m/>
    <m/>
    <n v="12"/>
    <m/>
    <s v="Dirk Nowitzki"/>
    <s v="1998 Upper Deck Black Diamond"/>
    <s v="Double"/>
    <s v="92"/>
    <n v="22.5"/>
    <x v="9"/>
    <s v="For Sale"/>
    <n v="1"/>
    <n v="2"/>
    <n v="27"/>
    <n v="23"/>
  </r>
  <r>
    <x v="125"/>
    <s v="Dirk Nowitzki [Blackout] #252"/>
    <s v="Basketball Cards 2025 Topps"/>
    <n v="173"/>
    <s v="Ungraded"/>
    <s v="Normal wear"/>
    <m/>
    <s v="&quot;https://www.whatnot.com/order/NiQA8q5w6tCKyhf9dhniXs_x000d__x000a_$3.00 + $0.63 (Shared Shipping) + $0.37 Tax = Total of $4.00&quot;"/>
    <n v="400"/>
    <n v="1"/>
    <d v="2026-05-14T00:00:00"/>
    <d v="2026-05-13T00:00:00"/>
    <m/>
    <n v="338"/>
    <m/>
    <s v="Dirk Nowitzki"/>
    <s v="2025 Topps"/>
    <s v="Blackout"/>
    <s v="252"/>
    <n v="1.73"/>
    <x v="9"/>
    <s v="For Sale"/>
    <n v="1"/>
    <n v="2"/>
    <n v="5"/>
    <n v="1.5"/>
  </r>
  <r>
    <x v="126"/>
    <s v="Dirk Nowitzki [Refractor] #246"/>
    <s v="Basketball Cards 2025 Topps Chrome"/>
    <n v="150"/>
    <s v="Ungraded"/>
    <s v="Normal wear"/>
    <m/>
    <s v="&quot;whatnot.com/order/Gposmhs3UPw2tTSYYRaxZp_x000d__x000a_$1.00 + $0.35 (Shared Shipping) + $0.14 Tax = Total of $1.48&quot;"/>
    <n v="148"/>
    <n v="1"/>
    <d v="2026-06-10T00:00:00"/>
    <d v="2026-05-15T00:00:00"/>
    <m/>
    <n v="475"/>
    <m/>
    <s v="Dirk Nowitzki"/>
    <s v="2025 Topps Chrome"/>
    <s v="Refractor"/>
    <s v="246"/>
    <n v="1.5"/>
    <x v="9"/>
    <s v="For Sale"/>
    <n v="2"/>
    <n v="2"/>
    <n v="2"/>
    <n v="1.25"/>
  </r>
  <r>
    <x v="126"/>
    <s v="Dirk Nowitzki [Refractor] #246"/>
    <s v="Basketball Cards 2025 Topps Chrome"/>
    <n v="150"/>
    <s v="Ungraded"/>
    <s v="Normal wear"/>
    <m/>
    <s v="&quot;whatnot.com/order/3HUXgbQpXQ3HpVzdfDiwuW_x000d__x000a_$2.00 + $0.74 (Shared Shipping) + $0.28 Tax = Total of $3.02&quot;_x000d__x000a_"/>
    <n v="302"/>
    <n v="1"/>
    <d v="2026-05-12T00:00:00"/>
    <d v="2026-05-12T00:00:00"/>
    <m/>
    <n v="479"/>
    <m/>
    <s v="Dirk Nowitzki"/>
    <s v="2025 Topps Chrome"/>
    <s v="Refractor"/>
    <s v="246"/>
    <n v="1.5"/>
    <x v="9"/>
    <s v="For Sale"/>
    <n v="2"/>
    <n v="2"/>
    <n v="4"/>
    <n v="1.25"/>
  </r>
  <r>
    <x v="127"/>
    <s v="Gary Payton #SO6"/>
    <s v="Basketball Cards 1996 Skybox Premium Standouts"/>
    <n v="1325"/>
    <s v="Ungraded"/>
    <s v="Normal wear"/>
    <m/>
    <m/>
    <n v="0"/>
    <n v="1"/>
    <d v="2026-06-12T00:00:00"/>
    <m/>
    <m/>
    <n v="25"/>
    <m/>
    <s v="Gary Payton"/>
    <s v="1996 Skybox Premium Standouts"/>
    <s v="-"/>
    <s v="SO6"/>
    <n v="13.25"/>
    <x v="10"/>
    <s v="For Sale"/>
    <n v="1"/>
    <n v="2"/>
    <n v="16"/>
    <n v="13"/>
  </r>
  <r>
    <x v="128"/>
    <s v="Gary Payton #10"/>
    <s v="Basketball Cards 1997 Metal Universe Silver Slam"/>
    <n v="409"/>
    <s v="Ungraded"/>
    <s v="Normal wear"/>
    <m/>
    <m/>
    <n v="0"/>
    <n v="1"/>
    <d v="2026-04-17T00:00:00"/>
    <m/>
    <m/>
    <n v="118"/>
    <m/>
    <s v="Gary Payton"/>
    <s v="1997 Metal Universe Silver Slam"/>
    <s v="-"/>
    <s v="10"/>
    <n v="4.09"/>
    <x v="10"/>
    <s v="For Sale"/>
    <n v="1"/>
    <n v="2"/>
    <n v="5"/>
    <n v="4"/>
  </r>
  <r>
    <x v="129"/>
    <s v="Gary Payton #FB20"/>
    <s v="Basketball Cards 1996 Upper Deck Fast Break Connection"/>
    <n v="200"/>
    <s v="Ungraded"/>
    <s v="Normal wear"/>
    <m/>
    <m/>
    <n v="0"/>
    <n v="1"/>
    <d v="2026-04-16T00:00:00"/>
    <d v="2026-04-16T00:00:00"/>
    <m/>
    <n v="263"/>
    <m/>
    <s v="Gary Payton"/>
    <s v="1996 Upper Deck Fast Break Connection"/>
    <s v="-"/>
    <s v="FB20"/>
    <n v="2"/>
    <x v="10"/>
    <s v="For Sale"/>
    <n v="1"/>
    <n v="2"/>
    <n v="2.5"/>
    <n v="2"/>
  </r>
  <r>
    <x v="130"/>
    <s v="Gary Payton #103"/>
    <s v="Basketball Cards 1995 Metal"/>
    <n v="155"/>
    <s v="Ungraded"/>
    <s v="Normal wear"/>
    <m/>
    <m/>
    <n v="0"/>
    <n v="1"/>
    <d v="2026-04-17T00:00:00"/>
    <m/>
    <m/>
    <n v="408"/>
    <m/>
    <s v="Gary Payton"/>
    <s v="1995 Metal"/>
    <s v="-"/>
    <s v="103"/>
    <n v="1.55"/>
    <x v="10"/>
    <s v="For Sale"/>
    <n v="1"/>
    <n v="2"/>
    <n v="2"/>
    <n v="1.5"/>
  </r>
  <r>
    <x v="131"/>
    <s v="Gary Payton #17"/>
    <s v="Basketball Cards 1995 Upper Deck Electric Court"/>
    <n v="134"/>
    <s v="Ungraded"/>
    <s v="Normal wear"/>
    <m/>
    <m/>
    <n v="0"/>
    <n v="1"/>
    <d v="2026-05-07T00:00:00"/>
    <m/>
    <m/>
    <n v="437"/>
    <m/>
    <s v="Gary Payton"/>
    <s v="1995 Upper Deck Electric Court"/>
    <s v="-"/>
    <s v="17"/>
    <n v="1.34"/>
    <x v="10"/>
    <s v="For Sale"/>
    <n v="1"/>
    <n v="2"/>
    <n v="1.5"/>
    <n v="1.25"/>
  </r>
  <r>
    <x v="132"/>
    <s v="Grant Hill #11"/>
    <s v="Basketball Cards 1997 Ultra Star Power Plus"/>
    <n v="1248"/>
    <s v="Ungraded"/>
    <s v="Normal wear"/>
    <m/>
    <m/>
    <n v="0"/>
    <n v="1"/>
    <d v="2026-04-15T00:00:00"/>
    <m/>
    <m/>
    <n v="27"/>
    <m/>
    <s v="Grant Hill"/>
    <s v="1997 Ultra Star Power Plus"/>
    <s v="-"/>
    <s v="11"/>
    <n v="12.48"/>
    <x v="11"/>
    <s v="For Sale"/>
    <n v="1"/>
    <n v="2"/>
    <n v="15"/>
    <n v="12"/>
  </r>
  <r>
    <x v="133"/>
    <s v="Grant Hill #11"/>
    <s v="Basketball Cards 1997 Ultra View To A Thrill"/>
    <n v="447"/>
    <s v="Ungraded"/>
    <s v="Normal wear"/>
    <m/>
    <m/>
    <n v="0"/>
    <n v="1"/>
    <d v="2026-06-10T00:00:00"/>
    <m/>
    <m/>
    <n v="126"/>
    <m/>
    <s v="Grant Hill"/>
    <s v="1997 Ultra View To A Thrill"/>
    <s v="-"/>
    <s v="11"/>
    <n v="4.47"/>
    <x v="11"/>
    <s v="For Sale"/>
    <n v="2"/>
    <n v="2"/>
    <n v="5"/>
    <n v="4"/>
  </r>
  <r>
    <x v="133"/>
    <s v="Grant Hill #11"/>
    <s v="Basketball Cards 1997 Ultra View To A Thrill"/>
    <n v="447"/>
    <s v="Ungraded"/>
    <s v="Normal wear"/>
    <m/>
    <m/>
    <n v="0"/>
    <n v="1"/>
    <d v="2026-04-17T00:00:00"/>
    <m/>
    <m/>
    <n v="127"/>
    <m/>
    <s v="Grant Hill"/>
    <s v="1997 Ultra View To A Thrill"/>
    <s v="-"/>
    <s v="11"/>
    <n v="4.47"/>
    <x v="11"/>
    <s v="For Sale"/>
    <n v="2"/>
    <n v="2"/>
    <n v="5"/>
    <n v="4"/>
  </r>
  <r>
    <x v="134"/>
    <s v="Grant Hill #239"/>
    <s v="Basketball Cards 1994 Ultra"/>
    <n v="152"/>
    <s v="Ungraded"/>
    <s v="Normal wear"/>
    <m/>
    <m/>
    <n v="0"/>
    <n v="1"/>
    <d v="2026-05-07T00:00:00"/>
    <m/>
    <m/>
    <n v="472"/>
    <m/>
    <s v="Grant Hill"/>
    <s v="1994 Ultra"/>
    <s v="-"/>
    <s v="239"/>
    <n v="1.52"/>
    <x v="11"/>
    <s v="For Sale"/>
    <n v="1"/>
    <n v="2"/>
    <n v="2"/>
    <n v="1.5"/>
  </r>
  <r>
    <x v="135"/>
    <s v="Jason Williams #7"/>
    <s v="Basketball Cards 2020 Panini Hoops SLAM"/>
    <n v="882"/>
    <s v="Ungraded"/>
    <s v="Normal wear"/>
    <m/>
    <s v="&quot;whatnot.com/order/P5eomQCEnRNpF3D5NN6EjL_x000d__x000a_$9.00 + $1.05 (Shared Shipping) + $1.03 Tax = Total of $11.08&quot;"/>
    <n v="1108"/>
    <n v="1"/>
    <d v="2026-06-10T00:00:00"/>
    <d v="2026-06-09T00:00:00"/>
    <m/>
    <n v="32"/>
    <m/>
    <s v="Jason Williams"/>
    <s v="2020 Panini Hoops SLAM"/>
    <s v="-"/>
    <s v="7"/>
    <n v="8.82"/>
    <x v="12"/>
    <s v="Keep"/>
    <n v="0"/>
    <n v="2"/>
    <n v="13"/>
    <n v="9"/>
  </r>
  <r>
    <x v="136"/>
    <s v="Jason Williams #PR12"/>
    <s v="Basketball Cards 1999 Topps Prodigy"/>
    <n v="874"/>
    <s v="Ungraded"/>
    <s v="Normal wear"/>
    <m/>
    <m/>
    <n v="0"/>
    <n v="1"/>
    <d v="2026-05-31T00:00:00"/>
    <m/>
    <m/>
    <n v="34"/>
    <m/>
    <s v="Jason Williams"/>
    <s v="1999 Topps Prodigy"/>
    <s v="-"/>
    <s v="PR12"/>
    <n v="8.74"/>
    <x v="12"/>
    <s v="For Sale"/>
    <n v="1"/>
    <n v="2"/>
    <n v="10"/>
    <n v="9"/>
  </r>
  <r>
    <x v="137"/>
    <s v="Jason Williams [Row 3] #55"/>
    <s v="Basketball Cards 1998 Flair Showcase"/>
    <n v="650"/>
    <s v="Ungraded"/>
    <s v="Normal wear"/>
    <m/>
    <m/>
    <n v="0"/>
    <n v="1"/>
    <d v="2026-04-16T00:00:00"/>
    <d v="2026-04-16T00:00:00"/>
    <m/>
    <n v="35"/>
    <m/>
    <s v="Jason Williams"/>
    <s v="1998 Flair Showcase"/>
    <s v="Row 3"/>
    <s v="55"/>
    <n v="6.5"/>
    <x v="12"/>
    <s v="Keep"/>
    <n v="0"/>
    <n v="2"/>
    <n v="8"/>
    <n v="7"/>
  </r>
  <r>
    <x v="138"/>
    <s v="Jason Williams #2-55"/>
    <s v="Basketball Cards 1999 Flair Showcase"/>
    <n v="599"/>
    <s v="Ungraded"/>
    <s v="Normal wear"/>
    <m/>
    <m/>
    <n v="0"/>
    <n v="1"/>
    <d v="2026-04-15T00:00:00"/>
    <m/>
    <m/>
    <n v="48"/>
    <m/>
    <s v="Jason Williams"/>
    <s v="1999 Flair Showcase"/>
    <s v="-"/>
    <s v="2-55"/>
    <n v="5.99"/>
    <x v="12"/>
    <s v="Keep"/>
    <n v="0"/>
    <n v="2"/>
    <n v="7"/>
    <n v="6"/>
  </r>
  <r>
    <x v="139"/>
    <s v="Jason Williams #232"/>
    <s v="Basketball Cards 1998 Finest"/>
    <n v="572"/>
    <s v="Ungraded"/>
    <s v="Normal wear"/>
    <m/>
    <m/>
    <n v="0"/>
    <n v="1"/>
    <d v="2026-04-15T00:00:00"/>
    <m/>
    <m/>
    <n v="115"/>
    <m/>
    <s v="Jason Williams"/>
    <s v="1998 Finest"/>
    <s v="-"/>
    <s v="232"/>
    <n v="5.72"/>
    <x v="12"/>
    <s v="For Sale"/>
    <n v="1"/>
    <n v="2"/>
    <n v="7"/>
    <n v="6"/>
  </r>
  <r>
    <x v="140"/>
    <s v="Jason Williams #EG2"/>
    <s v="Basketball Cards 1999 Stadium Club Chrome Eyes of the Game"/>
    <n v="570"/>
    <s v="Ungraded"/>
    <s v="Normal wear"/>
    <m/>
    <m/>
    <n v="0"/>
    <n v="1"/>
    <d v="2026-04-17T00:00:00"/>
    <m/>
    <m/>
    <n v="49"/>
    <m/>
    <s v="Jason Williams"/>
    <s v="1999 Stadium Club Chrome Eyes of the Game"/>
    <s v="-"/>
    <s v="EG2"/>
    <n v="5.7"/>
    <x v="12"/>
    <s v="For Sale"/>
    <n v="1"/>
    <n v="2"/>
    <n v="7"/>
    <n v="6"/>
  </r>
  <r>
    <x v="141"/>
    <s v="Jason Williams #M15"/>
    <s v="Basketball Cards 1999 SPX Masters"/>
    <n v="481"/>
    <s v="Ungraded"/>
    <s v="Normal wear"/>
    <m/>
    <m/>
    <n v="0"/>
    <n v="1"/>
    <d v="2026-04-17T00:00:00"/>
    <m/>
    <m/>
    <n v="120"/>
    <m/>
    <s v="Jason Williams"/>
    <s v="1999 SPX Masters"/>
    <s v="-"/>
    <s v="M15"/>
    <n v="4.8099999999999996"/>
    <x v="12"/>
    <s v="For Sale"/>
    <n v="1"/>
    <n v="2"/>
    <n v="6"/>
    <n v="5"/>
  </r>
  <r>
    <x v="142"/>
    <s v="Jason Williams #107"/>
    <s v="Basketball Cards 1998 Fleer Brilliants"/>
    <n v="328"/>
    <s v="Ungraded"/>
    <s v="Normal wear"/>
    <m/>
    <s v="&quot;https://www.whatnot.com/order/RtJrQKBCiEPUi9krGFqsyU_x000d__x000a_$2.00 + $4.29 (Shared Shipping) + $0.64 Tax = Total of $6.93&quot;"/>
    <n v="695"/>
    <n v="1"/>
    <d v="2026-05-12T00:00:00"/>
    <d v="2026-05-11T00:00:00"/>
    <m/>
    <n v="152"/>
    <m/>
    <s v="Jason Williams"/>
    <s v="1998 Fleer Brilliants"/>
    <s v="-"/>
    <s v="107"/>
    <n v="3.28"/>
    <x v="12"/>
    <s v="For Sale"/>
    <n v="1"/>
    <n v="2"/>
    <n v="8"/>
    <n v="3"/>
  </r>
  <r>
    <x v="143"/>
    <s v="Jason Williams #NC17"/>
    <s v="Basketball Cards 1998 Stadium Club Never Compromise"/>
    <n v="312"/>
    <s v="Ungraded"/>
    <s v="Normal wear"/>
    <m/>
    <m/>
    <n v="0"/>
    <n v="1"/>
    <d v="2026-04-17T00:00:00"/>
    <m/>
    <m/>
    <n v="199"/>
    <m/>
    <s v="Jason Williams"/>
    <s v="1998 Stadium Club Never Compromise"/>
    <s v="-"/>
    <s v="NC17"/>
    <n v="3.12"/>
    <x v="12"/>
    <s v="For Sale"/>
    <n v="1"/>
    <n v="2"/>
    <n v="4"/>
    <n v="3"/>
  </r>
  <r>
    <x v="144"/>
    <s v="Jason Williams #7GX"/>
    <s v="Basketball Cards 1999 Skybox E-X Generation E-X"/>
    <n v="299"/>
    <s v="Ungraded"/>
    <s v="Normal wear"/>
    <m/>
    <s v="&quot;https://www.whatnot.com/order/medD3HLzhpPd89xriKnZcX_x000d__x000a_$3.00 + $0.78 (Shared Shipping) + $0.39 Tax = Total of $4.17&quot;"/>
    <n v="417"/>
    <n v="1"/>
    <d v="2026-05-28T00:00:00"/>
    <d v="2026-05-25T00:00:00"/>
    <m/>
    <n v="179"/>
    <m/>
    <s v="Jason Williams"/>
    <s v="1999 Skybox E-X Generation E-X"/>
    <s v="-"/>
    <s v="7GX"/>
    <n v="2.99"/>
    <x v="12"/>
    <s v="For Sale"/>
    <n v="1"/>
    <n v="2"/>
    <n v="5"/>
    <n v="3"/>
  </r>
  <r>
    <x v="145"/>
    <s v="Jason Williams #6"/>
    <s v="Basketball Cards 1998 Press Pass Authentics"/>
    <n v="295"/>
    <s v="Ungraded"/>
    <s v="Normal wear"/>
    <m/>
    <m/>
    <n v="0"/>
    <n v="1"/>
    <d v="2026-04-17T00:00:00"/>
    <m/>
    <m/>
    <n v="185"/>
    <m/>
    <s v="Jason Williams"/>
    <s v="1998 Press Pass Authentics"/>
    <s v="-"/>
    <s v="6"/>
    <n v="2.95"/>
    <x v="12"/>
    <s v="For Sale"/>
    <n v="1"/>
    <n v="2"/>
    <n v="4"/>
    <n v="3"/>
  </r>
  <r>
    <x v="146"/>
    <s v="Jason Williams #50"/>
    <s v="Basketball Cards 1998 SP Top Prospects"/>
    <n v="284"/>
    <s v="Ungraded"/>
    <s v="Normal wear"/>
    <m/>
    <m/>
    <n v="0"/>
    <n v="1"/>
    <d v="2026-05-31T00:00:00"/>
    <m/>
    <m/>
    <n v="201"/>
    <m/>
    <s v="Jason Williams"/>
    <s v="1998 SP Top Prospects"/>
    <s v="-"/>
    <s v="50"/>
    <n v="2.84"/>
    <x v="12"/>
    <s v="For Sale"/>
    <n v="1"/>
    <n v="2"/>
    <n v="3"/>
    <n v="3"/>
  </r>
  <r>
    <x v="147"/>
    <s v="Jason Williams #51"/>
    <s v="Basketball Cards 1999 SkyBox Premium"/>
    <n v="252"/>
    <s v="Ungraded"/>
    <s v="Normal wear"/>
    <m/>
    <m/>
    <n v="0"/>
    <n v="1"/>
    <d v="2026-06-10T00:00:00"/>
    <m/>
    <m/>
    <n v="243"/>
    <m/>
    <s v="Jason Williams"/>
    <s v="1999 SkyBox Premium"/>
    <s v="-"/>
    <s v="51"/>
    <n v="2.52"/>
    <x v="12"/>
    <s v="For Sale"/>
    <n v="2"/>
    <n v="2"/>
    <n v="3"/>
    <n v="2"/>
  </r>
  <r>
    <x v="147"/>
    <s v="Jason Williams #51"/>
    <s v="Basketball Cards 1999 SkyBox Premium"/>
    <n v="252"/>
    <s v="Ungraded"/>
    <s v="Normal wear"/>
    <m/>
    <m/>
    <n v="0"/>
    <n v="1"/>
    <d v="2026-05-31T00:00:00"/>
    <m/>
    <m/>
    <n v="244"/>
    <m/>
    <s v="Jason Williams"/>
    <s v="1999 SkyBox Premium"/>
    <s v="-"/>
    <s v="51"/>
    <n v="2.52"/>
    <x v="12"/>
    <s v="For Sale"/>
    <n v="2"/>
    <n v="2"/>
    <n v="3"/>
    <n v="2"/>
  </r>
  <r>
    <x v="148"/>
    <s v="Jason Williams #57"/>
    <s v="Basketball Cards 1998 Upper Deck Century Legends"/>
    <n v="199"/>
    <s v="Ungraded"/>
    <s v="Normal wear"/>
    <m/>
    <m/>
    <n v="0"/>
    <n v="1"/>
    <d v="2026-05-31T00:00:00"/>
    <m/>
    <m/>
    <n v="267"/>
    <m/>
    <s v="Jason Williams"/>
    <s v="1998 Upper Deck Century Legends"/>
    <s v="-"/>
    <s v="57"/>
    <n v="1.99"/>
    <x v="12"/>
    <s v="For Sale"/>
    <n v="1"/>
    <n v="2"/>
    <n v="2.5"/>
    <n v="2"/>
  </r>
  <r>
    <x v="149"/>
    <s v="Jason Williams #8SF"/>
    <s v="Basketball Cards 1999 Fleer Force Special Forces"/>
    <n v="188"/>
    <s v="Ungraded"/>
    <s v="Normal wear"/>
    <m/>
    <m/>
    <n v="0"/>
    <n v="1"/>
    <d v="2026-05-31T00:00:00"/>
    <m/>
    <m/>
    <n v="358"/>
    <m/>
    <s v="Jason Williams"/>
    <s v="1999 Fleer Force Special Forces"/>
    <s v="-"/>
    <s v="8SF"/>
    <n v="1.88"/>
    <x v="12"/>
    <s v="For Sale"/>
    <n v="1"/>
    <n v="2"/>
    <n v="2.5"/>
    <n v="2"/>
  </r>
  <r>
    <x v="150"/>
    <s v="Jason Williams #200"/>
    <s v="Basketball Cards 1998 Stadium Club"/>
    <n v="186"/>
    <s v="Ungraded"/>
    <s v="Normal wear"/>
    <m/>
    <m/>
    <n v="0"/>
    <n v="1"/>
    <d v="2026-05-31T00:00:00"/>
    <m/>
    <m/>
    <n v="360"/>
    <m/>
    <s v="Jason Williams"/>
    <s v="1998 Stadium Club"/>
    <s v="-"/>
    <s v="200"/>
    <n v="1.86"/>
    <x v="12"/>
    <s v="For Sale"/>
    <n v="1"/>
    <n v="2"/>
    <n v="2"/>
    <n v="2"/>
  </r>
  <r>
    <x v="151"/>
    <s v="Jason Williams #69"/>
    <s v="Basketball Cards 1999 SP Authentic"/>
    <n v="186"/>
    <s v="Ungraded"/>
    <s v="Normal wear"/>
    <m/>
    <m/>
    <n v="0"/>
    <n v="1"/>
    <d v="2026-05-31T00:00:00"/>
    <m/>
    <m/>
    <n v="299"/>
    <m/>
    <s v="Jason Williams"/>
    <s v="1999 SP Authentic"/>
    <s v="-"/>
    <s v="69"/>
    <n v="1.86"/>
    <x v="12"/>
    <s v="For Sale"/>
    <n v="2"/>
    <n v="2"/>
    <n v="2"/>
    <n v="1.5"/>
  </r>
  <r>
    <x v="151"/>
    <s v="Jason Williams #69"/>
    <s v="Basketball Cards 1999 SP Authentic"/>
    <n v="186"/>
    <s v="Ungraded"/>
    <s v="Normal wear"/>
    <m/>
    <m/>
    <n v="0"/>
    <n v="1"/>
    <d v="2026-06-10T00:00:00"/>
    <m/>
    <m/>
    <n v="301"/>
    <m/>
    <s v="Jason Williams"/>
    <s v="1999 SP Authentic"/>
    <s v="-"/>
    <s v="69"/>
    <n v="1.86"/>
    <x v="12"/>
    <s v="For Sale"/>
    <n v="2"/>
    <n v="2"/>
    <n v="2"/>
    <n v="1.5"/>
  </r>
  <r>
    <x v="152"/>
    <s v="Jason Williams #2"/>
    <s v="Basketball Cards 2001 Topps Tcc"/>
    <n v="169"/>
    <s v="Ungraded"/>
    <s v="Normal wear"/>
    <m/>
    <m/>
    <n v="0"/>
    <n v="1"/>
    <d v="2026-05-31T00:00:00"/>
    <m/>
    <m/>
    <n v="350"/>
    <m/>
    <s v="Jason Williams"/>
    <s v="2001 Topps Tcc"/>
    <s v="-"/>
    <s v="2"/>
    <n v="1.69"/>
    <x v="12"/>
    <s v="For Sale"/>
    <n v="1"/>
    <n v="2"/>
    <n v="2"/>
    <n v="1.5"/>
  </r>
  <r>
    <x v="153"/>
    <s v="Jason Williams [All American] #37"/>
    <s v="Basketball Cards 1998 Collectors Edge Impulse"/>
    <n v="160"/>
    <s v="Ungraded"/>
    <s v="Normal wear"/>
    <m/>
    <m/>
    <n v="0"/>
    <n v="1"/>
    <d v="2026-05-31T00:00:00"/>
    <m/>
    <m/>
    <n v="402"/>
    <m/>
    <s v="Jason Williams"/>
    <s v="1998 Collectors Edge Impulse"/>
    <s v="All American"/>
    <s v="37"/>
    <n v="1.6"/>
    <x v="12"/>
    <s v="For Sale"/>
    <n v="1"/>
    <n v="2"/>
    <n v="2"/>
    <n v="1.5"/>
  </r>
  <r>
    <x v="154"/>
    <s v="jason williams #61"/>
    <s v="Basketball Cards 1999 Topps"/>
    <n v="153"/>
    <s v="Ungraded"/>
    <s v="Normal wear"/>
    <m/>
    <m/>
    <n v="0"/>
    <n v="1"/>
    <d v="2026-05-31T00:00:00"/>
    <m/>
    <m/>
    <n v="409"/>
    <m/>
    <s v="Jason Williams"/>
    <s v="1999 Topps"/>
    <s v="-"/>
    <s v="61"/>
    <n v="1.53"/>
    <x v="12"/>
    <s v="For Sale"/>
    <n v="1"/>
    <n v="2"/>
    <n v="2"/>
    <n v="1.5"/>
  </r>
  <r>
    <x v="155"/>
    <s v="Jason Williams #121"/>
    <s v="Basketball Cards 1999 Metal"/>
    <n v="152"/>
    <s v="Ungraded"/>
    <s v="Normal wear"/>
    <m/>
    <m/>
    <n v="31"/>
    <n v="1"/>
    <d v="2026-05-06T00:00:00"/>
    <d v="2026-04-18T00:00:00"/>
    <m/>
    <n v="391"/>
    <m/>
    <s v="Jason Williams"/>
    <s v="1999 Metal"/>
    <s v="-"/>
    <s v="121"/>
    <n v="1.52"/>
    <x v="12"/>
    <s v="For Sale"/>
    <n v="2"/>
    <n v="2"/>
    <n v="2"/>
    <n v="0.25"/>
  </r>
  <r>
    <x v="155"/>
    <s v="Jason Williams #121"/>
    <s v="Basketball Cards 1999 Metal"/>
    <n v="152"/>
    <s v="Ungraded"/>
    <s v="Normal wear"/>
    <m/>
    <m/>
    <n v="0"/>
    <n v="1"/>
    <d v="2026-05-31T00:00:00"/>
    <m/>
    <m/>
    <n v="392"/>
    <m/>
    <s v="Jason Williams"/>
    <s v="1999 Metal"/>
    <s v="-"/>
    <s v="121"/>
    <n v="1.52"/>
    <x v="12"/>
    <s v="For Sale"/>
    <n v="2"/>
    <n v="2"/>
    <n v="2"/>
    <n v="1.25"/>
  </r>
  <r>
    <x v="156"/>
    <s v="Jason Williams #TT11"/>
    <s v="Basketball Cards 2000 Upper Deck True Talents"/>
    <n v="127"/>
    <s v="Ungraded"/>
    <s v="Normal wear"/>
    <m/>
    <m/>
    <n v="0"/>
    <n v="1"/>
    <d v="2026-05-31T00:00:00"/>
    <m/>
    <m/>
    <n v="482"/>
    <m/>
    <s v="Jason Williams"/>
    <s v="2000 Upper Deck True Talents"/>
    <s v="-"/>
    <s v="TT11"/>
    <n v="1.27"/>
    <x v="12"/>
    <s v="For Sale"/>
    <n v="1"/>
    <n v="2"/>
    <n v="1.5"/>
    <n v="1.25"/>
  </r>
  <r>
    <x v="157"/>
    <s v="Jason Williams #101"/>
    <s v="Basketball Cards 1999 Upper Deck"/>
    <n v="123"/>
    <s v="Ungraded"/>
    <s v="Normal wear"/>
    <m/>
    <m/>
    <n v="0"/>
    <n v="1"/>
    <d v="2026-05-31T00:00:00"/>
    <m/>
    <m/>
    <n v="487"/>
    <m/>
    <s v="Jason Williams"/>
    <s v="1999 Upper Deck"/>
    <s v="-"/>
    <s v="101"/>
    <n v="1.23"/>
    <x v="12"/>
    <s v="For Sale"/>
    <n v="1"/>
    <n v="2"/>
    <n v="1.25"/>
    <n v="1"/>
  </r>
  <r>
    <x v="158"/>
    <s v="Jason Williams #214"/>
    <s v="Basketball Cards 1999 Finest"/>
    <n v="119"/>
    <s v="Ungraded"/>
    <s v="Normal wear"/>
    <m/>
    <m/>
    <n v="0"/>
    <n v="1"/>
    <d v="2026-05-31T00:00:00"/>
    <m/>
    <m/>
    <n v="473"/>
    <m/>
    <s v="Jason Williams"/>
    <s v="1999 Finest"/>
    <s v="-"/>
    <s v="214"/>
    <n v="1.19"/>
    <x v="12"/>
    <s v="For Sale"/>
    <n v="1"/>
    <n v="2"/>
    <n v="1.25"/>
    <n v="1"/>
  </r>
  <r>
    <x v="159"/>
    <s v="Jason Williams #77"/>
    <s v="Basketball Cards 2000 Fleer E-X"/>
    <n v="0"/>
    <s v="Ungraded"/>
    <s v="Normal wear"/>
    <m/>
    <m/>
    <n v="0"/>
    <n v="1"/>
    <d v="2026-05-31T00:00:00"/>
    <m/>
    <m/>
    <n v="602"/>
    <m/>
    <s v="Jason Williams"/>
    <s v="2000 Fleer E-X"/>
    <s v="-"/>
    <s v="77"/>
    <n v="0"/>
    <x v="12"/>
    <s v="For Sale"/>
    <n v="1"/>
    <n v="2"/>
    <n v="0.25"/>
    <n v="0.25"/>
  </r>
  <r>
    <x v="160"/>
    <s v="Ken Griffey Jr. #336"/>
    <s v="Baseball Cards 1990 Topps Tiffany"/>
    <n v="1072"/>
    <s v="Ungraded"/>
    <s v="Normal wear"/>
    <m/>
    <m/>
    <n v="0"/>
    <n v="1"/>
    <d v="2026-04-17T00:00:00"/>
    <m/>
    <m/>
    <n v="43"/>
    <m/>
    <s v="Ken Griffey Jr."/>
    <s v="1990 Topps Tiffany"/>
    <s v="-"/>
    <s v="336"/>
    <n v="10.72"/>
    <x v="13"/>
    <s v="For Sale"/>
    <n v="1"/>
    <n v="2"/>
    <n v="13"/>
    <n v="11"/>
  </r>
  <r>
    <x v="161"/>
    <s v="Ken Griffey Jr. #424"/>
    <s v="Baseball Cards 1992 Upper Deck"/>
    <n v="160"/>
    <s v="Ungraded"/>
    <s v="Normal wear"/>
    <m/>
    <m/>
    <n v="0"/>
    <n v="1"/>
    <d v="2026-04-17T00:00:00"/>
    <m/>
    <m/>
    <n v="373"/>
    <m/>
    <s v="Ken Griffey Jr."/>
    <s v="1992 Upper Deck"/>
    <s v="-"/>
    <s v="424"/>
    <n v="1.6"/>
    <x v="13"/>
    <s v="For Sale"/>
    <n v="1"/>
    <n v="2"/>
    <n v="2"/>
    <n v="1.5"/>
  </r>
  <r>
    <x v="162"/>
    <s v="Mark Jackson #205"/>
    <s v="Basketball Cards 1990 Hoops"/>
    <n v="865"/>
    <s v="Ungraded"/>
    <s v="Normal wear"/>
    <m/>
    <m/>
    <n v="0"/>
    <n v="1"/>
    <d v="2026-04-15T00:00:00"/>
    <m/>
    <m/>
    <n v="41"/>
    <m/>
    <s v="Mark Jackson"/>
    <s v="1990 Hoops"/>
    <s v="-"/>
    <s v="205"/>
    <n v="8.65"/>
    <x v="14"/>
    <s v="For Sale"/>
    <n v="1"/>
    <n v="2"/>
    <n v="10"/>
    <n v="9"/>
  </r>
  <r>
    <x v="163"/>
    <s v="Nikola Jokic [Ruby Wave Prizm] #84"/>
    <s v="Basketball Cards 2019 Panini Prizm"/>
    <n v="1952"/>
    <s v="Graded 9"/>
    <s v="Normal wear"/>
    <m/>
    <s v="&quot;https://www.whatnot.com/order/27RrZ5UcQbAp2yynBpazpE_x000d__x000a_$15.00 + $0.21 (Shared Shipping) + $1.56 Tax = Total of $16.77&quot;"/>
    <n v="1677"/>
    <n v="1"/>
    <d v="2026-05-12T00:00:00"/>
    <d v="2026-05-06T00:00:00"/>
    <s v="PSA"/>
    <n v="51082129"/>
    <m/>
    <s v="Nikola Jokic"/>
    <s v="2019 Panini Prizm"/>
    <s v="Ruby Wave Prizm"/>
    <s v="84"/>
    <n v="19.52"/>
    <x v="15"/>
    <s v="For Sale"/>
    <n v="1"/>
    <n v="2"/>
    <n v="23"/>
    <n v="17"/>
  </r>
  <r>
    <x v="164"/>
    <s v="Nikola Jokic [Silver] #12"/>
    <s v="Basketball Cards 2024 Panini NBA Hoops"/>
    <n v="580"/>
    <s v="Ungraded"/>
    <s v="Normal wear"/>
    <m/>
    <s v="&quot;https://www.whatnot.com/order/RykinryybXh9vCb6txwXKc_x000d__x000a_$2.00 + $0.74 (Shared Shipping) + $0.28 Tax = Total of $3.02&quot;_x000d__x000a_"/>
    <n v="302"/>
    <n v="1"/>
    <d v="2026-05-12T00:00:00"/>
    <d v="2026-05-12T00:00:00"/>
    <m/>
    <n v="50"/>
    <m/>
    <s v="Nikola Jokic"/>
    <s v="2024 Panini NBA Hoops"/>
    <s v="Silver"/>
    <s v="12"/>
    <n v="5.8"/>
    <x v="15"/>
    <s v="For Sale"/>
    <n v="1"/>
    <n v="2"/>
    <n v="7"/>
    <n v="3"/>
  </r>
  <r>
    <x v="165"/>
    <s v="Nikola Jokic [Silver Prizm] #92"/>
    <s v="Basketball Cards 2018 Panini Prizm"/>
    <n v="399"/>
    <s v="Ungraded"/>
    <s v="Normal wear"/>
    <m/>
    <s v="&quot;https://www.whatnot.com/order/QxNucFNxSrMWbb9wNao39X_x000d__x000a_$1.00 + $0.43 (Shared Shipping) + $0.15 Tax = Total of $1.57&quot;"/>
    <n v="157"/>
    <n v="1"/>
    <d v="2026-05-22T00:00:00"/>
    <d v="2026-05-19T00:00:00"/>
    <m/>
    <n v="141"/>
    <m/>
    <s v="Nikola Jokic"/>
    <s v="2018 Panini Prizm"/>
    <s v="Silver Prizm"/>
    <s v="92"/>
    <n v="3.99"/>
    <x v="15"/>
    <s v="For Sale"/>
    <n v="1"/>
    <n v="2"/>
    <n v="5"/>
    <n v="1.5"/>
  </r>
  <r>
    <x v="166"/>
    <s v="Nikola Jokic [Holo] #28"/>
    <s v="Basketball Cards 2019 Panini Hoops Lights Camera Action"/>
    <n v="300"/>
    <s v="Ungraded"/>
    <s v="Normal wear"/>
    <m/>
    <s v="&quot;https://www.whatnot.com/order/7eozouSEnosHtokHHfAAYH_x000d__x000a_$1.67 + $1.02 (Shared Shipping) + $0.28 Tax = Total of $2.97&quot;"/>
    <n v="297"/>
    <n v="1"/>
    <d v="2026-05-14T00:00:00"/>
    <d v="2026-05-08T00:00:00"/>
    <m/>
    <n v="177"/>
    <m/>
    <s v="Nikola Jokic"/>
    <s v="2019 Panini Hoops Lights Camera Action"/>
    <s v="Holo"/>
    <s v="28"/>
    <n v="3"/>
    <x v="15"/>
    <s v="For Sale"/>
    <n v="1"/>
    <n v="2"/>
    <n v="4"/>
    <n v="3"/>
  </r>
  <r>
    <x v="167"/>
    <s v="Nikola Jokic [Blue] #60"/>
    <s v="Basketball Cards 2025 Topps Match Attax"/>
    <n v="249"/>
    <s v="Ungraded"/>
    <s v="Normal wear"/>
    <m/>
    <s v="&quot;https://www.whatnot.com/order/Wurw4zw2wFBAE84zbwVyWp_x000d__x000a_$6.00 + $2.48 (Shared Shipping) + $0.87 Tax = Total of $9.34&quot;"/>
    <n v="934"/>
    <n v="1"/>
    <d v="2026-05-12T00:00:00"/>
    <d v="2026-05-03T00:00:00"/>
    <m/>
    <n v="208"/>
    <m/>
    <s v="Nikola Jokic"/>
    <s v="2025 Topps Match Attax"/>
    <s v="Blue"/>
    <s v="60"/>
    <n v="2.4900000000000002"/>
    <x v="15"/>
    <s v="For Sale"/>
    <n v="1"/>
    <n v="2"/>
    <n v="11"/>
    <n v="2.5"/>
  </r>
  <r>
    <x v="168"/>
    <s v="Nikola Jokic #291"/>
    <s v="Basketball Cards 2023 Panini Hoops"/>
    <n v="151"/>
    <s v="Ungraded"/>
    <s v="Normal wear"/>
    <m/>
    <m/>
    <n v="0"/>
    <n v="1"/>
    <d v="2026-06-13T00:00:00"/>
    <m/>
    <m/>
    <n v="405"/>
    <m/>
    <s v="Nikola Jokic"/>
    <s v="2023 Panini Hoops"/>
    <s v="-"/>
    <s v="291"/>
    <n v="1.51"/>
    <x v="15"/>
    <s v="For Sale"/>
    <n v="1"/>
    <n v="2"/>
    <n v="2"/>
    <n v="1.5"/>
  </r>
  <r>
    <x v="169"/>
    <s v="Nikola Jokic [Hyper Pink] #100"/>
    <s v="Basketball Cards 2024 Panini Donruss Optic"/>
    <n v="147"/>
    <s v="Ungraded"/>
    <s v="Normal wear"/>
    <m/>
    <s v="&quot;https://www.whatnot.com/order/HWhpJLX6J4h4DZZVCaeVYr_x000d__x000a_$2.00 + $0.45 (Shared Shipping) + $0.23 Tax = Total of $2.52&quot;"/>
    <n v="252"/>
    <n v="1"/>
    <d v="2026-05-09T00:00:00"/>
    <d v="2026-05-04T00:00:00"/>
    <m/>
    <n v="443"/>
    <m/>
    <s v="Nikola Jokic"/>
    <s v="2024 Panini Donruss Optic"/>
    <s v="Hyper Pink"/>
    <s v="100"/>
    <n v="1.47"/>
    <x v="15"/>
    <s v="For Sale"/>
    <n v="1"/>
    <n v="2"/>
    <n v="3"/>
    <n v="1.25"/>
  </r>
  <r>
    <x v="170"/>
    <s v="Nikola Jokic #YK-6"/>
    <s v="Basketball Cards 2025 Bowman Young Kings"/>
    <n v="125"/>
    <s v="Ungraded"/>
    <s v="Normal wear"/>
    <m/>
    <s v="&quot;https://www.whatnot.com/order/7eozouSEnosHtokHHfAAYH_x000d__x000a_$1.67 + $1.02 (Shared Shipping) + $0.28 Tax = Total of $2.97&quot;"/>
    <n v="297"/>
    <n v="1"/>
    <d v="2026-05-12T00:00:00"/>
    <d v="2026-05-08T00:00:00"/>
    <m/>
    <n v="455"/>
    <m/>
    <s v="Nikola Jokic"/>
    <s v="2025 Bowman Young Kings"/>
    <s v="-"/>
    <s v="YK-6"/>
    <n v="1.25"/>
    <x v="15"/>
    <s v="For Sale"/>
    <n v="1"/>
    <n v="2"/>
    <n v="4"/>
    <n v="1.25"/>
  </r>
  <r>
    <x v="171"/>
    <s v="Nikola Jokic [Purple Shock] #96"/>
    <s v="Basketball Cards 2020 Panini Donruss Optic"/>
    <n v="111"/>
    <s v="Ungraded"/>
    <s v="Normal wear"/>
    <m/>
    <s v="&quot;whatnot.com/order/G3juFLZYNkeyx8YHXhJCeR_x000d__x000a_$1.50 + $0.00 (Shared Shipping) + $0.15 Tax = Total of $1.65&quot;"/>
    <n v="165"/>
    <n v="1"/>
    <d v="2026-06-18T00:00:00"/>
    <d v="2026-06-09T00:00:00"/>
    <m/>
    <n v="527"/>
    <m/>
    <s v="Nikola Jokic"/>
    <s v="2020 Panini Donruss Optic"/>
    <s v="Purple Shock"/>
    <s v="96"/>
    <n v="1.1100000000000001"/>
    <x v="15"/>
    <s v="For Sale"/>
    <n v="1"/>
    <n v="2"/>
    <n v="2"/>
    <n v="1"/>
  </r>
  <r>
    <x v="172"/>
    <s v="Nikola Jokic #GT-9"/>
    <s v="Basketball Cards 2025 Topps Chrome Go Time"/>
    <n v="99"/>
    <s v="Ungraded"/>
    <s v="Normal wear"/>
    <m/>
    <s v="https://www.whatnot.com/order/cJNMnCPndL2PTYmXUShR4H_x000d__x000a_$1.00 + $0.36 (Shared Shipping) + $0.14 Tax = Total of $1.50"/>
    <n v="150"/>
    <n v="1"/>
    <d v="2026-05-09T00:00:00"/>
    <d v="2026-05-03T00:00:00"/>
    <m/>
    <n v="539"/>
    <m/>
    <s v="Nikola Jokic"/>
    <s v="2025 Topps Chrome Go Time"/>
    <s v="-"/>
    <s v="GT-9"/>
    <n v="0.99"/>
    <x v="15"/>
    <s v="For Sale"/>
    <n v="1"/>
    <n v="2"/>
    <n v="2"/>
    <n v="0.75"/>
  </r>
  <r>
    <x v="173"/>
    <s v="Shai Gilgeous-Alexander [Yellow ice] #5"/>
    <s v="Basketball Cards 2023 Panini Phoenix Fade To Black"/>
    <n v="1499"/>
    <s v="Ungraded"/>
    <s v="Normal wear"/>
    <m/>
    <s v="&quot;https://www.whatnot.com/order/m58HF6hkjDzTFcY6dh42ZK_x000d__x000a_$24.00 + $1.39 (Shared Shipping) + $2.60 Tax = Total of $27.99&quot;"/>
    <n v="2799"/>
    <n v="1"/>
    <d v="2026-05-27T00:00:00"/>
    <d v="2026-05-27T00:00:00"/>
    <m/>
    <n v="21"/>
    <m/>
    <s v="Shai Gilgeous-Alexander"/>
    <s v="2023 Panini Phoenix Fade To Black"/>
    <s v="Yellow ice"/>
    <s v="5"/>
    <n v="14.99"/>
    <x v="16"/>
    <s v="For Sale"/>
    <n v="1"/>
    <n v="2"/>
    <n v="34"/>
    <n v="15"/>
  </r>
  <r>
    <x v="174"/>
    <s v="Shai Gilgeous-Alexander #195"/>
    <s v="Basketball Cards 2018 Panini Chronicles"/>
    <n v="907"/>
    <s v="Ungraded"/>
    <s v="Normal wear"/>
    <m/>
    <s v="&quot;https://www.whatnot.com/order/kHRrZndL3pVg4oJEbysd7V_x000d__x000a_$14.00 + $0.00 (Shared Shipping) + $1.44 Tax = Total of $15.44&quot;"/>
    <n v="1544"/>
    <n v="1"/>
    <d v="2026-05-23T00:00:00"/>
    <d v="2026-05-22T00:00:00"/>
    <m/>
    <n v="33"/>
    <m/>
    <s v="Shai Gilgeous-Alexander"/>
    <s v="2018 Panini Chronicles"/>
    <s v="-"/>
    <s v="195"/>
    <n v="9.07"/>
    <x v="16"/>
    <s v="For Sale"/>
    <n v="1"/>
    <n v="2"/>
    <n v="19"/>
    <n v="9"/>
  </r>
  <r>
    <x v="175"/>
    <s v="Shai Gilgeous-Alexander #100C-SG"/>
    <s v="Basketball Cards 2025 Topps Match Attax 100 Club"/>
    <n v="249"/>
    <s v="Ungraded"/>
    <s v="Normal wear"/>
    <m/>
    <s v="&quot;https://www.whatnot.com/order/Gzx3x3hroNb5oYG2Go9M4M_x000d__x000a_$3.00 + $0.35 (Shared Shipping) + $0.34 Tax = Total of $3.69&quot;"/>
    <n v="369"/>
    <n v="1"/>
    <d v="2026-05-22T00:00:00"/>
    <d v="2026-05-15T00:00:00"/>
    <m/>
    <n v="191"/>
    <m/>
    <s v="Shai Gilgeous-Alexander"/>
    <s v="2025 Topps Match Attax 100 Club"/>
    <s v="-"/>
    <s v="100C-SG"/>
    <n v="2.4900000000000002"/>
    <x v="16"/>
    <s v="For Sale"/>
    <n v="1"/>
    <n v="2"/>
    <n v="4"/>
    <n v="2.5"/>
  </r>
  <r>
    <x v="176"/>
    <s v="Shai Gilgeous-Alexander #SH-SG"/>
    <s v="Basketball Cards 2025 Topps Match Attax Scoring Hero"/>
    <n v="201"/>
    <s v="Ungraded"/>
    <s v="Normal wear"/>
    <m/>
    <s v="&quot;whatnot.com/order/QCeWrxwuLDSmy5kirafwrW_x000d__x000a_$1.00 + $0.35 (Shared Shipping) + $0.14 Tax = Total of $1.49&quot;"/>
    <n v="149"/>
    <n v="1"/>
    <d v="2026-06-10T00:00:00"/>
    <d v="2026-05-19T00:00:00"/>
    <m/>
    <n v="250"/>
    <m/>
    <s v="Shai Gilgeous-Alexander"/>
    <s v="2025 Topps Match Attax Scoring Hero"/>
    <s v="-"/>
    <s v="SH-SG"/>
    <n v="2.0099999999999998"/>
    <x v="16"/>
    <s v="For Sale"/>
    <n v="2"/>
    <n v="2"/>
    <n v="2.5"/>
    <n v="1.25"/>
  </r>
  <r>
    <x v="176"/>
    <s v="Shai Gilgeous-Alexander #SH-SG"/>
    <s v="Basketball Cards 2025 Topps Match Attax Scoring Hero"/>
    <n v="201"/>
    <s v="Ungraded"/>
    <s v="Normal wear"/>
    <m/>
    <s v="&quot;whatnot.com/order/gKVf7ZXT8eYzYEJbDN84nY_x000d__x000a_$2.00 + $0.80 (Shared Shipping) + $0.29 Tax = Total of $3.09&quot;"/>
    <n v="309"/>
    <n v="1"/>
    <d v="2026-06-10T00:00:00"/>
    <d v="2026-05-19T00:00:00"/>
    <m/>
    <n v="251"/>
    <m/>
    <s v="Shai Gilgeous-Alexander"/>
    <s v="2025 Topps Match Attax Scoring Hero"/>
    <s v="-"/>
    <s v="SH-SG"/>
    <n v="2.0099999999999998"/>
    <x v="16"/>
    <s v="For Sale"/>
    <n v="2"/>
    <n v="2"/>
    <n v="4"/>
    <n v="1.5"/>
  </r>
  <r>
    <x v="177"/>
    <s v="Shai Gilgeous-Alexander [Hyper Pink] #127"/>
    <s v="Basketball Cards 2024 Panini Donruss Optic"/>
    <n v="197"/>
    <s v="Ungraded"/>
    <s v="Normal wear"/>
    <m/>
    <s v="https://www.whatnot.com/order/YSnqxDb4AmM3M6XH7veFMz_x000d__x000a_$3.00 + $0.74 (Shared Shipping) + $0.38 Tax = Total of $4.12"/>
    <n v="412"/>
    <n v="1"/>
    <d v="2026-05-12T00:00:00"/>
    <d v="2026-05-12T00:00:00"/>
    <m/>
    <n v="316"/>
    <m/>
    <s v="Shai Gilgeous-Alexander"/>
    <s v="2024 Panini Donruss Optic"/>
    <s v="Hyper Pink"/>
    <s v="127"/>
    <n v="1.97"/>
    <x v="16"/>
    <s v="For Sale"/>
    <n v="1"/>
    <n v="2"/>
    <n v="5"/>
    <n v="2"/>
  </r>
  <r>
    <x v="178"/>
    <s v="Shai Gilgeous-Alexander #35"/>
    <s v="Basketball Cards 2020 Panini Illusions"/>
    <n v="179"/>
    <s v="Ungraded"/>
    <s v="Normal wear"/>
    <m/>
    <s v="&quot;https://www.whatnot.com/order/7eozouSEnosHtokHHfAAYH_x000d__x000a_$1.67 + $1.02 (Shared Shipping) + $0.28 Tax = Total of $2.97&quot;"/>
    <n v="297"/>
    <n v="1"/>
    <d v="2026-05-12T00:00:00"/>
    <d v="2026-05-08T00:00:00"/>
    <m/>
    <n v="381"/>
    <m/>
    <s v="Shai Gilgeous-Alexander"/>
    <s v="2020 Panini Illusions"/>
    <s v="-"/>
    <s v="35"/>
    <n v="1.79"/>
    <x v="16"/>
    <s v="For Sale"/>
    <n v="1"/>
    <n v="2"/>
    <n v="4"/>
    <n v="2"/>
  </r>
  <r>
    <x v="179"/>
    <s v="Shai Gilgeous-Alexander #6"/>
    <s v="Basketball Cards 2024 Panini Donruss Optic My House"/>
    <n v="163"/>
    <s v="Ungraded"/>
    <s v="Normal wear"/>
    <m/>
    <s v="&quot;https://www.whatnot.com/order/eYoXvD5HkSQiYCAdyKw6ww_x000d__x000a_$2.00 + $0.28 (Shared Shipping) + $0.23 Tax = Total of $2.51&quot;"/>
    <n v="251"/>
    <n v="1"/>
    <d v="2026-05-15T00:00:00"/>
    <d v="2026-05-14T00:00:00"/>
    <m/>
    <n v="332"/>
    <m/>
    <s v="Shai Gilgeous-Alexander"/>
    <s v="2024 Panini Donruss Optic My House"/>
    <s v="-"/>
    <s v="6"/>
    <n v="1.63"/>
    <x v="16"/>
    <s v="For Sale"/>
    <n v="1"/>
    <n v="2"/>
    <n v="3"/>
    <n v="1.5"/>
  </r>
  <r>
    <x v="180"/>
    <s v="Shai Gilgeous-Alexander [Hyper Pink] #104"/>
    <s v="Basketball Cards 2023 Panini Donruss Optic"/>
    <n v="154"/>
    <s v="Ungraded"/>
    <s v="Normal wear"/>
    <m/>
    <s v="&quot;https://www.whatnot.com/order/dXNnRDYZ4XQd5syXTuJfHb_x000d__x000a_$2.00 + $0.63 (Shared Shipping) + $0.27 Tax = Total of $2.90&quot;"/>
    <n v="290"/>
    <n v="1"/>
    <d v="2026-05-14T00:00:00"/>
    <d v="2026-05-13T00:00:00"/>
    <m/>
    <n v="370"/>
    <m/>
    <s v="Shai Gilgeous-Alexander"/>
    <s v="2023 Panini Donruss Optic"/>
    <s v="Hyper Pink"/>
    <s v="104"/>
    <n v="1.54"/>
    <x v="16"/>
    <s v="For Sale"/>
    <n v="1"/>
    <n v="2"/>
    <n v="3"/>
    <n v="1.5"/>
  </r>
  <r>
    <x v="181"/>
    <s v="Shai Gilgeous-Alexander [Winter] #76"/>
    <s v="Basketball Cards 2023 Panini Revolution"/>
    <n v="150"/>
    <s v="Ungraded"/>
    <s v="Normal wear"/>
    <m/>
    <s v="&quot;https://www.whatnot.com/order/3x7P2iegqgUTYbwc6HCeds_x000d__x000a_$2.00 + $0.78 (Shared Shipping) + $0.28 Tax = Total of $3.06&quot;"/>
    <n v="306"/>
    <n v="1"/>
    <d v="2026-05-20T00:00:00"/>
    <d v="2026-05-20T00:00:00"/>
    <m/>
    <n v="424"/>
    <m/>
    <s v="Shai Gilgeous-Alexander"/>
    <s v="2023 Panini Revolution"/>
    <s v="Winter"/>
    <s v="76"/>
    <n v="1.5"/>
    <x v="16"/>
    <s v="For Sale"/>
    <n v="1"/>
    <n v="2"/>
    <n v="4"/>
    <n v="1.5"/>
  </r>
  <r>
    <x v="182"/>
    <s v="Shai Gilgeous-Alexander #6"/>
    <s v="Basketball Cards 2024 Panini Donruss Optic Splash"/>
    <n v="125"/>
    <s v="Ungraded"/>
    <s v="Normal wear"/>
    <m/>
    <s v="&quot;https://www.whatnot.com/order/BxpSgRamxcouLJ5UoJeEaP_x000d__x000a_$1.00 + $1.60 (Shared Shipping) + $0.27 Tax = Total of $2.87&quot;"/>
    <n v="287"/>
    <n v="1"/>
    <d v="2026-05-17T00:00:00"/>
    <d v="2026-05-16T00:00:00"/>
    <m/>
    <n v="533"/>
    <m/>
    <s v="Shai Gilgeous-Alexander"/>
    <s v="2024 Panini Donruss Optic Splash"/>
    <s v="-"/>
    <s v="6"/>
    <n v="1.25"/>
    <x v="16"/>
    <s v="For Sale"/>
    <n v="1"/>
    <n v="2"/>
    <n v="3"/>
    <n v="1.25"/>
  </r>
  <r>
    <x v="183"/>
    <s v="Shai Gilgeous-Alexander #8"/>
    <s v="Basketball Cards 2024 Panini Revolution"/>
    <n v="121"/>
    <s v="Ungraded"/>
    <s v="Normal wear"/>
    <m/>
    <s v="&quot;https://www.whatnot.com/order/NMxKJ4hE9QKucKgDpADrjE_x000d__x000a_$2.50 + $0.00 (Shared Shipping) + $0.26 Tax = Total of $2.76&quot;"/>
    <n v="276"/>
    <n v="1"/>
    <d v="2026-05-24T00:00:00"/>
    <d v="2026-05-23T00:00:00"/>
    <m/>
    <n v="496"/>
    <m/>
    <s v="Shai Gilgeous-Alexander"/>
    <s v="2024 Panini Revolution"/>
    <s v="-"/>
    <s v="8"/>
    <n v="1.21"/>
    <x v="16"/>
    <s v="For Sale"/>
    <n v="2"/>
    <n v="2"/>
    <n v="3"/>
    <n v="1"/>
  </r>
  <r>
    <x v="183"/>
    <s v="Shai Gilgeous-Alexander #8"/>
    <s v="Basketball Cards 2024 Panini Revolution"/>
    <n v="121"/>
    <s v="Ungraded"/>
    <s v="Normal wear"/>
    <m/>
    <s v="&quot;https://www.whatnot.com/order/BxpSgRamxcouLJ5UoJeEaP_x000d__x000a_$1.00 + $1.60 (Shared Shipping) + $0.27 Tax = Total of $2.87&quot;"/>
    <n v="287"/>
    <n v="1"/>
    <d v="2026-05-17T00:00:00"/>
    <d v="2026-05-16T00:00:00"/>
    <m/>
    <n v="497"/>
    <m/>
    <s v="Shai Gilgeous-Alexander"/>
    <s v="2024 Panini Revolution"/>
    <s v="-"/>
    <s v="8"/>
    <n v="1.21"/>
    <x v="16"/>
    <s v="For Sale"/>
    <n v="2"/>
    <n v="2"/>
    <n v="3"/>
    <n v="1"/>
  </r>
  <r>
    <x v="184"/>
    <s v="Shai Gilgeous-Alexander #286"/>
    <s v="Basketball Cards 2025 Topps NBA Hoops"/>
    <n v="102"/>
    <s v="Ungraded"/>
    <s v="Normal wear"/>
    <m/>
    <s v="&quot;https://www.whatnot.com/order/nAEkrSA7yzkeKXKekwWJV7_x000d__x000a_$0.50 + $0.27 (Shared Shipping) + $0.08 Tax = Total of $0.85&quot;"/>
    <n v="85"/>
    <n v="1"/>
    <d v="2026-05-22T00:00:00"/>
    <d v="2026-05-17T00:00:00"/>
    <m/>
    <n v="347"/>
    <m/>
    <s v="Shai Gilgeous-Alexander"/>
    <s v="2025 Topps NBA Hoops"/>
    <s v="-"/>
    <s v="286"/>
    <n v="1.02"/>
    <x v="16"/>
    <s v="For Sale"/>
    <n v="2"/>
    <n v="2"/>
    <n v="1"/>
    <n v="0.5"/>
  </r>
  <r>
    <x v="184"/>
    <s v="Shai Gilgeous-Alexander #286"/>
    <s v="Basketball Cards 2025 Topps NBA Hoops"/>
    <n v="102"/>
    <s v="Ungraded"/>
    <s v="Normal wear"/>
    <m/>
    <s v="https://www.whatnot.com/order/D6qPAHQXHsNLKzLT7qX4E9_x000d__x000a_$2.00 + $1.20 (Shared Shipping) + $0.33 Tax = Total of $3.53"/>
    <n v="353"/>
    <n v="1"/>
    <d v="2026-05-22T00:00:00"/>
    <d v="2026-05-19T00:00:00"/>
    <m/>
    <n v="351"/>
    <m/>
    <s v="Shai Gilgeous-Alexander"/>
    <s v="2025 Topps NBA Hoops"/>
    <s v="-"/>
    <s v="286"/>
    <n v="1.02"/>
    <x v="16"/>
    <s v="For Sale"/>
    <n v="2"/>
    <n v="2"/>
    <n v="4"/>
    <n v="0.75"/>
  </r>
  <r>
    <x v="185"/>
    <s v="Tim Duncan #66"/>
    <s v="Basketball Cards 1997 Metal Universe"/>
    <n v="1255"/>
    <s v="Ungraded"/>
    <s v="Normal wear"/>
    <m/>
    <m/>
    <n v="0"/>
    <n v="1"/>
    <d v="2026-04-16T00:00:00"/>
    <d v="2026-04-16T00:00:00"/>
    <m/>
    <n v="24"/>
    <m/>
    <s v="Tim Duncan"/>
    <s v="1997 Metal Universe"/>
    <s v="-"/>
    <s v="66"/>
    <n v="12.55"/>
    <x v="17"/>
    <s v="For Sale"/>
    <n v="1"/>
    <n v="2"/>
    <n v="15"/>
    <n v="13"/>
  </r>
  <r>
    <x v="186"/>
    <s v="Tim Duncan #18"/>
    <s v="Basketball Cards 1997 Ultra Star Power"/>
    <n v="476"/>
    <s v="Ungraded"/>
    <s v="Normal wear"/>
    <m/>
    <m/>
    <n v="0"/>
    <n v="1"/>
    <d v="2026-04-17T00:00:00"/>
    <m/>
    <m/>
    <n v="119"/>
    <m/>
    <s v="Tim Duncan"/>
    <s v="1997 Ultra Star Power"/>
    <s v="-"/>
    <s v="18"/>
    <n v="4.76"/>
    <x v="17"/>
    <s v="For Sale"/>
    <n v="1"/>
    <n v="2"/>
    <n v="6"/>
    <n v="5"/>
  </r>
  <r>
    <x v="187"/>
    <s v="Tyrese Maxey [Electric Etch Orange Flood] #20"/>
    <s v="Basketball Cards 2024 Panini Obsidian Equinox"/>
    <n v="1140"/>
    <s v="Ungraded"/>
    <s v="Normal wear"/>
    <m/>
    <s v="&quot;https://www.whatnot.com/order/RkyA6Bkpg2Bd9SGH2hZzTu_x000d__x000a_$10.00 + $4.35 (Shared Shipping) + $1.47 Tax = Total of $15.82&quot;"/>
    <n v="1582"/>
    <n v="1"/>
    <d v="2026-05-15T00:00:00"/>
    <d v="2026-05-14T00:00:00"/>
    <m/>
    <n v="28"/>
    <m/>
    <s v="Tyrese Maxey"/>
    <s v="2024 Panini Obsidian Equinox"/>
    <s v="Electric Etch Orange Flood"/>
    <s v="20"/>
    <n v="11.4"/>
    <x v="18"/>
    <s v="For Sale"/>
    <n v="1"/>
    <n v="2"/>
    <n v="19"/>
    <n v="11"/>
  </r>
  <r>
    <x v="188"/>
    <s v="Tyrese Maxey [Holo] #135"/>
    <s v="Basketball Cards 2024 Panini Donruss Optic"/>
    <n v="100"/>
    <s v="Ungraded"/>
    <s v="Normal wear"/>
    <m/>
    <s v="&quot;https://www.whatnot.com/order/apudhfkcpm8mjfcciD2gPJ_x000d__x000a_$2.00 + $0.74 (Shared Shipping) + $0.28 Tax = Total of $3.02&quot;"/>
    <n v="302"/>
    <n v="1"/>
    <d v="2026-05-12T00:00:00"/>
    <d v="2026-05-12T00:00:00"/>
    <m/>
    <n v="549"/>
    <m/>
    <s v="Tyrese Maxey"/>
    <s v="2024 Panini Donruss Optic"/>
    <s v="Holo"/>
    <s v="135"/>
    <n v="1"/>
    <x v="18"/>
    <s v="For Sale"/>
    <n v="1"/>
    <n v="2"/>
    <n v="4"/>
    <n v="1"/>
  </r>
  <r>
    <x v="189"/>
    <s v="Wolverine Crippled #4"/>
    <s v="Marvel 1994 Ultra X-Men Fatal Attractions"/>
    <n v="636"/>
    <s v="Ungraded"/>
    <s v="Normal wear"/>
    <m/>
    <m/>
    <n v="0"/>
    <n v="1"/>
    <d v="2026-04-17T00:00:00"/>
    <m/>
    <m/>
    <n v="122"/>
    <m/>
    <s v="Wolverine Crippled"/>
    <s v="Marvel 1994 Ultra X-Men Fatal Attractions"/>
    <s v="-"/>
    <s v="4"/>
    <n v="6.36"/>
    <x v="19"/>
    <s v="For Sale"/>
    <n v="1"/>
    <n v="2"/>
    <n v="8"/>
    <n v="6"/>
  </r>
  <r>
    <x v="190"/>
    <s v="Allen Iverson #201"/>
    <s v="Basketball Cards 1996 Fleer Metal"/>
    <n v="513"/>
    <s v="Ungraded"/>
    <s v="Normal wear"/>
    <m/>
    <m/>
    <n v="0"/>
    <n v="1"/>
    <d v="2026-04-15T00:00:00"/>
    <m/>
    <m/>
    <n v="117"/>
    <m/>
    <s v="Allen Iverson"/>
    <s v="1996 Fleer Metal"/>
    <s v="-"/>
    <s v="201"/>
    <n v="5.13"/>
    <x v="20"/>
    <s v="For Sale"/>
    <n v="1"/>
    <n v="3"/>
    <n v="6"/>
    <n v="5"/>
  </r>
  <r>
    <x v="191"/>
    <s v="Allen Iverson #236"/>
    <s v="Basketball Cards 1996 Metal Fresh Foundation"/>
    <n v="499"/>
    <s v="Ungraded"/>
    <s v="Normal wear"/>
    <m/>
    <m/>
    <n v="0"/>
    <n v="1"/>
    <d v="2026-05-30T00:00:00"/>
    <m/>
    <m/>
    <n v="114"/>
    <m/>
    <s v="Allen Iverson"/>
    <s v="1996 Metal Fresh Foundation"/>
    <s v="-"/>
    <s v="236"/>
    <n v="4.99"/>
    <x v="20"/>
    <s v="For Sale"/>
    <n v="1"/>
    <n v="3"/>
    <n v="6"/>
    <n v="5"/>
  </r>
  <r>
    <x v="192"/>
    <s v="Allen Iverson #91"/>
    <s v="Basketball Cards 1996 Upper Deck"/>
    <n v="375"/>
    <s v="Ungraded"/>
    <s v="Normal wear"/>
    <m/>
    <m/>
    <n v="0"/>
    <n v="1"/>
    <d v="2026-04-15T00:00:00"/>
    <m/>
    <m/>
    <n v="116"/>
    <m/>
    <s v="Allen Iverson"/>
    <s v="1996 Upper Deck"/>
    <s v="-"/>
    <s v="91"/>
    <n v="3.75"/>
    <x v="20"/>
    <s v="For Sale"/>
    <n v="1"/>
    <n v="3"/>
    <n v="5"/>
    <n v="4"/>
  </r>
  <r>
    <x v="193"/>
    <s v="Allen Iverson #85"/>
    <s v="Basketball Cards 1996 Skybox Premium"/>
    <n v="350"/>
    <s v="Ungraded"/>
    <s v="Normal wear"/>
    <m/>
    <m/>
    <n v="0"/>
    <n v="1"/>
    <d v="2026-04-15T00:00:00"/>
    <m/>
    <m/>
    <n v="154"/>
    <m/>
    <s v="Allen Iverson"/>
    <s v="1996 Skybox Premium"/>
    <s v="-"/>
    <s v="85"/>
    <n v="3.5"/>
    <x v="20"/>
    <s v="For Sale"/>
    <n v="1"/>
    <n v="3"/>
    <n v="4"/>
    <n v="4"/>
  </r>
  <r>
    <x v="194"/>
    <s v="Allen Iverson #216"/>
    <s v="Basketball Cards 1996 Skybox Premium"/>
    <n v="349"/>
    <s v="Ungraded"/>
    <s v="Normal wear"/>
    <m/>
    <m/>
    <n v="0"/>
    <n v="1"/>
    <d v="2026-04-17T00:00:00"/>
    <m/>
    <m/>
    <n v="164"/>
    <m/>
    <s v="Allen Iverson"/>
    <s v="1996 Skybox Premium"/>
    <s v="-"/>
    <s v="216"/>
    <n v="3.49"/>
    <x v="20"/>
    <s v="For Sale"/>
    <n v="1"/>
    <n v="3"/>
    <n v="4"/>
    <n v="3"/>
  </r>
  <r>
    <x v="195"/>
    <s v="Allen Iverson #66"/>
    <s v="Basketball Cards 1998 Upper Deck Black Diamond"/>
    <n v="250"/>
    <s v="Ungraded"/>
    <s v="Normal wear"/>
    <m/>
    <m/>
    <n v="0"/>
    <n v="1"/>
    <d v="2026-04-17T00:00:00"/>
    <m/>
    <m/>
    <n v="232"/>
    <m/>
    <s v="Allen Iverson"/>
    <s v="1998 Upper Deck Black Diamond"/>
    <s v="-"/>
    <s v="66"/>
    <n v="2.5"/>
    <x v="20"/>
    <s v="For Sale"/>
    <n v="1"/>
    <n v="3"/>
    <n v="3"/>
    <n v="3"/>
  </r>
  <r>
    <x v="196"/>
    <s v="Allen iverson"/>
    <s v="Basketball Cards 1997 Skybox Reebok Allen Iverson"/>
    <n v="234"/>
    <s v="Ungraded"/>
    <s v="Normal wear"/>
    <m/>
    <m/>
    <n v="0"/>
    <n v="1"/>
    <d v="2026-05-31T00:00:00"/>
    <m/>
    <m/>
    <n v="217"/>
    <m/>
    <s v="Allen Iverson"/>
    <s v="1997 Skybox Reebok Allen Iverson"/>
    <s v="-"/>
    <s v=""/>
    <n v="2.34"/>
    <x v="20"/>
    <s v="For Sale"/>
    <n v="1"/>
    <n v="3"/>
    <n v="3"/>
    <n v="2.5"/>
  </r>
  <r>
    <x v="197"/>
    <s v="Allen Iverson #350"/>
    <s v="Basketball Cards 1996 Upper Deck"/>
    <n v="201"/>
    <s v="Ungraded"/>
    <s v="Normal wear"/>
    <m/>
    <m/>
    <n v="0"/>
    <n v="1"/>
    <d v="2026-04-17T00:00:00"/>
    <m/>
    <m/>
    <n v="270"/>
    <m/>
    <s v="Allen Iverson"/>
    <s v="1996 Upper Deck"/>
    <s v="-"/>
    <s v="350"/>
    <n v="2.0099999999999998"/>
    <x v="20"/>
    <s v="For Sale"/>
    <n v="1"/>
    <n v="3"/>
    <n v="2.5"/>
    <n v="2"/>
  </r>
  <r>
    <x v="198"/>
    <s v="Allen Iverson #66"/>
    <s v="Basketball Cards 1999 Topps NBA Tipoff"/>
    <n v="150"/>
    <s v="Ungraded"/>
    <s v="Normal wear"/>
    <m/>
    <m/>
    <n v="0"/>
    <n v="1"/>
    <d v="2026-05-31T00:00:00"/>
    <m/>
    <m/>
    <n v="427"/>
    <m/>
    <s v="Allen Iverson"/>
    <s v="1999 Topps NBA Tipoff"/>
    <s v="-"/>
    <s v="66"/>
    <n v="1.5"/>
    <x v="20"/>
    <s v="For Sale"/>
    <n v="1"/>
    <n v="3"/>
    <n v="2"/>
    <n v="1.5"/>
  </r>
  <r>
    <x v="199"/>
    <s v="Allen Iverson #54"/>
    <s v="Basketball Cards 1997 Topps"/>
    <n v="148"/>
    <s v="Ungraded"/>
    <s v="Normal wear"/>
    <m/>
    <m/>
    <n v="0"/>
    <n v="1"/>
    <d v="2026-05-31T00:00:00"/>
    <m/>
    <m/>
    <n v="403"/>
    <m/>
    <s v="Allen Iverson"/>
    <s v="1997 Topps"/>
    <s v="-"/>
    <s v="54"/>
    <n v="1.48"/>
    <x v="20"/>
    <s v="For Sale"/>
    <n v="1"/>
    <n v="3"/>
    <n v="2"/>
    <n v="1.25"/>
  </r>
  <r>
    <x v="200"/>
    <s v="Allen Iverson #60"/>
    <s v="Basketball Cards 1999 SP Authentic"/>
    <n v="147"/>
    <s v="Ungraded"/>
    <s v="Normal wear"/>
    <m/>
    <m/>
    <n v="0"/>
    <n v="1"/>
    <d v="2026-04-17T00:00:00"/>
    <m/>
    <m/>
    <n v="388"/>
    <m/>
    <s v="Allen Iverson"/>
    <s v="1999 SP Authentic"/>
    <s v="-"/>
    <s v="60"/>
    <n v="1.47"/>
    <x v="20"/>
    <s v="For Sale"/>
    <n v="1"/>
    <n v="3"/>
    <n v="2"/>
    <n v="1.25"/>
  </r>
  <r>
    <x v="201"/>
    <s v="Alonzo Mourning #3"/>
    <s v="Basketball Cards 1996 Metal Edge"/>
    <n v="365"/>
    <s v="Ungraded"/>
    <s v="Normal wear"/>
    <m/>
    <m/>
    <n v="0"/>
    <n v="1"/>
    <d v="2026-05-30T00:00:00"/>
    <m/>
    <m/>
    <n v="150"/>
    <m/>
    <s v="Alonzo Mourning"/>
    <s v="1996 Metal Edge"/>
    <s v="-"/>
    <s v="3"/>
    <n v="3.65"/>
    <x v="21"/>
    <s v="For Sale"/>
    <n v="2"/>
    <n v="3"/>
    <n v="4"/>
    <n v="3"/>
  </r>
  <r>
    <x v="201"/>
    <s v="Alonzo Mourning #3"/>
    <s v="Basketball Cards 1996 Metal Edge"/>
    <n v="365"/>
    <s v="Ungraded"/>
    <s v="Normal wear"/>
    <m/>
    <m/>
    <n v="0"/>
    <n v="1"/>
    <d v="2026-06-10T00:00:00"/>
    <m/>
    <m/>
    <n v="151"/>
    <m/>
    <s v="Alonzo Mourning"/>
    <s v="1996 Metal Edge"/>
    <s v="-"/>
    <s v="3"/>
    <n v="3.65"/>
    <x v="21"/>
    <s v="For Sale"/>
    <n v="2"/>
    <n v="3"/>
    <n v="4"/>
    <n v="3"/>
  </r>
  <r>
    <x v="202"/>
    <s v="Alonzo Mourning #4"/>
    <s v="Basketball Cards 1995 Metal Steel Tower"/>
    <n v="159"/>
    <s v="Ungraded"/>
    <s v="Normal wear"/>
    <m/>
    <m/>
    <n v="0"/>
    <n v="1"/>
    <d v="2026-05-07T00:00:00"/>
    <m/>
    <m/>
    <n v="379"/>
    <m/>
    <s v="Alonzo Mourning"/>
    <s v="1995 Metal Steel Tower"/>
    <s v="-"/>
    <s v="4"/>
    <n v="1.59"/>
    <x v="21"/>
    <s v="For Sale"/>
    <n v="1"/>
    <n v="3"/>
    <n v="2"/>
    <n v="1.5"/>
  </r>
  <r>
    <x v="203"/>
    <s v="Anfernee Hardaway #7"/>
    <s v="Basketball Cards 1997 Ultra Star Power"/>
    <n v="403"/>
    <s v="Ungraded"/>
    <s v="Normal wear"/>
    <m/>
    <m/>
    <n v="0"/>
    <n v="1"/>
    <d v="2026-05-31T00:00:00"/>
    <m/>
    <m/>
    <n v="133"/>
    <m/>
    <s v="Anfernee Hardaway"/>
    <s v="1997 Ultra Star Power"/>
    <s v="-"/>
    <s v="7"/>
    <n v="4.03"/>
    <x v="22"/>
    <s v="For Sale"/>
    <n v="1"/>
    <n v="3"/>
    <n v="5"/>
    <n v="4"/>
  </r>
  <r>
    <x v="204"/>
    <s v="Anfernee Hardaway #305"/>
    <s v="Basketball Cards 1993 Ultra"/>
    <n v="188"/>
    <s v="Ungraded"/>
    <s v="Normal wear"/>
    <m/>
    <m/>
    <n v="0"/>
    <n v="1"/>
    <d v="2026-04-17T00:00:00"/>
    <m/>
    <m/>
    <n v="386"/>
    <m/>
    <s v="Anfernee Hardaway"/>
    <s v="1993 Ultra"/>
    <s v="-"/>
    <s v="305"/>
    <n v="1.88"/>
    <x v="22"/>
    <s v="For Sale"/>
    <n v="1"/>
    <n v="3"/>
    <n v="2.5"/>
    <n v="2"/>
  </r>
  <r>
    <x v="205"/>
    <s v="Anfernee Hardaway #382"/>
    <s v="Basketball Cards 1993 Upper Deck"/>
    <n v="163"/>
    <s v="Ungraded"/>
    <s v="Normal wear"/>
    <m/>
    <m/>
    <n v="0"/>
    <n v="1"/>
    <d v="2026-04-17T00:00:00"/>
    <m/>
    <m/>
    <n v="306"/>
    <m/>
    <s v="Anfernee Hardaway"/>
    <s v="1993 Upper Deck"/>
    <s v="-"/>
    <s v="382"/>
    <n v="1.63"/>
    <x v="22"/>
    <s v="For Sale"/>
    <n v="1"/>
    <n v="3"/>
    <n v="2"/>
    <n v="1.5"/>
  </r>
  <r>
    <x v="206"/>
    <s v="Anfernee Hardaway #343"/>
    <s v="Basketball Cards 1993 Fleer"/>
    <n v="161"/>
    <s v="Ungraded"/>
    <s v="Normal wear"/>
    <m/>
    <m/>
    <n v="0"/>
    <n v="1"/>
    <d v="2026-05-07T00:00:00"/>
    <d v="2026-05-07T00:00:00"/>
    <m/>
    <n v="321"/>
    <m/>
    <s v="Anfernee Hardaway"/>
    <s v="1993 Fleer"/>
    <s v="-"/>
    <s v="343"/>
    <n v="1.61"/>
    <x v="22"/>
    <s v="For Sale"/>
    <n v="1"/>
    <n v="3"/>
    <n v="2"/>
    <n v="1.5"/>
  </r>
  <r>
    <x v="207"/>
    <s v="Anfernee Hardaway #P12"/>
    <s v="Basketball Cards 1996 Upper Deck Predictor Scoring 1"/>
    <n v="0"/>
    <s v="Ungraded"/>
    <s v="Normal wear"/>
    <m/>
    <m/>
    <n v="0"/>
    <n v="1"/>
    <d v="2026-04-17T00:00:00"/>
    <d v="2026-04-16T00:00:00"/>
    <m/>
    <n v="608"/>
    <m/>
    <s v="Anfernee Hardaway"/>
    <s v="1996 Upper Deck Predictor Scoring 1"/>
    <s v="-"/>
    <s v="P12"/>
    <n v="0"/>
    <x v="22"/>
    <s v="For Sale"/>
    <n v="1"/>
    <n v="3"/>
    <n v="0.25"/>
    <n v="0.25"/>
  </r>
  <r>
    <x v="208"/>
    <s v="Branco #68"/>
    <s v="Soccer Cards 1994 Upper Deck World Cup Soccer"/>
    <n v="206"/>
    <s v="Ungraded"/>
    <s v="Normal wear"/>
    <m/>
    <m/>
    <n v="0"/>
    <n v="1"/>
    <d v="2026-06-13T00:00:00"/>
    <m/>
    <m/>
    <n v="245"/>
    <m/>
    <s v="Branco"/>
    <s v="1994 Upper Deck World Cup Soccer"/>
    <s v="-"/>
    <s v="68"/>
    <n v="2.06"/>
    <x v="23"/>
    <s v="For Sale"/>
    <n v="1"/>
    <n v="3"/>
    <n v="2.5"/>
    <n v="2"/>
  </r>
  <r>
    <x v="209"/>
    <s v="Branco #HS5"/>
    <s v="Soccer Cards 1994 Upper Deck World Cup Soccer Hot Shot"/>
    <n v="199"/>
    <s v="Ungraded"/>
    <s v="Normal wear"/>
    <m/>
    <m/>
    <n v="0"/>
    <n v="1"/>
    <d v="2026-06-13T00:00:00"/>
    <m/>
    <m/>
    <n v="273"/>
    <m/>
    <s v="Branco"/>
    <s v="1994 Upper Deck World Cup Soccer Hot Shot"/>
    <s v="-"/>
    <s v="HS5"/>
    <n v="1.99"/>
    <x v="23"/>
    <s v="For Sale"/>
    <n v="1"/>
    <n v="3"/>
    <n v="2.5"/>
    <n v="2"/>
  </r>
  <r>
    <x v="210"/>
    <s v="Charles Barkley #16"/>
    <s v="Basketball Cards 1997 Metal Universe Silver Slam"/>
    <n v="592"/>
    <s v="Ungraded"/>
    <s v="Normal wear"/>
    <m/>
    <m/>
    <n v="0"/>
    <n v="1"/>
    <d v="2026-04-17T00:00:00"/>
    <m/>
    <m/>
    <n v="112"/>
    <m/>
    <s v="Charles Barkley"/>
    <s v="1997 Metal Universe Silver Slam"/>
    <s v="-"/>
    <s v="16"/>
    <n v="5.92"/>
    <x v="24"/>
    <s v="For Sale"/>
    <n v="1"/>
    <n v="3"/>
    <n v="7"/>
    <n v="6"/>
  </r>
  <r>
    <x v="211"/>
    <s v="Charles Barkley [Metal Edge] #1"/>
    <s v="Basketball Cards 1996 Metal Edge"/>
    <n v="470"/>
    <s v="Ungraded"/>
    <s v="Normal wear"/>
    <m/>
    <m/>
    <n v="0"/>
    <n v="1"/>
    <d v="2026-04-15T00:00:00"/>
    <m/>
    <m/>
    <n v="124"/>
    <m/>
    <s v="Charles Barkley"/>
    <s v="1996 Metal Edge"/>
    <s v="Metal Edge"/>
    <s v="1"/>
    <n v="4.7"/>
    <x v="24"/>
    <s v="For Sale"/>
    <n v="1"/>
    <n v="3"/>
    <n v="6"/>
    <n v="5"/>
  </r>
  <r>
    <x v="212"/>
    <s v="Charles Barkley #6RR"/>
    <s v="Basketball Cards 1997 Ultra Rim Rockers"/>
    <n v="350"/>
    <s v="Ungraded"/>
    <s v="Normal wear"/>
    <m/>
    <m/>
    <n v="0"/>
    <n v="1"/>
    <d v="2026-05-31T00:00:00"/>
    <m/>
    <m/>
    <n v="159"/>
    <m/>
    <s v="Charles Barkley"/>
    <s v="1997 Ultra Rim Rockers"/>
    <s v="-"/>
    <s v="6RR"/>
    <n v="3.5"/>
    <x v="24"/>
    <s v="For Sale"/>
    <n v="1"/>
    <n v="3"/>
    <n v="4"/>
    <n v="4"/>
  </r>
  <r>
    <x v="213"/>
    <s v="Charles Barkley #1"/>
    <s v="Basketball Cards 1994 Ultra Power in the Key"/>
    <n v="197"/>
    <s v="Ungraded"/>
    <s v="Normal wear"/>
    <m/>
    <m/>
    <n v="0"/>
    <n v="1"/>
    <d v="2026-04-17T00:00:00"/>
    <m/>
    <m/>
    <n v="257"/>
    <m/>
    <s v="Charles Barkley"/>
    <s v="1994 Ultra Power in the Key"/>
    <s v="-"/>
    <s v="1"/>
    <n v="1.97"/>
    <x v="24"/>
    <s v="For Sale"/>
    <n v="1"/>
    <n v="3"/>
    <n v="2.5"/>
    <n v="2"/>
  </r>
  <r>
    <x v="214"/>
    <s v="Charles Barkley #251"/>
    <s v="Basketball Cards 1997 Ultra"/>
    <n v="131"/>
    <s v="Ungraded"/>
    <s v="Normal wear"/>
    <m/>
    <m/>
    <n v="0"/>
    <n v="1"/>
    <d v="2026-05-31T00:00:00"/>
    <m/>
    <m/>
    <n v="468"/>
    <m/>
    <s v="Charles Barkley"/>
    <s v="1997 Ultra"/>
    <s v="-"/>
    <s v="251"/>
    <n v="1.31"/>
    <x v="24"/>
    <s v="For Sale"/>
    <n v="1"/>
    <n v="3"/>
    <n v="1.5"/>
    <n v="1.25"/>
  </r>
  <r>
    <x v="215"/>
    <s v="Daniel Gafford [Purple Refractor] #78"/>
    <s v="Basketball Cards 2025 Topps Chrome"/>
    <n v="401"/>
    <s v="Ungraded"/>
    <s v="Normal wear"/>
    <m/>
    <s v="&quot;https://www.whatnot.com/order/fsZrqS9c5o3n2dqHjHqttF_x000d__x000a_$1.00 + $0.45 (Shared Shipping) + $0.12 Tax = Total of $1.26&quot;"/>
    <n v="126"/>
    <n v="1"/>
    <d v="2026-05-15T00:00:00"/>
    <d v="2026-05-04T00:00:00"/>
    <m/>
    <n v="134"/>
    <m/>
    <s v="Daniel Gafford"/>
    <s v="2025 Topps Chrome"/>
    <s v="Purple Refractor"/>
    <s v="78"/>
    <n v="4.01"/>
    <x v="25"/>
    <s v="For Sale"/>
    <n v="1"/>
    <n v="3"/>
    <n v="5"/>
    <n v="1.25"/>
  </r>
  <r>
    <x v="216"/>
    <s v="David Platt #304"/>
    <s v="Soccer Cards 1994 Upper Deck World Cup Soccer"/>
    <n v="200"/>
    <s v="Ungraded"/>
    <s v="Normal wear"/>
    <m/>
    <m/>
    <n v="0"/>
    <n v="1"/>
    <d v="2026-04-17T00:00:00"/>
    <m/>
    <m/>
    <n v="255"/>
    <m/>
    <s v="David Platt"/>
    <s v="1994 Upper Deck World Cup Soccer"/>
    <s v="-"/>
    <s v="304"/>
    <n v="2"/>
    <x v="26"/>
    <s v="For Sale"/>
    <n v="1"/>
    <n v="3"/>
    <n v="2.5"/>
    <n v="2"/>
  </r>
  <r>
    <x v="217"/>
    <s v="Devin Carter #SS-DC"/>
    <s v="Basketball Cards 2025 Topps Chrome Signature Style"/>
    <n v="256"/>
    <s v="Ungraded"/>
    <s v="Normal wear"/>
    <m/>
    <s v="&quot;https://www.whatnot.com/order/4qGFB5WJq67f7VePPgdKVK_x000d__x000a_$0.00 + $2.24 (Shared Shipping) + $0.23 Tax = Total of $2.46&quot;"/>
    <n v="246"/>
    <n v="1"/>
    <d v="2026-05-20T00:00:00"/>
    <d v="2026-05-20T00:00:00"/>
    <m/>
    <n v="227"/>
    <m/>
    <s v="Devin Carter"/>
    <s v="2025 Topps Chrome Signature Style"/>
    <s v="-"/>
    <s v="SS-DC"/>
    <n v="2.56"/>
    <x v="27"/>
    <s v="For Sale"/>
    <n v="1"/>
    <n v="3"/>
    <n v="3"/>
    <n v="2.5"/>
  </r>
  <r>
    <x v="218"/>
    <s v="Dino Baggio #154"/>
    <s v="Soccer Cards 1994 Upper Deck World Cup Soccer"/>
    <n v="350"/>
    <s v="Ungraded"/>
    <s v="Normal wear"/>
    <m/>
    <m/>
    <n v="0"/>
    <n v="1"/>
    <d v="2026-06-13T00:00:00"/>
    <m/>
    <m/>
    <n v="160"/>
    <m/>
    <s v="Dino Baggio"/>
    <s v="1994 Upper Deck World Cup Soccer"/>
    <s v="-"/>
    <s v="154"/>
    <n v="3.5"/>
    <x v="28"/>
    <s v="For Sale"/>
    <n v="1"/>
    <n v="3"/>
    <n v="4"/>
    <n v="4"/>
  </r>
  <r>
    <x v="219"/>
    <s v="Donovan Mitchell [Red and Yellow] #188"/>
    <s v="Basketball Cards 2017 Panini Donruss Optic"/>
    <n v="435"/>
    <s v="Ungraded"/>
    <s v="Normal wear"/>
    <m/>
    <s v="&quot;https://www.whatnot.com/order/iKMuPET2uvNEWaxZSPrWvT_x000d__x000a_$3.00 + $0.63 (Shared Shipping) + $0.37 Tax = Total of $4.00&quot;"/>
    <n v="400"/>
    <n v="1"/>
    <d v="2026-05-14T00:00:00"/>
    <d v="2026-05-13T00:00:00"/>
    <m/>
    <n v="113"/>
    <m/>
    <s v="Donovan Mitchell"/>
    <s v="2017 Panini Donruss Optic"/>
    <s v="Red and Yellow"/>
    <s v="188"/>
    <n v="4.3499999999999996"/>
    <x v="29"/>
    <s v="For Sale"/>
    <n v="1"/>
    <n v="3"/>
    <n v="5"/>
    <n v="4"/>
  </r>
  <r>
    <x v="220"/>
    <s v="Donovan Mitchell #188"/>
    <s v="Basketball Cards 2017 Panini Donruss Optic"/>
    <n v="397"/>
    <s v="Ungraded"/>
    <s v="Normal wear"/>
    <m/>
    <s v="&quot;https://www.whatnot.com/order/jsA2rRdn9VNgmytpu33ezw_x000d__x000a_$1.00 + $0.35 (Shared Shipping) + $0.14 Tax = Total of $1.48&quot;"/>
    <n v="148"/>
    <n v="1"/>
    <d v="2026-05-22T00:00:00"/>
    <d v="2026-05-15T00:00:00"/>
    <m/>
    <n v="130"/>
    <m/>
    <s v="Donovan Mitchell"/>
    <s v="2017 Panini Donruss Optic"/>
    <s v="-"/>
    <s v="188"/>
    <n v="3.97"/>
    <x v="29"/>
    <s v="For Sale"/>
    <n v="1"/>
    <n v="3"/>
    <n v="5"/>
    <n v="1.25"/>
  </r>
  <r>
    <x v="221"/>
    <s v="Donovan Mitchell [Hyper] #49"/>
    <s v="Basketball Cards 2024 Panini Prizm Black"/>
    <n v="325"/>
    <s v="Ungraded"/>
    <s v="Normal wear"/>
    <m/>
    <s v="&quot;https://www.whatnot.com/order/LWb3sBpSSuKkKt2ouhdoxo_x000d__x000a_$1.00 + $0.35 (Shared Shipping) + $0.14 Tax = Total of $1.48&quot;"/>
    <n v="148"/>
    <n v="1"/>
    <d v="2026-05-22T00:00:00"/>
    <d v="2026-05-15T00:00:00"/>
    <m/>
    <n v="165"/>
    <m/>
    <s v="Donovan Mitchell"/>
    <s v="2024 Panini Prizm Black"/>
    <s v="Hyper"/>
    <s v="49"/>
    <n v="3.25"/>
    <x v="29"/>
    <s v="For Sale"/>
    <n v="1"/>
    <n v="3"/>
    <n v="4"/>
    <n v="1.25"/>
  </r>
  <r>
    <x v="222"/>
    <s v="Earvin Johnson #578"/>
    <s v="Basketball Cards 1991 Hoops"/>
    <n v="205"/>
    <s v="Ungraded"/>
    <s v="Normal wear"/>
    <m/>
    <m/>
    <n v="0"/>
    <n v="1"/>
    <d v="2026-05-07T00:00:00"/>
    <m/>
    <m/>
    <n v="226"/>
    <m/>
    <s v="Earvin Johnson"/>
    <s v="1991 Hoops"/>
    <s v="-"/>
    <s v="578"/>
    <n v="2.0499999999999998"/>
    <x v="30"/>
    <s v="For Sale"/>
    <n v="1"/>
    <n v="3"/>
    <n v="2.5"/>
    <n v="2"/>
  </r>
  <r>
    <x v="223"/>
    <s v="Eric Wynalda #14"/>
    <s v="Soccer Cards 1994 Upper Deck World Cup Soccer"/>
    <n v="233"/>
    <s v="Ungraded"/>
    <s v="Normal wear"/>
    <m/>
    <m/>
    <n v="0"/>
    <n v="1"/>
    <d v="2026-04-17T00:00:00"/>
    <m/>
    <m/>
    <n v="221"/>
    <m/>
    <s v="Eric Wynalda"/>
    <s v="1994 Upper Deck World Cup Soccer"/>
    <s v="-"/>
    <s v="14"/>
    <n v="2.33"/>
    <x v="31"/>
    <s v="For Sale"/>
    <n v="1"/>
    <n v="3"/>
    <n v="3"/>
    <n v="2.5"/>
  </r>
  <r>
    <x v="224"/>
    <s v="JA Morant [Silver] #580"/>
    <s v="Basketball Cards 2019 Panini Chronicles"/>
    <n v="222"/>
    <s v="Ungraded"/>
    <s v="Normal wear"/>
    <m/>
    <s v="&quot;https://www.whatnot.com/order/dxXz2Jyt4MAZh5PgRPhA2e_x000d__x000a_$2.00 + $0.63 (Shared Shipping) + $0.27 Tax = Total of $2.90&quot;"/>
    <n v="290"/>
    <n v="1"/>
    <d v="2026-05-14T00:00:00"/>
    <d v="2026-05-13T00:00:00"/>
    <m/>
    <n v="233"/>
    <m/>
    <s v="JA Morant"/>
    <s v="2019 Panini Chronicles"/>
    <s v="Silver"/>
    <s v="580"/>
    <n v="2.2200000000000002"/>
    <x v="32"/>
    <s v="For Sale"/>
    <n v="1"/>
    <n v="3"/>
    <n v="3"/>
    <n v="2"/>
  </r>
  <r>
    <x v="225"/>
    <s v="JA Morant #168"/>
    <s v="Basketball Cards 2019 Panini Chronicles"/>
    <n v="200"/>
    <s v="Ungraded"/>
    <s v="Normal wear"/>
    <m/>
    <s v="&quot;https://www.whatnot.com/order/o8pD2uRJ2uJBZu72TvBaqn_x000d__x000a_$1.00 + $1.00 (Shared Shipping) + $0.21 Tax = Total of $2.21&quot;"/>
    <n v="221"/>
    <n v="1"/>
    <d v="2026-05-12T00:00:00"/>
    <d v="2026-05-08T00:00:00"/>
    <m/>
    <n v="209"/>
    <m/>
    <s v="JA Morant"/>
    <s v="2019 Panini Chronicles"/>
    <s v="-"/>
    <s v="168"/>
    <n v="2"/>
    <x v="32"/>
    <s v="For Sale"/>
    <n v="1"/>
    <n v="3"/>
    <n v="3"/>
    <n v="2"/>
  </r>
  <r>
    <x v="226"/>
    <s v="Ja Morant #KI-JM"/>
    <s v="Basketball Cards 2025 Topps Match Attax In Motion"/>
    <n v="199"/>
    <s v="Ungraded"/>
    <s v="Normal wear"/>
    <m/>
    <s v="&quot;https://www.whatnot.com/order/mnN4d6f44iDgHmgaGRqhz9_x000d__x000a_$1.00 + $0.35 (Shared Shipping) + $0.14 Tax = Total of $1.48&quot;"/>
    <n v="148"/>
    <n v="1"/>
    <d v="2026-05-21T00:00:00"/>
    <d v="2026-05-15T00:00:00"/>
    <m/>
    <n v="275"/>
    <m/>
    <s v="Ja Morant"/>
    <s v="2025 Topps Match Attax In Motion"/>
    <s v="-"/>
    <s v="KI-JM"/>
    <n v="1.99"/>
    <x v="32"/>
    <s v="For Sale"/>
    <n v="1"/>
    <n v="3"/>
    <n v="2.5"/>
    <n v="1.25"/>
  </r>
  <r>
    <x v="227"/>
    <s v="Ja Morant [Oil Spill Refractor] #93"/>
    <s v="Basketball Cards 2025 Topps Finest"/>
    <n v="153"/>
    <s v="Ungraded"/>
    <s v="Normal wear"/>
    <m/>
    <s v="&quot;https://www.whatnot.com/order/MwfykcrBkKSMi8nZ7VXmSm_x000d__x000a_$2.00 + $0.36 (Shared Shipping) + $0.24 Tax = Total of $2.61&quot;"/>
    <n v="261"/>
    <n v="1"/>
    <d v="2026-05-12T00:00:00"/>
    <d v="2026-05-12T00:00:00"/>
    <m/>
    <n v="489"/>
    <m/>
    <s v="Ja Morant"/>
    <s v="2025 Topps Finest"/>
    <s v="Oil Spill Refractor"/>
    <s v="93"/>
    <n v="1.53"/>
    <x v="32"/>
    <s v="For Sale"/>
    <n v="1"/>
    <n v="3"/>
    <n v="3"/>
    <n v="1.5"/>
  </r>
  <r>
    <x v="228"/>
    <s v="Ja Morant #264"/>
    <s v="Basketball Cards 2025 Topps NBA Hoops"/>
    <n v="125"/>
    <s v="Ungraded"/>
    <s v="Normal wear"/>
    <m/>
    <s v="&quot;https://www.whatnot.com/order/nAEkrSA7yzkeKXKekwWJV7_x000d__x000a_$0.50 + $0.27 (Shared Shipping) + $0.08 Tax = Total of $0.85&quot;"/>
    <n v="85"/>
    <n v="1"/>
    <d v="2026-05-22T00:00:00"/>
    <d v="2026-05-17T00:00:00"/>
    <m/>
    <n v="432"/>
    <m/>
    <s v="Ja Morant"/>
    <s v="2025 Topps NBA Hoops"/>
    <s v="-"/>
    <s v="264"/>
    <n v="1.25"/>
    <x v="32"/>
    <s v="For Sale"/>
    <n v="1"/>
    <n v="3"/>
    <n v="1.5"/>
    <n v="0.75"/>
  </r>
  <r>
    <x v="229"/>
    <s v="Jaden McDaniels [Silver Prizm] #10"/>
    <s v="Basketball Cards 2020 Panini Prizm Emergent"/>
    <n v="281"/>
    <s v="Ungraded"/>
    <s v="Normal wear"/>
    <m/>
    <s v="&quot;https://www.whatnot.com/order/6GpfoWGnD4i8UVt4E9YZb3_x000d__x000a_$2.00 + $1.09 (Shared Shipping) + $0.32 Tax = Total of $3.41&quot;_x000d__x000a_"/>
    <n v="341"/>
    <n v="1"/>
    <d v="2026-05-12T00:00:00"/>
    <d v="2026-05-12T00:00:00"/>
    <m/>
    <n v="222"/>
    <m/>
    <s v="Jaden McDaniels"/>
    <s v="2020 Panini Prizm Emergent"/>
    <s v="Silver Prizm"/>
    <s v="10"/>
    <n v="2.81"/>
    <x v="33"/>
    <s v="For Sale"/>
    <n v="1"/>
    <n v="3"/>
    <n v="4"/>
    <n v="3"/>
  </r>
  <r>
    <x v="230"/>
    <s v="Jarrett Culver #JCV"/>
    <s v="Basketball Cards 2019 Panini Revolution Rookie Autographs"/>
    <n v="217"/>
    <s v="Ungraded"/>
    <s v="Normal wear"/>
    <m/>
    <s v="&quot;https://www.whatnot.com/order/76LD29BivfBZrNXYeJq5xV_x000d__x000a_$3.00 + $1.72 (Shared Shipping) + $0.48 Tax = Total of $5.20&quot;"/>
    <n v="520"/>
    <n v="1"/>
    <d v="2026-05-12T00:00:00"/>
    <d v="2026-05-08T00:00:00"/>
    <m/>
    <n v="178"/>
    <m/>
    <s v="Jarrett Culver"/>
    <s v="2019 Panini Revolution Rookie Autographs"/>
    <s v="-"/>
    <s v="JCV"/>
    <n v="2.17"/>
    <x v="34"/>
    <s v="For Sale"/>
    <n v="1"/>
    <n v="3"/>
    <n v="6"/>
    <n v="2"/>
  </r>
  <r>
    <x v="231"/>
    <s v="Jayson Tatum [Orange Basketball Refractor] #164"/>
    <s v="Basketball Cards 2023 Topps Chrome"/>
    <n v="390"/>
    <s v="Ungraded"/>
    <s v="Normal wear"/>
    <m/>
    <s v="&quot;https://www.whatnot.com/order/9ER4Qs3djKVVj6qwbLpnAt_x000d__x000a_$1.50 + $1.20 (Shared Shipping) + $0.28 Tax = Total of $2.98&quot;"/>
    <n v="298"/>
    <n v="1"/>
    <d v="2026-05-30T00:00:00"/>
    <d v="2026-05-16T00:00:00"/>
    <m/>
    <n v="148"/>
    <m/>
    <s v="Jayson Tatum"/>
    <s v="2023 Topps Chrome"/>
    <s v="Orange Basketball Refractor"/>
    <s v="164"/>
    <n v="3.9"/>
    <x v="35"/>
    <s v="For Sale"/>
    <n v="1"/>
    <n v="3"/>
    <n v="5"/>
    <n v="3"/>
  </r>
  <r>
    <x v="232"/>
    <s v="Jayson Tatum [Red Ice] #51"/>
    <s v="Basketball Cards 2023 Panini Prizm Draft Picks"/>
    <n v="185"/>
    <s v="Ungraded"/>
    <s v="Normal wear"/>
    <m/>
    <s v="&quot;https://www.whatnot.com/order/9ER4Qs3djKVVj6qwbLpnAt_x000d__x000a_$1.50 + $1.20 (Shared Shipping) + $0.28 Tax = Total of $2.98&quot;"/>
    <n v="298"/>
    <n v="1"/>
    <d v="2026-05-17T00:00:00"/>
    <d v="2026-05-16T00:00:00"/>
    <m/>
    <n v="314"/>
    <m/>
    <s v="Jayson Tatum"/>
    <s v="2023 Panini Prizm Draft Picks"/>
    <s v="Red Ice"/>
    <s v="51"/>
    <n v="1.85"/>
    <x v="35"/>
    <s v="For Sale"/>
    <n v="1"/>
    <n v="3"/>
    <n v="4"/>
    <n v="2"/>
  </r>
  <r>
    <x v="233"/>
    <s v="Joe Burrow [Pulsar Refractor] #61"/>
    <s v="Football Cards 2025 Topps Chrome"/>
    <n v="238"/>
    <s v="Ungraded"/>
    <s v="Normal wear"/>
    <m/>
    <s v="&quot;https://www.whatnot.com/order/3GyMAAaJhKT35PtSFFmp7M_x000d__x000a_$1.00 + $0.28 (Shared Shipping) + $0.13 Tax = Total of $1.41&quot;"/>
    <n v="141"/>
    <n v="1"/>
    <d v="2026-05-15T00:00:00"/>
    <d v="2026-05-14T00:00:00"/>
    <m/>
    <n v="205"/>
    <m/>
    <s v="Joe Burrow"/>
    <s v="2025 Topps Chrome"/>
    <s v="Pulsar Refractor"/>
    <s v="61"/>
    <n v="2.38"/>
    <x v="36"/>
    <s v="For Sale"/>
    <n v="1"/>
    <n v="3"/>
    <n v="3"/>
    <n v="1.25"/>
  </r>
  <r>
    <x v="234"/>
    <s v="Joel Embiid #263"/>
    <s v="Basketball Cards 2014 Panini Hoops"/>
    <n v="556"/>
    <s v="Ungraded"/>
    <s v="Normal wear"/>
    <m/>
    <s v="&quot;https://www.whatnot.com/order/84EtWmjxZp84PtP5CNdWys_x000d__x000a_$3.00 + $2.48 (Shared Shipping) + $0.56 Tax = Total of $6.04&quot;_x000d__x000a_"/>
    <n v="604"/>
    <n v="1"/>
    <d v="2026-05-12T00:00:00"/>
    <d v="2026-05-05T00:00:00"/>
    <m/>
    <n v="125"/>
    <m/>
    <s v="Joel Embiid"/>
    <s v="2014 Panini Hoops"/>
    <s v="-"/>
    <s v="263"/>
    <n v="5.56"/>
    <x v="37"/>
    <s v="For Sale"/>
    <n v="1"/>
    <n v="3"/>
    <n v="7"/>
    <n v="6"/>
  </r>
  <r>
    <x v="235"/>
    <s v="Joel Embiid #4"/>
    <s v="Basketball Cards 2021 Panini Illusions Mystique"/>
    <n v="329"/>
    <s v="Ungraded"/>
    <s v="Normal wear"/>
    <m/>
    <s v="&quot;https://www.whatnot.com/order/n7MxSz7PrCaHnYLU8dzQbP_x000d__x000a_$1.00 + $0.43 (Shared Shipping) + $0.15 Tax = Total of $1.57&quot;"/>
    <n v="157"/>
    <n v="1"/>
    <d v="2026-05-22T00:00:00"/>
    <d v="2026-05-19T00:00:00"/>
    <m/>
    <n v="162"/>
    <m/>
    <s v="Joel Embiid"/>
    <s v="2021 Panini Illusions Mystique"/>
    <s v="-"/>
    <s v="4"/>
    <n v="3.29"/>
    <x v="37"/>
    <s v="For Sale"/>
    <n v="1"/>
    <n v="3"/>
    <n v="4"/>
    <n v="1.5"/>
  </r>
  <r>
    <x v="236"/>
    <s v="Joel Embiid [Purple Geometric Refractor] #INS-6"/>
    <s v="Basketball Cards 2024 Topps Chrome Instinct"/>
    <n v="100"/>
    <s v="Ungraded"/>
    <s v="Normal wear"/>
    <m/>
    <s v="&quot;https://www.whatnot.com/order/Z2R37fViUKxpmERP7PNyqv_x000d__x000a_$1.00 + $0.43 (Shared Shipping) + $0.15 Tax = Total of $1.57&quot;"/>
    <n v="157"/>
    <n v="1"/>
    <d v="2026-05-22T00:00:00"/>
    <d v="2026-05-19T00:00:00"/>
    <m/>
    <n v="547"/>
    <m/>
    <s v="Joel Embiid"/>
    <s v="2024 Topps Chrome Instinct"/>
    <s v="Purple Geometric Refractor"/>
    <s v="INS-6"/>
    <n v="1"/>
    <x v="37"/>
    <s v="For Sale"/>
    <n v="1"/>
    <n v="3"/>
    <n v="2"/>
    <n v="1"/>
  </r>
  <r>
    <x v="237"/>
    <s v="John Stockton #P18"/>
    <s v="Basketball Cards 1996 Upper Deck Predictor Scoring 2"/>
    <n v="299"/>
    <s v="Ungraded"/>
    <s v="Normal wear"/>
    <m/>
    <m/>
    <n v="0"/>
    <n v="1"/>
    <d v="2026-05-31T00:00:00"/>
    <m/>
    <m/>
    <n v="182"/>
    <m/>
    <s v="John Stockton"/>
    <s v="1996 Upper Deck Predictor Scoring 2"/>
    <s v="-"/>
    <s v="P18"/>
    <n v="2.99"/>
    <x v="38"/>
    <s v="For Sale"/>
    <n v="1"/>
    <n v="3"/>
    <n v="4"/>
    <n v="3"/>
  </r>
  <r>
    <x v="238"/>
    <s v="John Stockton #19"/>
    <s v="Basketball Cards 1996 Metal Cyber Metal"/>
    <n v="121"/>
    <s v="Ungraded"/>
    <s v="Normal wear"/>
    <m/>
    <m/>
    <n v="0"/>
    <n v="1"/>
    <d v="2026-05-07T00:00:00"/>
    <m/>
    <m/>
    <n v="503"/>
    <m/>
    <s v="John Stockton"/>
    <s v="1996 Metal Cyber Metal"/>
    <s v="-"/>
    <s v="19"/>
    <n v="1.21"/>
    <x v="38"/>
    <s v="For Sale"/>
    <n v="1"/>
    <n v="3"/>
    <n v="1.25"/>
    <n v="1"/>
  </r>
  <r>
    <x v="239"/>
    <s v="Joy Fawcett #272"/>
    <s v="Soccer Cards 1994 Upper Deck World Cup Soccer"/>
    <n v="249"/>
    <s v="Ungraded"/>
    <s v="Normal wear"/>
    <m/>
    <m/>
    <n v="0"/>
    <n v="1"/>
    <d v="2026-06-13T00:00:00"/>
    <m/>
    <m/>
    <n v="219"/>
    <m/>
    <s v="Joy Fawcett"/>
    <s v="1994 Upper Deck World Cup Soccer"/>
    <s v="-"/>
    <s v="272"/>
    <n v="2.4900000000000002"/>
    <x v="39"/>
    <s v="For Sale"/>
    <n v="1"/>
    <n v="3"/>
    <n v="3"/>
    <n v="2.5"/>
  </r>
  <r>
    <x v="240"/>
    <s v="Julie Foudy #271"/>
    <s v="Soccer Cards 1994 Upper Deck World Cup Soccer"/>
    <n v="200"/>
    <s v="Ungraded"/>
    <s v="Normal wear"/>
    <m/>
    <m/>
    <n v="0"/>
    <n v="1"/>
    <d v="2026-06-13T00:00:00"/>
    <m/>
    <m/>
    <n v="261"/>
    <m/>
    <s v="Julie Foudy"/>
    <s v="1994 Upper Deck World Cup Soccer"/>
    <s v="-"/>
    <s v="271"/>
    <n v="2"/>
    <x v="40"/>
    <s v="For Sale"/>
    <n v="1"/>
    <n v="3"/>
    <n v="2.5"/>
    <n v="2"/>
  </r>
  <r>
    <x v="241"/>
    <s v="Karl Malone #7"/>
    <s v="Basketball Cards 1996 Metal Power Tools"/>
    <n v="207"/>
    <s v="Ungraded"/>
    <s v="Normal wear"/>
    <m/>
    <m/>
    <n v="0"/>
    <n v="1"/>
    <d v="2026-05-30T00:00:00"/>
    <m/>
    <m/>
    <n v="174"/>
    <m/>
    <s v="Karl Malone"/>
    <s v="1996 Metal Power Tools"/>
    <s v="-"/>
    <s v="7"/>
    <n v="2.0699999999999998"/>
    <x v="41"/>
    <s v="For Sale"/>
    <n v="1"/>
    <n v="3"/>
    <n v="2.5"/>
    <n v="2"/>
  </r>
  <r>
    <x v="242"/>
    <s v="Kevin Garnett #109"/>
    <s v="Basketball Cards 1997 Metal Universe"/>
    <n v="319"/>
    <s v="Ungraded"/>
    <s v="Normal wear"/>
    <m/>
    <m/>
    <n v="0"/>
    <n v="1"/>
    <d v="2026-05-07T00:00:00"/>
    <m/>
    <m/>
    <n v="175"/>
    <m/>
    <s v="Kevin Garnett"/>
    <s v="1997 Metal Universe"/>
    <s v="-"/>
    <s v="109"/>
    <n v="3.19"/>
    <x v="42"/>
    <s v="For Sale"/>
    <n v="1"/>
    <n v="3"/>
    <n v="4"/>
    <n v="3"/>
  </r>
  <r>
    <x v="243"/>
    <s v="Kevin Garnett #167"/>
    <s v="Basketball Cards 1995 Metal"/>
    <n v="261"/>
    <s v="Ungraded"/>
    <s v="Normal wear"/>
    <m/>
    <m/>
    <n v="0"/>
    <n v="1"/>
    <d v="2026-04-16T00:00:00"/>
    <d v="2026-04-16T00:00:00"/>
    <m/>
    <n v="157"/>
    <m/>
    <s v="Kevin Garnett"/>
    <s v="1995 Metal"/>
    <s v="-"/>
    <s v="167"/>
    <n v="2.61"/>
    <x v="42"/>
    <s v="For Sale"/>
    <n v="1"/>
    <n v="3"/>
    <n v="3"/>
    <n v="3"/>
  </r>
  <r>
    <x v="244"/>
    <s v="Kevin Garnett #254"/>
    <s v="Basketball Cards 1997 Ultra 98 Greats"/>
    <n v="125"/>
    <s v="Ungraded"/>
    <s v="Normal wear"/>
    <m/>
    <m/>
    <n v="0"/>
    <n v="1"/>
    <d v="2026-05-30T00:00:00"/>
    <m/>
    <m/>
    <n v="485"/>
    <m/>
    <s v="Kevin Garnett"/>
    <s v="1997 Ultra 98 Greats"/>
    <s v="-"/>
    <s v="254"/>
    <n v="1.25"/>
    <x v="42"/>
    <s v="For Sale"/>
    <n v="1"/>
    <n v="3"/>
    <n v="1.5"/>
    <n v="1.25"/>
  </r>
  <r>
    <x v="245"/>
    <s v="Kevin Garnett [Game  Dated] #75"/>
    <s v="Basketball Cards 1997 Upper Deck"/>
    <n v="122"/>
    <s v="Ungraded"/>
    <s v="Normal wear"/>
    <m/>
    <m/>
    <n v="0"/>
    <n v="1"/>
    <d v="2026-05-07T00:00:00"/>
    <m/>
    <m/>
    <n v="499"/>
    <m/>
    <s v="Kevin Garnett"/>
    <s v="1997 Upper Deck"/>
    <s v="Game  Dated"/>
    <s v="75"/>
    <n v="1.22"/>
    <x v="42"/>
    <s v="For Sale"/>
    <n v="1"/>
    <n v="3"/>
    <n v="1.25"/>
    <n v="1"/>
  </r>
  <r>
    <x v="246"/>
    <s v="Kevin Garnett #125"/>
    <s v="Basketball Cards 1998 Topps"/>
    <n v="121"/>
    <s v="Ungraded"/>
    <s v="Normal wear"/>
    <m/>
    <m/>
    <n v="0"/>
    <n v="1"/>
    <d v="2026-05-31T00:00:00"/>
    <m/>
    <m/>
    <n v="500"/>
    <m/>
    <s v="Kevin Garnett"/>
    <s v="1998 Topps"/>
    <s v="-"/>
    <s v="125"/>
    <n v="1.21"/>
    <x v="42"/>
    <s v="For Sale"/>
    <n v="1"/>
    <n v="3"/>
    <n v="1.25"/>
    <n v="1"/>
  </r>
  <r>
    <x v="247"/>
    <s v="Kevin Garnett #251"/>
    <s v="Basketball Cards 1996 Upper Deck"/>
    <n v="99"/>
    <s v="Ungraded"/>
    <s v="Normal wear"/>
    <m/>
    <m/>
    <n v="0"/>
    <n v="1"/>
    <d v="2026-06-10T00:00:00"/>
    <m/>
    <m/>
    <n v="551"/>
    <m/>
    <s v="Kevin Garnett"/>
    <s v="1996 Upper Deck"/>
    <s v="-"/>
    <s v="251"/>
    <n v="0.99"/>
    <x v="42"/>
    <s v="For Sale"/>
    <n v="3"/>
    <n v="3"/>
    <n v="1"/>
    <n v="0.75"/>
  </r>
  <r>
    <x v="247"/>
    <s v="Kevin Garnett #251"/>
    <s v="Basketball Cards 1996 Upper Deck"/>
    <n v="99"/>
    <s v="Ungraded"/>
    <s v="Normal wear"/>
    <m/>
    <m/>
    <n v="0"/>
    <n v="1"/>
    <d v="2026-05-07T00:00:00"/>
    <m/>
    <m/>
    <n v="553"/>
    <m/>
    <s v="Kevin Garnett"/>
    <s v="1996 Upper Deck"/>
    <s v="-"/>
    <s v="251"/>
    <n v="0.99"/>
    <x v="42"/>
    <s v="For Sale"/>
    <n v="3"/>
    <n v="3"/>
    <n v="1"/>
    <n v="0.75"/>
  </r>
  <r>
    <x v="247"/>
    <s v="Kevin Garnett #251"/>
    <s v="Basketball Cards 1996 Upper Deck"/>
    <n v="99"/>
    <s v="Ungraded"/>
    <s v="Normal wear"/>
    <m/>
    <m/>
    <n v="0"/>
    <n v="1"/>
    <d v="2026-06-10T00:00:00"/>
    <m/>
    <m/>
    <n v="574"/>
    <m/>
    <s v="Kevin Garnett"/>
    <s v="1996 Upper Deck"/>
    <s v="-"/>
    <s v="251"/>
    <n v="0.99"/>
    <x v="42"/>
    <s v="For Sale"/>
    <n v="3"/>
    <n v="3"/>
    <n v="1"/>
    <n v="0.75"/>
  </r>
  <r>
    <x v="248"/>
    <s v="LeBron James [Phenomenal Beginning] #11"/>
    <s v="Basketball Cards 2003 Upper Deck Phenomenal Beginning"/>
    <n v="688"/>
    <s v="Ungraded"/>
    <s v="Normal wear"/>
    <m/>
    <s v="&quot;https://www.whatnot.com/order/RVD5hkPMoaUK4my4SPSKiQ_x000d__x000a_$17.00 + $0.00 (Shared Shipping) + $1.74 Tax = Total of $18.74&quot;"/>
    <n v="1874"/>
    <n v="1"/>
    <d v="2026-05-23T00:00:00"/>
    <d v="2026-05-22T00:00:00"/>
    <m/>
    <n v="40"/>
    <m/>
    <s v="LeBron James"/>
    <s v="2003 Upper Deck Phenomenal Beginning"/>
    <s v="Phenomenal Beginning"/>
    <s v="11"/>
    <n v="6.88"/>
    <x v="43"/>
    <s v="For Sale"/>
    <n v="1"/>
    <n v="3"/>
    <n v="22"/>
    <n v="7"/>
  </r>
  <r>
    <x v="249"/>
    <s v="LeBron James [Blue Prizm] #54"/>
    <s v="Basketball Cards 2024 Panini Select"/>
    <n v="168"/>
    <s v="Ungraded"/>
    <s v="Normal wear"/>
    <m/>
    <s v="&quot;https://www.whatnot.com/order/9Nw32iaBQX4B786bgpSBCs_x000d__x000a_$0.00 + $0.21 (Shared Shipping) + $0.02 Tax = Total of $0.23&quot;"/>
    <n v="23"/>
    <n v="1"/>
    <d v="2026-05-12T00:00:00"/>
    <d v="2026-05-06T00:00:00"/>
    <m/>
    <n v="335"/>
    <m/>
    <s v="LeBron James"/>
    <s v="2024 Panini Select"/>
    <s v="Blue Prizm"/>
    <s v="54"/>
    <n v="1.68"/>
    <x v="43"/>
    <s v="For Sale"/>
    <n v="1"/>
    <n v="3"/>
    <n v="2"/>
    <n v="0.25"/>
  </r>
  <r>
    <x v="250"/>
    <s v="LeBron James [Blue Prizm] #113"/>
    <s v="Basketball Cards 2020 Panini Select"/>
    <n v="150"/>
    <s v="Ungraded"/>
    <s v="Normal wear"/>
    <m/>
    <s v="&quot;https://www.whatnot.com/order/eZzEmrYrFPTX2ciq7zw7Hi_x000d__x000a_$2.00 + $0.00 (Shared Shipping) + $0.21 Tax = Total of $2.21&quot;"/>
    <n v="221"/>
    <n v="1"/>
    <d v="2026-06-09T00:00:00"/>
    <d v="2026-06-08T00:00:00"/>
    <m/>
    <n v="395"/>
    <m/>
    <s v="LeBron James"/>
    <s v="2020 Panini Select"/>
    <s v="Blue Prizm"/>
    <s v="113"/>
    <n v="1.5"/>
    <x v="43"/>
    <s v="For Sale"/>
    <n v="1"/>
    <n v="3"/>
    <n v="3"/>
    <n v="1.5"/>
  </r>
  <r>
    <x v="251"/>
    <s v="LeBron James #2"/>
    <s v="Basketball Cards 2023 Panini Donruss"/>
    <n v="149"/>
    <s v="Ungraded"/>
    <s v="Normal wear"/>
    <m/>
    <s v="whatnot.com/order/G3juFLZYNkeyx8YHXhJCeR_x000d__x000a_$1.50 + $0.00 (Shared Shipping) + $0.15 Tax = Total of $1.65"/>
    <n v="165"/>
    <n v="1"/>
    <d v="2026-06-18T00:00:00"/>
    <d v="2026-06-09T00:00:00"/>
    <m/>
    <n v="390"/>
    <m/>
    <s v="LeBron James"/>
    <s v="2023 Panini Donruss"/>
    <s v="-"/>
    <s v="2"/>
    <n v="1.49"/>
    <x v="43"/>
    <s v="For Sale"/>
    <n v="1"/>
    <n v="3"/>
    <n v="2"/>
    <n v="1.25"/>
  </r>
  <r>
    <x v="252"/>
    <s v="LeBron James #178"/>
    <s v="Basketball Cards 2020 Panini Chronicles"/>
    <n v="121"/>
    <s v="Ungraded"/>
    <s v="Normal wear"/>
    <m/>
    <s v="&quot;https://www.whatnot.com/order/GMJptoiQKCNjk4Pv5GF4bQ_x000d__x000a_$2.50 + $0.00 (Shared Shipping) + $0.26 Tax = Total of $2.76&quot;"/>
    <n v="276"/>
    <n v="1"/>
    <d v="2026-06-09T00:00:00"/>
    <d v="2026-06-08T00:00:00"/>
    <m/>
    <n v="488"/>
    <m/>
    <s v="LeBron James"/>
    <s v="2020 Panini Chronicles"/>
    <s v="-"/>
    <s v="178"/>
    <n v="1.21"/>
    <x v="43"/>
    <s v="For Sale"/>
    <n v="1"/>
    <n v="3"/>
    <n v="3"/>
    <n v="1"/>
  </r>
  <r>
    <x v="253"/>
    <s v="LeBron James #118"/>
    <s v="Basketball Cards 2020 Panini Chronicles"/>
    <n v="106"/>
    <s v="Ungraded"/>
    <s v="Normal wear"/>
    <m/>
    <s v="&quot;https://www.whatnot.com/order/7eozouSEnosHtokHHfAAYH_x000d__x000a_$1.67 + $1.02 (Shared Shipping) + $0.28 Tax = Total of $2.97&quot;"/>
    <n v="297"/>
    <n v="1"/>
    <d v="2026-05-12T00:00:00"/>
    <d v="2026-05-08T00:00:00"/>
    <m/>
    <n v="467"/>
    <m/>
    <s v="LeBron James"/>
    <s v="2020 Panini Chronicles"/>
    <s v="-"/>
    <s v="118"/>
    <n v="1.06"/>
    <x v="43"/>
    <s v="For Sale"/>
    <n v="1"/>
    <n v="3"/>
    <n v="4"/>
    <n v="1"/>
  </r>
  <r>
    <x v="254"/>
    <s v="Maximum Carnage #104"/>
    <s v="Marvel 1994 Flair"/>
    <n v="282"/>
    <s v="Ungraded"/>
    <s v="Normal wear"/>
    <m/>
    <m/>
    <n v="0"/>
    <n v="1"/>
    <d v="2026-04-17T00:00:00"/>
    <m/>
    <m/>
    <n v="289"/>
    <m/>
    <s v="Maximum Carnage"/>
    <s v="Marvel 1994 Flair"/>
    <s v="-"/>
    <s v="104"/>
    <n v="2.82"/>
    <x v="44"/>
    <s v="For Sale"/>
    <n v="1"/>
    <n v="3"/>
    <n v="3"/>
    <n v="3"/>
  </r>
  <r>
    <x v="255"/>
    <s v="Michael Jordan / Scottie Pippen / Dennis Rodman / Toni Kukoc / Ron Harper #139"/>
    <s v="Basketball Cards 1996 Upper Deck"/>
    <n v="372"/>
    <s v="Ungraded"/>
    <s v="Normal wear"/>
    <m/>
    <m/>
    <n v="0"/>
    <n v="1"/>
    <d v="2026-05-30T00:00:00"/>
    <m/>
    <m/>
    <n v="142"/>
    <m/>
    <s v="Michael Jordan / Scottie Pippen / Dennis Rodman / Toni Kukoc / Ron Harper"/>
    <s v="1996 Upper Deck"/>
    <s v="-"/>
    <s v="139"/>
    <n v="3.72"/>
    <x v="45"/>
    <s v="For Sale"/>
    <n v="1"/>
    <n v="3"/>
    <n v="4"/>
    <n v="4"/>
  </r>
  <r>
    <x v="256"/>
    <s v="Michael vs. Magic #333"/>
    <s v="Basketball Cards 1991 Skybox"/>
    <n v="200"/>
    <s v="Ungraded"/>
    <s v="Normal wear"/>
    <m/>
    <m/>
    <n v="0"/>
    <n v="1"/>
    <d v="2026-05-07T00:00:00"/>
    <m/>
    <m/>
    <n v="212"/>
    <m/>
    <s v="Michael vs. Magic"/>
    <s v="1991 Skybox"/>
    <s v="-"/>
    <s v="333"/>
    <n v="2"/>
    <x v="46"/>
    <s v="For Sale"/>
    <n v="1"/>
    <n v="3"/>
    <n v="2.5"/>
    <n v="2"/>
  </r>
  <r>
    <x v="257"/>
    <s v="Miles Bridges [Red] #243"/>
    <s v="Basketball Cards 2018 Panini Chronicles"/>
    <n v="714"/>
    <s v="Ungraded"/>
    <s v="Normal wear"/>
    <m/>
    <m/>
    <n v="0"/>
    <n v="1"/>
    <d v="2026-06-08T00:00:00"/>
    <m/>
    <m/>
    <n v="38"/>
    <m/>
    <s v="Miles Bridges"/>
    <s v="2018 Panini Chronicles"/>
    <s v="Red"/>
    <s v="243"/>
    <n v="7.14"/>
    <x v="47"/>
    <s v="For Sale"/>
    <n v="1"/>
    <n v="3"/>
    <n v="9"/>
    <n v="7"/>
  </r>
  <r>
    <x v="258"/>
    <s v="Miles Bridges [Reactive Blue] #67"/>
    <s v="Basketball Cards 2024 Panini Mosaic"/>
    <n v="223"/>
    <s v="Ungraded"/>
    <s v="Normal wear"/>
    <m/>
    <s v="&quot;whatnot.com/order/MyYjybCzWUdYQZ5Nmcqzid_x000d__x000a_$0.00 + $0.63 (Shared Shipping) + $0.06 Tax = Total of $0.69&quot;"/>
    <n v="69"/>
    <n v="1"/>
    <d v="2026-06-13T00:00:00"/>
    <d v="2026-05-13T00:00:00"/>
    <m/>
    <n v="230"/>
    <m/>
    <s v="Miles Bridges"/>
    <s v="2024 Panini Mosaic"/>
    <s v="Reactive Blue"/>
    <s v="67"/>
    <n v="2.23"/>
    <x v="47"/>
    <s v="For Sale"/>
    <n v="1"/>
    <n v="3"/>
    <n v="3"/>
    <n v="0.5"/>
  </r>
  <r>
    <x v="259"/>
    <s v="Muller #77"/>
    <s v="Soccer Cards 1994 Upper Deck World Cup Soccer"/>
    <n v="209"/>
    <s v="Ungraded"/>
    <s v="Normal wear"/>
    <m/>
    <m/>
    <n v="0"/>
    <n v="1"/>
    <d v="2026-06-13T00:00:00"/>
    <m/>
    <m/>
    <n v="242"/>
    <m/>
    <s v="Muller"/>
    <s v="1994 Upper Deck World Cup Soccer"/>
    <s v="-"/>
    <s v="77"/>
    <n v="2.09"/>
    <x v="48"/>
    <s v="For Sale"/>
    <n v="1"/>
    <n v="3"/>
    <n v="3"/>
    <n v="2"/>
  </r>
  <r>
    <x v="260"/>
    <s v="Paolo Banchero [Purple Rainbow] #SA-20"/>
    <s v="Basketball Cards 2025 Topps Stars of the NBA"/>
    <n v="420"/>
    <s v="Ungraded"/>
    <s v="Normal wear"/>
    <m/>
    <s v="&quot;https://www.whatnot.com/order/nf6DKG4X4BE3RvCtyQDywr_x000d__x000a_$3.00 + $0.78 (Shared Shipping) + $0.39 Tax = Total of $4.16&quot;"/>
    <n v="416"/>
    <n v="1"/>
    <d v="2026-05-17T00:00:00"/>
    <d v="2026-05-17T00:00:00"/>
    <m/>
    <n v="131"/>
    <m/>
    <s v="Paolo Banchero"/>
    <s v="2025 Topps Stars of the NBA"/>
    <s v="Purple Rainbow"/>
    <s v="SA-20"/>
    <n v="4.2"/>
    <x v="49"/>
    <s v="For Sale"/>
    <n v="1"/>
    <n v="3"/>
    <n v="5"/>
    <n v="4"/>
  </r>
  <r>
    <x v="261"/>
    <s v="Patrick Ewing #6"/>
    <s v="Basketball Cards 1996 Metal Cyber Metal"/>
    <n v="300"/>
    <s v="Ungraded"/>
    <s v="Normal wear"/>
    <m/>
    <m/>
    <n v="0"/>
    <n v="1"/>
    <d v="2026-05-31T00:00:00"/>
    <m/>
    <m/>
    <n v="186"/>
    <m/>
    <s v="Patrick Ewing"/>
    <s v="1996 Metal Cyber Metal"/>
    <s v="-"/>
    <s v="6"/>
    <n v="3"/>
    <x v="50"/>
    <s v="For Sale"/>
    <n v="1"/>
    <n v="3"/>
    <n v="4"/>
    <n v="3"/>
  </r>
  <r>
    <x v="262"/>
    <s v="Patrick Ewing #2"/>
    <s v="Basketball Cards 1994 Ultra Power in the Key"/>
    <n v="209"/>
    <s v="Ungraded"/>
    <s v="Normal wear"/>
    <m/>
    <m/>
    <n v="0"/>
    <n v="1"/>
    <d v="2026-05-07T00:00:00"/>
    <m/>
    <m/>
    <n v="256"/>
    <m/>
    <s v="Patrick Ewing"/>
    <s v="1994 Ultra Power in the Key"/>
    <s v="-"/>
    <s v="2"/>
    <n v="2.09"/>
    <x v="50"/>
    <s v="For Sale"/>
    <n v="1"/>
    <n v="3"/>
    <n v="3"/>
    <n v="2"/>
  </r>
  <r>
    <x v="263"/>
    <s v="Patrick Mahomes II [Red Yellow Prizm Shock] #120"/>
    <s v="Football Cards 2024 Panini Select"/>
    <n v="305"/>
    <s v="Ungraded"/>
    <s v="Normal wear"/>
    <m/>
    <s v="&quot;https://www.whatnot.com/order/5UjjnZwur4KMPeFJnGd5wv_x000d__x000a_$6.00 + $1.36 (Shared Shipping) + $0.75 Tax = Total of $8.11&quot;"/>
    <n v="811"/>
    <n v="1"/>
    <d v="2026-05-17T00:00:00"/>
    <d v="2026-05-15T00:00:00"/>
    <m/>
    <n v="194"/>
    <m/>
    <s v="Patrick Mahomes II"/>
    <s v="2024 Panini Select"/>
    <s v="Red Yellow Prizm Shock"/>
    <s v="120"/>
    <n v="3.05"/>
    <x v="51"/>
    <s v="For Sale"/>
    <n v="1"/>
    <n v="3"/>
    <n v="10"/>
    <n v="3"/>
  </r>
  <r>
    <x v="264"/>
    <s v="Return of Excellence [Electric Court] #335"/>
    <s v="Basketball Cards 1995 Upper Deck"/>
    <n v="492"/>
    <s v="Ungraded"/>
    <s v="Normal wear"/>
    <m/>
    <m/>
    <n v="0"/>
    <n v="1"/>
    <d v="2026-05-30T00:00:00"/>
    <m/>
    <m/>
    <n v="123"/>
    <m/>
    <s v="Return of Excellence"/>
    <s v="1995 Upper Deck"/>
    <s v="Electric Court"/>
    <s v="335"/>
    <n v="4.92"/>
    <x v="52"/>
    <s v="For Sale"/>
    <n v="1"/>
    <n v="3"/>
    <n v="6"/>
    <n v="5"/>
  </r>
  <r>
    <x v="265"/>
    <s v="Ruud Gullit #306"/>
    <s v="Soccer Cards 1994 Upper Deck World Cup Soccer"/>
    <n v="357"/>
    <s v="Ungraded"/>
    <s v="Normal wear"/>
    <m/>
    <m/>
    <n v="0"/>
    <n v="1"/>
    <d v="2026-04-17T00:00:00"/>
    <m/>
    <m/>
    <n v="153"/>
    <m/>
    <s v="Ruud Gullit"/>
    <s v="1994 Upper Deck World Cup Soccer"/>
    <s v="-"/>
    <s v="306"/>
    <n v="3.57"/>
    <x v="53"/>
    <s v="For Sale"/>
    <n v="1"/>
    <n v="3"/>
    <n v="4"/>
    <n v="4"/>
  </r>
  <r>
    <x v="266"/>
    <s v="Sam Vincent #223"/>
    <s v="Basketball Cards 1990 Hoops"/>
    <n v="388"/>
    <s v="Ungraded"/>
    <s v="Normal wear"/>
    <m/>
    <m/>
    <n v="0"/>
    <n v="1"/>
    <d v="2026-06-10T00:00:00"/>
    <m/>
    <m/>
    <n v="137"/>
    <m/>
    <s v="Sam Vincent"/>
    <s v="1990 Hoops"/>
    <s v="-"/>
    <s v="223"/>
    <n v="3.88"/>
    <x v="54"/>
    <s v="For Sale"/>
    <n v="6"/>
    <n v="3"/>
    <n v="5"/>
    <n v="3"/>
  </r>
  <r>
    <x v="266"/>
    <s v="Sam Vincent #223"/>
    <s v="Basketball Cards 1990 Hoops"/>
    <n v="388"/>
    <s v="Ungraded"/>
    <s v="Normal wear"/>
    <m/>
    <m/>
    <n v="0"/>
    <n v="1"/>
    <d v="2026-06-10T00:00:00"/>
    <m/>
    <m/>
    <n v="138"/>
    <m/>
    <s v="Sam Vincent"/>
    <s v="1990 Hoops"/>
    <s v="-"/>
    <s v="223"/>
    <n v="3.88"/>
    <x v="54"/>
    <s v="For Sale"/>
    <n v="6"/>
    <n v="3"/>
    <n v="5"/>
    <n v="3"/>
  </r>
  <r>
    <x v="266"/>
    <s v="Sam Vincent #223"/>
    <s v="Basketball Cards 1990 Hoops"/>
    <n v="388"/>
    <s v="Ungraded"/>
    <s v="Normal wear"/>
    <m/>
    <m/>
    <n v="0"/>
    <n v="1"/>
    <d v="2026-06-10T00:00:00"/>
    <m/>
    <m/>
    <n v="139"/>
    <m/>
    <s v="Sam Vincent"/>
    <s v="1990 Hoops"/>
    <s v="-"/>
    <s v="223"/>
    <n v="3.88"/>
    <x v="54"/>
    <s v="For Sale"/>
    <n v="6"/>
    <n v="3"/>
    <n v="5"/>
    <n v="3"/>
  </r>
  <r>
    <x v="266"/>
    <s v="Sam Vincent #223"/>
    <s v="Basketball Cards 1990 Hoops"/>
    <n v="388"/>
    <s v="Ungraded"/>
    <s v="Normal wear"/>
    <m/>
    <m/>
    <n v="0"/>
    <n v="1"/>
    <d v="2026-06-10T00:00:00"/>
    <m/>
    <m/>
    <n v="140"/>
    <m/>
    <s v="Sam Vincent"/>
    <s v="1990 Hoops"/>
    <s v="-"/>
    <s v="223"/>
    <n v="3.88"/>
    <x v="54"/>
    <s v="For Sale"/>
    <n v="6"/>
    <n v="3"/>
    <n v="5"/>
    <n v="3"/>
  </r>
  <r>
    <x v="266"/>
    <s v="Sam Vincent #223"/>
    <s v="Basketball Cards 1990 Hoops"/>
    <n v="388"/>
    <s v="Ungraded"/>
    <s v="Normal wear"/>
    <m/>
    <m/>
    <n v="0"/>
    <n v="1"/>
    <d v="2026-05-07T00:00:00"/>
    <m/>
    <m/>
    <n v="143"/>
    <m/>
    <s v="Sam Vincent"/>
    <s v="1990 Hoops"/>
    <s v="-"/>
    <s v="223"/>
    <n v="3.88"/>
    <x v="54"/>
    <s v="For Sale"/>
    <n v="6"/>
    <n v="3"/>
    <n v="5"/>
    <n v="3"/>
  </r>
  <r>
    <x v="266"/>
    <s v="Sam Vincent #223"/>
    <s v="Basketball Cards 1990 Hoops"/>
    <n v="388"/>
    <s v="Ungraded"/>
    <s v="Normal wear"/>
    <m/>
    <m/>
    <n v="0"/>
    <n v="1"/>
    <d v="2026-06-10T00:00:00"/>
    <m/>
    <m/>
    <n v="145"/>
    <m/>
    <s v="Sam Vincent"/>
    <s v="1990 Hoops"/>
    <s v="-"/>
    <s v="223"/>
    <n v="3.88"/>
    <x v="54"/>
    <s v="For Sale"/>
    <n v="6"/>
    <n v="3"/>
    <n v="5"/>
    <n v="3"/>
  </r>
  <r>
    <x v="267"/>
    <s v="Scottie Pippen #13"/>
    <s v="Basketball Cards 1994 E Motion"/>
    <n v="365"/>
    <s v="Ungraded"/>
    <s v="Normal wear"/>
    <m/>
    <m/>
    <n v="0"/>
    <n v="1"/>
    <d v="2026-05-31T00:00:00"/>
    <m/>
    <m/>
    <n v="190"/>
    <m/>
    <s v="Scottie Pippen"/>
    <s v="1994 E Motion"/>
    <s v="-"/>
    <s v="13"/>
    <n v="3.65"/>
    <x v="55"/>
    <s v="For Sale"/>
    <n v="1"/>
    <n v="3"/>
    <n v="4"/>
    <n v="4"/>
  </r>
  <r>
    <x v="268"/>
    <s v="Scottie Pippen #14"/>
    <s v="Basketball Cards 1996 Metal Cyber Metal"/>
    <n v="350"/>
    <s v="Ungraded"/>
    <s v="Normal wear"/>
    <m/>
    <m/>
    <n v="0"/>
    <n v="1"/>
    <d v="2026-04-15T00:00:00"/>
    <m/>
    <m/>
    <n v="158"/>
    <m/>
    <s v="Scottie Pippen"/>
    <s v="1996 Metal Cyber Metal"/>
    <s v="-"/>
    <s v="14"/>
    <n v="3.5"/>
    <x v="55"/>
    <s v="For Sale"/>
    <n v="1"/>
    <n v="3"/>
    <n v="4"/>
    <n v="4"/>
  </r>
  <r>
    <x v="269"/>
    <s v="Scottie Pippen #14"/>
    <s v="Basketball Cards 1996 Fleer Metal"/>
    <n v="200"/>
    <s v="Ungraded"/>
    <s v="Normal wear"/>
    <m/>
    <m/>
    <n v="0"/>
    <n v="1"/>
    <d v="2026-05-31T00:00:00"/>
    <m/>
    <m/>
    <n v="234"/>
    <m/>
    <s v="Scottie Pippen"/>
    <s v="1996 Fleer Metal"/>
    <s v="-"/>
    <s v="14"/>
    <n v="2"/>
    <x v="55"/>
    <s v="For Sale"/>
    <n v="1"/>
    <n v="3"/>
    <n v="2.5"/>
    <n v="2"/>
  </r>
  <r>
    <x v="270"/>
    <s v="Scottie Pippen #38"/>
    <s v="Basketball Cards 1998 Upper Deck Black Diamond"/>
    <n v="189"/>
    <s v="Ungraded"/>
    <s v="Normal wear"/>
    <m/>
    <m/>
    <n v="0"/>
    <n v="1"/>
    <d v="2026-05-31T00:00:00"/>
    <m/>
    <m/>
    <n v="366"/>
    <m/>
    <s v="Scottie Pippen"/>
    <s v="1998 Upper Deck Black Diamond"/>
    <s v="-"/>
    <s v="38"/>
    <n v="1.89"/>
    <x v="55"/>
    <s v="For Sale"/>
    <n v="2"/>
    <n v="3"/>
    <n v="2.5"/>
    <n v="1.5"/>
  </r>
  <r>
    <x v="270"/>
    <s v="Scottie Pippen #38"/>
    <s v="Basketball Cards 1998 Upper Deck Black Diamond"/>
    <n v="189"/>
    <s v="Ungraded"/>
    <s v="Normal wear"/>
    <m/>
    <m/>
    <n v="0"/>
    <n v="1"/>
    <d v="2026-06-10T00:00:00"/>
    <m/>
    <m/>
    <n v="367"/>
    <m/>
    <s v="Scottie Pippen"/>
    <s v="1998 Upper Deck Black Diamond"/>
    <s v="-"/>
    <s v="38"/>
    <n v="1.89"/>
    <x v="55"/>
    <s v="For Sale"/>
    <n v="2"/>
    <n v="3"/>
    <n v="2.5"/>
    <n v="1.5"/>
  </r>
  <r>
    <x v="271"/>
    <s v="Scottie Pippen #197"/>
    <s v="Basketball Cards 1996 Upper Deck"/>
    <n v="163"/>
    <s v="Ungraded"/>
    <s v="Normal wear"/>
    <m/>
    <m/>
    <n v="0"/>
    <n v="1"/>
    <d v="2026-06-10T00:00:00"/>
    <m/>
    <m/>
    <n v="369"/>
    <m/>
    <s v="Scottie Pippen"/>
    <s v="1996 Upper Deck"/>
    <s v="-"/>
    <s v="197"/>
    <n v="1.63"/>
    <x v="55"/>
    <s v="For Sale"/>
    <n v="4"/>
    <n v="3"/>
    <n v="2"/>
    <n v="1.25"/>
  </r>
  <r>
    <x v="271"/>
    <s v="Scottie Pippen #197"/>
    <s v="Basketball Cards 1996 Upper Deck"/>
    <n v="163"/>
    <s v="Ungraded"/>
    <s v="Normal wear"/>
    <m/>
    <m/>
    <n v="0"/>
    <n v="1"/>
    <d v="2026-06-10T00:00:00"/>
    <m/>
    <m/>
    <n v="371"/>
    <m/>
    <s v="Scottie Pippen"/>
    <s v="1996 Upper Deck"/>
    <s v="-"/>
    <s v="197"/>
    <n v="1.63"/>
    <x v="55"/>
    <s v="For Sale"/>
    <n v="4"/>
    <n v="3"/>
    <n v="2"/>
    <n v="1.25"/>
  </r>
  <r>
    <x v="271"/>
    <s v="Scottie Pippen #197"/>
    <s v="Basketball Cards 1996 Upper Deck"/>
    <n v="163"/>
    <s v="Ungraded"/>
    <s v="Normal wear"/>
    <m/>
    <m/>
    <n v="0"/>
    <n v="1"/>
    <d v="2026-05-31T00:00:00"/>
    <m/>
    <m/>
    <n v="372"/>
    <m/>
    <s v="Scottie Pippen"/>
    <s v="1996 Upper Deck"/>
    <s v="-"/>
    <s v="197"/>
    <n v="1.63"/>
    <x v="55"/>
    <s v="For Sale"/>
    <n v="4"/>
    <n v="3"/>
    <n v="2"/>
    <n v="1.25"/>
  </r>
  <r>
    <x v="271"/>
    <s v="Scottie Pippen #197"/>
    <s v="Basketball Cards 1996 Upper Deck"/>
    <n v="163"/>
    <s v="Ungraded"/>
    <s v="Normal wear"/>
    <m/>
    <m/>
    <n v="0"/>
    <n v="1"/>
    <d v="2026-06-10T00:00:00"/>
    <m/>
    <m/>
    <n v="374"/>
    <m/>
    <s v="Scottie Pippen"/>
    <s v="1996 Upper Deck"/>
    <s v="-"/>
    <s v="197"/>
    <n v="1.63"/>
    <x v="55"/>
    <s v="For Sale"/>
    <n v="4"/>
    <n v="3"/>
    <n v="2"/>
    <n v="1.25"/>
  </r>
  <r>
    <x v="272"/>
    <s v="Scottie Pippen #7"/>
    <s v="Basketball Cards 1993 Ultra Inside Outside"/>
    <n v="157"/>
    <s v="Ungraded"/>
    <s v="Normal wear"/>
    <m/>
    <m/>
    <n v="0"/>
    <n v="1"/>
    <d v="2026-05-07T00:00:00"/>
    <m/>
    <m/>
    <n v="458"/>
    <m/>
    <s v="Scottie Pippen"/>
    <s v="1993 Ultra Inside Outside"/>
    <s v="-"/>
    <s v="7"/>
    <n v="1.57"/>
    <x v="55"/>
    <s v="For Sale"/>
    <n v="1"/>
    <n v="3"/>
    <n v="2"/>
    <n v="1.5"/>
  </r>
  <r>
    <x v="273"/>
    <s v="Scottie Pippen [w/ Coating] #1"/>
    <s v="Basketball Cards 1997 Finest"/>
    <n v="150"/>
    <s v="Ungraded"/>
    <s v="Normal wear"/>
    <m/>
    <m/>
    <n v="0"/>
    <n v="1"/>
    <d v="2026-05-07T00:00:00"/>
    <d v="2026-05-07T00:00:00"/>
    <m/>
    <n v="550"/>
    <m/>
    <s v="Scottie Pippen"/>
    <s v="1997 Finest"/>
    <s v="w/ Coating"/>
    <s v="1"/>
    <n v="1.5"/>
    <x v="55"/>
    <s v="For Sale"/>
    <n v="1"/>
    <n v="3"/>
    <n v="2"/>
    <n v="1.5"/>
  </r>
  <r>
    <x v="274"/>
    <s v="Shaquille O'Neal [Double] #45"/>
    <s v="Basketball Cards 1998 Upper Deck Black Diamond"/>
    <n v="775"/>
    <s v="Ungraded"/>
    <s v="Normal wear"/>
    <m/>
    <m/>
    <n v="0"/>
    <n v="1"/>
    <d v="2026-04-15T00:00:00"/>
    <m/>
    <m/>
    <n v="36"/>
    <m/>
    <s v="Shaquille O'Neal"/>
    <s v="1998 Upper Deck Black Diamond"/>
    <s v="Double"/>
    <s v="45"/>
    <n v="7.75"/>
    <x v="56"/>
    <s v="For Sale"/>
    <n v="1"/>
    <n v="3"/>
    <n v="9"/>
    <n v="8"/>
  </r>
  <r>
    <x v="275"/>
    <s v="Shaquille O'neal #50"/>
    <s v="Basketball Cards 1997 Metal Universe"/>
    <n v="496"/>
    <s v="Ungraded"/>
    <s v="Normal wear"/>
    <m/>
    <m/>
    <n v="0"/>
    <n v="1"/>
    <d v="2026-04-17T00:00:00"/>
    <m/>
    <m/>
    <n v="146"/>
    <m/>
    <s v="Shaquille O'neal"/>
    <s v="1997 Metal Universe"/>
    <s v="-"/>
    <s v="50"/>
    <n v="4.96"/>
    <x v="56"/>
    <s v="For Sale"/>
    <n v="1"/>
    <n v="3"/>
    <n v="6"/>
    <n v="5"/>
  </r>
  <r>
    <x v="276"/>
    <s v="Shaquille O'Neal #183"/>
    <s v="Basketball Cards 1996 Fleer Metal"/>
    <n v="249"/>
    <s v="Ungraded"/>
    <s v="Normal wear"/>
    <m/>
    <m/>
    <n v="0"/>
    <n v="1"/>
    <d v="2026-05-07T00:00:00"/>
    <m/>
    <m/>
    <n v="213"/>
    <m/>
    <s v="Shaquille O'Neal"/>
    <s v="1996 Fleer Metal"/>
    <s v="-"/>
    <s v="183"/>
    <n v="2.4900000000000002"/>
    <x v="56"/>
    <s v="For Sale"/>
    <n v="1"/>
    <n v="3"/>
    <n v="3"/>
    <n v="2.5"/>
  </r>
  <r>
    <x v="277"/>
    <s v="Shaquille O'Neal #39"/>
    <s v="Basketball Cards 1999 SP Authentic"/>
    <n v="249"/>
    <s v="Ungraded"/>
    <s v="Normal wear"/>
    <m/>
    <m/>
    <n v="0"/>
    <n v="1"/>
    <d v="2026-04-17T00:00:00"/>
    <m/>
    <m/>
    <n v="283"/>
    <m/>
    <s v="Shaquille O'Neal"/>
    <s v="1999 SP Authentic"/>
    <s v="-"/>
    <s v="39"/>
    <n v="2.4900000000000002"/>
    <x v="56"/>
    <s v="For Sale"/>
    <n v="1"/>
    <n v="3"/>
    <n v="3"/>
    <n v="2.5"/>
  </r>
  <r>
    <x v="278"/>
    <s v="Shaquille O'Neal #1"/>
    <s v="Basketball Cards 1997 Ultra 98 Greats"/>
    <n v="200"/>
    <s v="Ungraded"/>
    <s v="Normal wear"/>
    <m/>
    <m/>
    <n v="0"/>
    <n v="1"/>
    <d v="2026-04-16T00:00:00"/>
    <d v="2026-04-16T00:00:00"/>
    <m/>
    <n v="252"/>
    <m/>
    <s v="Shaquille O'Neal"/>
    <s v="1997 Ultra 98 Greats"/>
    <s v="-"/>
    <s v="1"/>
    <n v="2"/>
    <x v="56"/>
    <s v="For Sale"/>
    <n v="1"/>
    <n v="3"/>
    <n v="2.5"/>
    <n v="2"/>
  </r>
  <r>
    <x v="279"/>
    <s v="Shaquille O'Neal #143"/>
    <s v="Basketball Cards 1996 Fleer Metal"/>
    <n v="199"/>
    <s v="Ungraded"/>
    <s v="Normal wear"/>
    <m/>
    <m/>
    <n v="0"/>
    <n v="1"/>
    <d v="2026-06-10T00:00:00"/>
    <m/>
    <m/>
    <n v="254"/>
    <m/>
    <s v="Shaquille O'Neal"/>
    <s v="1996 Fleer Metal"/>
    <s v="-"/>
    <s v="143"/>
    <n v="1.99"/>
    <x v="56"/>
    <s v="For Sale"/>
    <n v="3"/>
    <n v="3"/>
    <n v="2.5"/>
    <n v="1.5"/>
  </r>
  <r>
    <x v="279"/>
    <s v="Shaquille O'Neal #143"/>
    <s v="Basketball Cards 1996 Fleer Metal"/>
    <n v="199"/>
    <s v="Ungraded"/>
    <s v="Normal wear"/>
    <m/>
    <m/>
    <n v="0"/>
    <n v="1"/>
    <d v="2026-06-10T00:00:00"/>
    <m/>
    <m/>
    <n v="260"/>
    <m/>
    <s v="Shaquille O'Neal"/>
    <s v="1996 Fleer Metal"/>
    <s v="-"/>
    <s v="143"/>
    <n v="1.99"/>
    <x v="56"/>
    <s v="For Sale"/>
    <n v="3"/>
    <n v="3"/>
    <n v="2.5"/>
    <n v="1.5"/>
  </r>
  <r>
    <x v="279"/>
    <s v="Shaquille O'Neal #143"/>
    <s v="Basketball Cards 1996 Fleer Metal"/>
    <n v="199"/>
    <s v="Ungraded"/>
    <s v="Normal wear"/>
    <m/>
    <m/>
    <n v="0"/>
    <n v="1"/>
    <d v="2026-05-31T00:00:00"/>
    <m/>
    <m/>
    <n v="262"/>
    <m/>
    <s v="Shaquille O'Neal"/>
    <s v="1996 Fleer Metal"/>
    <s v="-"/>
    <s v="143"/>
    <n v="1.99"/>
    <x v="56"/>
    <s v="For Sale"/>
    <n v="3"/>
    <n v="3"/>
    <n v="2.5"/>
    <n v="1.5"/>
  </r>
  <r>
    <x v="280"/>
    <s v="Shaquille O'Neal #45"/>
    <s v="Basketball Cards 1998 Upper Deck Black Diamond"/>
    <n v="197"/>
    <s v="Ungraded"/>
    <s v="Normal wear"/>
    <m/>
    <m/>
    <n v="0"/>
    <n v="1"/>
    <d v="2026-04-17T00:00:00"/>
    <m/>
    <m/>
    <n v="173"/>
    <m/>
    <s v="Shaquille O'Neal"/>
    <s v="1998 Upper Deck Black Diamond"/>
    <s v="-"/>
    <s v="45"/>
    <n v="1.97"/>
    <x v="56"/>
    <s v="For Sale"/>
    <n v="1"/>
    <n v="3"/>
    <n v="2.5"/>
    <n v="2"/>
  </r>
  <r>
    <x v="281"/>
    <s v="Shaquille O'Neal #61"/>
    <s v="Basketball Cards 1996 Upper Deck"/>
    <n v="195"/>
    <s v="Ungraded"/>
    <s v="Normal wear"/>
    <m/>
    <m/>
    <n v="0"/>
    <n v="1"/>
    <d v="2026-06-10T00:00:00"/>
    <m/>
    <m/>
    <n v="614"/>
    <m/>
    <s v="Shaquille O'Neal"/>
    <s v="1996 Upper Deck"/>
    <s v="-"/>
    <s v="61"/>
    <n v="1.95"/>
    <x v="56"/>
    <s v="For Sale"/>
    <n v="5"/>
    <n v="3"/>
    <n v="2.5"/>
    <n v="1.5"/>
  </r>
  <r>
    <x v="282"/>
    <s v="Shaquille O'neal #163"/>
    <s v="Basketball Cards 1996 Skybox Premium"/>
    <n v="187"/>
    <s v="Ungraded"/>
    <s v="Normal wear"/>
    <m/>
    <m/>
    <n v="0"/>
    <n v="1"/>
    <d v="2026-06-10T00:00:00"/>
    <m/>
    <m/>
    <n v="297"/>
    <m/>
    <s v="Shaquille O'neal"/>
    <s v="1996 Skybox Premium"/>
    <s v="-"/>
    <s v="163"/>
    <n v="1.87"/>
    <x v="56"/>
    <s v="For Sale"/>
    <n v="2"/>
    <n v="3"/>
    <n v="2"/>
    <n v="1.5"/>
  </r>
  <r>
    <x v="282"/>
    <s v="Shaquille O'neal #163"/>
    <s v="Basketball Cards 1996 Skybox Premium"/>
    <n v="187"/>
    <s v="Ungraded"/>
    <s v="Normal wear"/>
    <m/>
    <m/>
    <n v="0"/>
    <n v="1"/>
    <d v="2026-05-31T00:00:00"/>
    <m/>
    <m/>
    <n v="302"/>
    <m/>
    <s v="Shaquille O'neal"/>
    <s v="1996 Skybox Premium"/>
    <s v="-"/>
    <s v="163"/>
    <n v="1.87"/>
    <x v="56"/>
    <s v="For Sale"/>
    <n v="2"/>
    <n v="3"/>
    <n v="2"/>
    <n v="1.5"/>
  </r>
  <r>
    <x v="283"/>
    <s v="Shaquille O'Neal #23"/>
    <s v="Basketball Cards 1999 Topps NBA Tipoff"/>
    <n v="186"/>
    <s v="Ungraded"/>
    <s v="Normal wear"/>
    <m/>
    <m/>
    <n v="0"/>
    <n v="1"/>
    <d v="2026-05-31T00:00:00"/>
    <m/>
    <m/>
    <n v="359"/>
    <m/>
    <s v="Shaquille O'Neal"/>
    <s v="1999 Topps NBA Tipoff"/>
    <s v="-"/>
    <s v="23"/>
    <n v="1.86"/>
    <x v="56"/>
    <s v="For Sale"/>
    <n v="1"/>
    <n v="3"/>
    <n v="2"/>
    <n v="2"/>
  </r>
  <r>
    <x v="284"/>
    <s v="Shaquille O'Neal #55"/>
    <s v="Basketball Cards 1996 Ultra"/>
    <n v="185"/>
    <s v="Ungraded"/>
    <s v="Normal wear"/>
    <m/>
    <m/>
    <n v="0"/>
    <n v="1"/>
    <d v="2026-05-07T00:00:00"/>
    <d v="2026-05-07T00:00:00"/>
    <m/>
    <n v="223"/>
    <m/>
    <s v="Shaquille O'Neal"/>
    <s v="1996 Ultra"/>
    <s v="-"/>
    <s v="55"/>
    <n v="1.85"/>
    <x v="56"/>
    <s v="For Sale"/>
    <n v="1"/>
    <n v="3"/>
    <n v="2"/>
    <n v="2"/>
  </r>
  <r>
    <x v="285"/>
    <s v="Shaquille O'Neal #116"/>
    <s v="Basketball Cards 1997 Skybox Premium"/>
    <n v="175"/>
    <s v="Ungraded"/>
    <s v="Normal wear"/>
    <m/>
    <m/>
    <n v="0"/>
    <n v="1"/>
    <d v="2026-05-07T00:00:00"/>
    <m/>
    <m/>
    <n v="352"/>
    <m/>
    <s v="Shaquille O'Neal"/>
    <s v="1997 Skybox Premium"/>
    <s v="-"/>
    <s v="116"/>
    <n v="1.75"/>
    <x v="56"/>
    <s v="For Sale"/>
    <n v="1"/>
    <n v="3"/>
    <n v="2"/>
    <n v="2"/>
  </r>
  <r>
    <x v="286"/>
    <s v="Shaquille O'Neal #320"/>
    <s v="Basketball Cards 1997 Upper Deck"/>
    <n v="174"/>
    <s v="Ungraded"/>
    <s v="Normal wear"/>
    <m/>
    <m/>
    <n v="0"/>
    <n v="1"/>
    <d v="2026-06-10T00:00:00"/>
    <m/>
    <m/>
    <n v="399"/>
    <m/>
    <s v="Shaquille O'Neal"/>
    <s v="1997 Upper Deck"/>
    <s v="-"/>
    <s v="320"/>
    <n v="1.74"/>
    <x v="56"/>
    <s v="For Sale"/>
    <n v="3"/>
    <n v="3"/>
    <n v="2"/>
    <n v="1.25"/>
  </r>
  <r>
    <x v="286"/>
    <s v="Shaquille O'Neal #320"/>
    <s v="Basketball Cards 1997 Upper Deck"/>
    <n v="174"/>
    <s v="Ungraded"/>
    <s v="Normal wear"/>
    <m/>
    <m/>
    <n v="0"/>
    <n v="1"/>
    <d v="2026-06-10T00:00:00"/>
    <m/>
    <m/>
    <n v="400"/>
    <m/>
    <s v="Shaquille O'Neal"/>
    <s v="1997 Upper Deck"/>
    <s v="-"/>
    <s v="320"/>
    <n v="1.74"/>
    <x v="56"/>
    <s v="For Sale"/>
    <n v="3"/>
    <n v="3"/>
    <n v="2"/>
    <n v="1.25"/>
  </r>
  <r>
    <x v="286"/>
    <s v="Shaquille O'Neal #320"/>
    <s v="Basketball Cards 1997 Upper Deck"/>
    <n v="174"/>
    <s v="Ungraded"/>
    <s v="Normal wear"/>
    <m/>
    <m/>
    <n v="0"/>
    <n v="1"/>
    <d v="2026-05-31T00:00:00"/>
    <m/>
    <m/>
    <n v="401"/>
    <m/>
    <s v="Shaquille O'Neal"/>
    <s v="1997 Upper Deck"/>
    <s v="-"/>
    <s v="320"/>
    <n v="1.74"/>
    <x v="56"/>
    <s v="For Sale"/>
    <n v="3"/>
    <n v="3"/>
    <n v="2"/>
    <n v="1.25"/>
  </r>
  <r>
    <x v="287"/>
    <s v="Shaquille O'Neal #100"/>
    <s v="Basketball Cards 1994 Upper Deck"/>
    <n v="171"/>
    <s v="Ungraded"/>
    <s v="Normal wear"/>
    <m/>
    <m/>
    <n v="0"/>
    <n v="1"/>
    <d v="2026-05-07T00:00:00"/>
    <m/>
    <m/>
    <n v="248"/>
    <m/>
    <s v="Shaquille O'Neal"/>
    <s v="1994 Upper Deck"/>
    <s v="-"/>
    <s v="100"/>
    <n v="1.71"/>
    <x v="56"/>
    <s v="For Sale"/>
    <n v="1"/>
    <n v="3"/>
    <n v="2"/>
    <n v="1.5"/>
  </r>
  <r>
    <x v="288"/>
    <s v="Shaquille O'neal #274"/>
    <s v="Basketball Cards 1996 Skybox Premium"/>
    <n v="169"/>
    <s v="Ungraded"/>
    <s v="Normal wear"/>
    <m/>
    <m/>
    <n v="0"/>
    <n v="1"/>
    <d v="2026-05-31T00:00:00"/>
    <m/>
    <m/>
    <n v="319"/>
    <m/>
    <s v="Shaquille O'neal"/>
    <s v="1996 Skybox Premium"/>
    <s v="-"/>
    <s v="274"/>
    <n v="1.69"/>
    <x v="56"/>
    <s v="For Sale"/>
    <n v="1"/>
    <n v="3"/>
    <n v="2"/>
    <n v="1.5"/>
  </r>
  <r>
    <x v="281"/>
    <s v="Shaquille O'Neal #61"/>
    <s v="Basketball Cards 1996 Upper Deck"/>
    <n v="167"/>
    <s v="Ungraded"/>
    <s v="Normal wear"/>
    <m/>
    <m/>
    <n v="0"/>
    <n v="1"/>
    <d v="2026-05-07T00:00:00"/>
    <d v="2026-05-07T00:00:00"/>
    <m/>
    <n v="284"/>
    <m/>
    <s v="Shaquille O'Neal"/>
    <s v="1996 Upper Deck"/>
    <s v="-"/>
    <s v="61"/>
    <n v="1.67"/>
    <x v="56"/>
    <s v="For Sale"/>
    <n v="5"/>
    <n v="3"/>
    <n v="2"/>
    <n v="1.25"/>
  </r>
  <r>
    <x v="281"/>
    <s v="Shaquille O'Neal #61"/>
    <s v="Basketball Cards 1996 Upper Deck"/>
    <n v="167"/>
    <s v="Ungraded"/>
    <s v="Normal wear"/>
    <m/>
    <m/>
    <n v="0"/>
    <n v="1"/>
    <d v="2026-06-10T00:00:00"/>
    <m/>
    <m/>
    <n v="285"/>
    <m/>
    <s v="Shaquille O'Neal"/>
    <s v="1996 Upper Deck"/>
    <s v="-"/>
    <s v="61"/>
    <n v="1.67"/>
    <x v="56"/>
    <s v="For Sale"/>
    <n v="5"/>
    <n v="3"/>
    <n v="2"/>
    <n v="1.25"/>
  </r>
  <r>
    <x v="281"/>
    <s v="Shaquille O'Neal #61"/>
    <s v="Basketball Cards 1996 Upper Deck"/>
    <n v="167"/>
    <s v="Ungraded"/>
    <s v="Normal wear"/>
    <m/>
    <m/>
    <n v="0"/>
    <n v="1"/>
    <d v="2026-06-10T00:00:00"/>
    <m/>
    <m/>
    <n v="286"/>
    <m/>
    <s v="Shaquille O'Neal"/>
    <s v="1996 Upper Deck"/>
    <s v="-"/>
    <s v="61"/>
    <n v="1.67"/>
    <x v="56"/>
    <s v="For Sale"/>
    <n v="5"/>
    <n v="3"/>
    <n v="2"/>
    <n v="1.25"/>
  </r>
  <r>
    <x v="281"/>
    <s v="Shaquille O'Neal #61"/>
    <s v="Basketball Cards 1996 Upper Deck"/>
    <n v="167"/>
    <s v="Ungraded"/>
    <s v="Normal wear"/>
    <m/>
    <m/>
    <n v="0"/>
    <n v="1"/>
    <d v="2026-06-10T00:00:00"/>
    <m/>
    <m/>
    <n v="292"/>
    <m/>
    <s v="Shaquille O'Neal"/>
    <s v="1996 Upper Deck"/>
    <s v="-"/>
    <s v="61"/>
    <n v="1.67"/>
    <x v="56"/>
    <s v="For Sale"/>
    <n v="5"/>
    <n v="3"/>
    <n v="2"/>
    <n v="1.25"/>
  </r>
  <r>
    <x v="289"/>
    <s v="Shaquille O'Neal #93"/>
    <s v="Basketball Cards 1998 Ultra"/>
    <n v="164"/>
    <s v="Ungraded"/>
    <s v="Normal wear"/>
    <m/>
    <m/>
    <n v="0"/>
    <n v="1"/>
    <d v="2026-05-07T00:00:00"/>
    <d v="2026-05-07T00:00:00"/>
    <m/>
    <n v="349"/>
    <m/>
    <s v="Shaquille O'Neal"/>
    <s v="1998 Ultra"/>
    <s v="-"/>
    <s v="93"/>
    <n v="1.64"/>
    <x v="56"/>
    <s v="For Sale"/>
    <n v="1"/>
    <n v="3"/>
    <n v="2"/>
    <n v="1.5"/>
  </r>
  <r>
    <x v="290"/>
    <s v="Shaquille O'Neal #100"/>
    <s v="Basketball Cards 1993 Stadium Club"/>
    <n v="157"/>
    <s v="Ungraded"/>
    <s v="Normal wear"/>
    <m/>
    <m/>
    <n v="0"/>
    <n v="1"/>
    <d v="2026-05-07T00:00:00"/>
    <d v="2026-05-07T00:00:00"/>
    <m/>
    <n v="448"/>
    <m/>
    <s v="Shaquille O'Neal"/>
    <s v="1993 Stadium Club"/>
    <s v="-"/>
    <s v="100"/>
    <n v="1.57"/>
    <x v="56"/>
    <s v="For Sale"/>
    <n v="1"/>
    <n v="3"/>
    <n v="2"/>
    <n v="1.5"/>
  </r>
  <r>
    <x v="291"/>
    <s v="Shaquille O'Neal #474"/>
    <s v="Basketball Cards 1992 Upper Deck"/>
    <n v="149"/>
    <s v="Ungraded"/>
    <s v="Normal wear"/>
    <m/>
    <m/>
    <n v="0"/>
    <n v="1"/>
    <d v="2026-04-17T00:00:00"/>
    <m/>
    <m/>
    <n v="296"/>
    <m/>
    <s v="Shaquille O'Neal"/>
    <s v="1992 Upper Deck"/>
    <s v="-"/>
    <s v="474"/>
    <n v="1.49"/>
    <x v="56"/>
    <s v="For Sale"/>
    <n v="1"/>
    <n v="3"/>
    <n v="2"/>
    <n v="1.25"/>
  </r>
  <r>
    <x v="292"/>
    <s v="Shaquille O'Neal #119"/>
    <s v="Basketball Cards 1996 Fleer Metal"/>
    <n v="149"/>
    <s v="Ungraded"/>
    <s v="Normal wear"/>
    <m/>
    <m/>
    <n v="0"/>
    <n v="1"/>
    <d v="2026-05-31T00:00:00"/>
    <m/>
    <m/>
    <n v="440"/>
    <m/>
    <s v="Shaquille O'Neal"/>
    <s v="1996 Fleer Metal"/>
    <s v="-"/>
    <s v="119"/>
    <n v="1.49"/>
    <x v="56"/>
    <s v="For Sale"/>
    <n v="4"/>
    <n v="3"/>
    <n v="2"/>
    <n v="1.25"/>
  </r>
  <r>
    <x v="292"/>
    <s v="Shaquille O'Neal #119"/>
    <s v="Basketball Cards 1996 Fleer Metal"/>
    <n v="149"/>
    <s v="Ungraded"/>
    <s v="Normal wear"/>
    <m/>
    <m/>
    <n v="0"/>
    <n v="1"/>
    <d v="2026-06-10T00:00:00"/>
    <m/>
    <m/>
    <n v="441"/>
    <m/>
    <s v="Shaquille O'Neal"/>
    <s v="1996 Fleer Metal"/>
    <s v="-"/>
    <s v="119"/>
    <n v="1.49"/>
    <x v="56"/>
    <s v="For Sale"/>
    <n v="4"/>
    <n v="3"/>
    <n v="2"/>
    <n v="1.25"/>
  </r>
  <r>
    <x v="292"/>
    <s v="Shaquille O'Neal #119"/>
    <s v="Basketball Cards 1996 Fleer Metal"/>
    <n v="149"/>
    <s v="Ungraded"/>
    <s v="Normal wear"/>
    <m/>
    <m/>
    <n v="0"/>
    <n v="1"/>
    <d v="2026-06-10T00:00:00"/>
    <m/>
    <m/>
    <n v="442"/>
    <m/>
    <s v="Shaquille O'Neal"/>
    <s v="1996 Fleer Metal"/>
    <s v="-"/>
    <s v="119"/>
    <n v="1.49"/>
    <x v="56"/>
    <s v="For Sale"/>
    <n v="4"/>
    <n v="3"/>
    <n v="2"/>
    <n v="1.25"/>
  </r>
  <r>
    <x v="292"/>
    <s v="Shaquille O'Neal #119"/>
    <s v="Basketball Cards 1996 Fleer Metal"/>
    <n v="149"/>
    <s v="Ungraded"/>
    <s v="Normal wear"/>
    <m/>
    <m/>
    <n v="0"/>
    <n v="1"/>
    <d v="2026-06-10T00:00:00"/>
    <m/>
    <m/>
    <n v="444"/>
    <m/>
    <s v="Shaquille O'Neal"/>
    <s v="1996 Fleer Metal"/>
    <s v="-"/>
    <s v="119"/>
    <n v="1.49"/>
    <x v="56"/>
    <s v="For Sale"/>
    <n v="4"/>
    <n v="3"/>
    <n v="2"/>
    <n v="1.25"/>
  </r>
  <r>
    <x v="293"/>
    <s v="Shaquille O'Neal #95"/>
    <s v="Basketball Cards 1995 Upper Deck"/>
    <n v="127"/>
    <s v="Ungraded"/>
    <s v="Normal wear"/>
    <m/>
    <m/>
    <n v="0"/>
    <n v="1"/>
    <d v="2026-06-10T00:00:00"/>
    <m/>
    <m/>
    <n v="434"/>
    <m/>
    <s v="Shaquille O'Neal"/>
    <s v="1995 Upper Deck"/>
    <s v="-"/>
    <s v="95"/>
    <n v="1.27"/>
    <x v="56"/>
    <s v="For Sale"/>
    <n v="2"/>
    <n v="3"/>
    <n v="1.5"/>
    <n v="1"/>
  </r>
  <r>
    <x v="293"/>
    <s v="Shaquille O'Neal #95"/>
    <s v="Basketball Cards 1995 Upper Deck"/>
    <n v="127"/>
    <s v="Ungraded"/>
    <s v="Normal wear"/>
    <m/>
    <m/>
    <n v="0"/>
    <n v="1"/>
    <d v="2026-05-07T00:00:00"/>
    <m/>
    <m/>
    <n v="435"/>
    <m/>
    <s v="Shaquille O'Neal"/>
    <s v="1995 Upper Deck"/>
    <s v="-"/>
    <s v="95"/>
    <n v="1.27"/>
    <x v="56"/>
    <s v="For Sale"/>
    <n v="2"/>
    <n v="3"/>
    <n v="1.5"/>
    <n v="1"/>
  </r>
  <r>
    <x v="294"/>
    <s v="Spider-Demon [Part III]"/>
    <s v="Marvel 1994 Flair"/>
    <n v="299"/>
    <s v="Ungraded"/>
    <s v="Normal wear"/>
    <m/>
    <m/>
    <n v="0"/>
    <n v="1"/>
    <d v="2026-04-17T00:00:00"/>
    <m/>
    <m/>
    <n v="183"/>
    <m/>
    <s v="Spider-Demon"/>
    <s v="Marvel 1994 Flair"/>
    <s v="Part III"/>
    <s v=""/>
    <n v="2.99"/>
    <x v="57"/>
    <s v="For Sale"/>
    <n v="1"/>
    <n v="3"/>
    <n v="4"/>
    <n v="3"/>
  </r>
  <r>
    <x v="295"/>
    <s v="Stephon Castle [Reptilian Refractor] #BCV-145"/>
    <s v="Basketball Cards 2025 Bowman Chrome"/>
    <n v="325"/>
    <s v="Ungraded"/>
    <s v="Normal wear"/>
    <m/>
    <s v="&quot;whatnot.com/order/FqoWSgMi5fqLq2Bz7wgwQQ_x000d__x000a_$10.00 + $1.05 (Shared Shipping) + $1.13 Tax = Total of $12.18&quot;"/>
    <n v="1218"/>
    <n v="1"/>
    <d v="2026-06-10T00:00:00"/>
    <d v="2026-06-09T00:00:00"/>
    <m/>
    <n v="170"/>
    <m/>
    <s v="Stephon Castle"/>
    <s v="2025 Bowman Chrome"/>
    <s v="Reptilian Refractor"/>
    <s v="BCV-145"/>
    <n v="3.25"/>
    <x v="58"/>
    <s v="For Sale"/>
    <n v="1"/>
    <n v="3"/>
    <n v="15"/>
    <n v="3"/>
  </r>
  <r>
    <x v="296"/>
    <s v="Stephon Castle #244"/>
    <s v="Basketball Cards 2024 Panini Donruss"/>
    <n v="200"/>
    <s v="Ungraded"/>
    <s v="Normal wear"/>
    <m/>
    <s v="&quot;https://www.whatnot.com/order/GMJptoiQKCNjk4Pv5GF4bQ_x000d__x000a_$2.50 + $0.00 (Shared Shipping) + $0.26 Tax = Total of $2.76&quot;"/>
    <n v="276"/>
    <n v="1"/>
    <d v="2026-06-09T00:00:00"/>
    <d v="2026-06-08T00:00:00"/>
    <m/>
    <n v="425"/>
    <m/>
    <s v="Stephon Castle"/>
    <s v="2024 Panini Donruss"/>
    <s v="-"/>
    <s v="244"/>
    <n v="2"/>
    <x v="58"/>
    <s v="For Sale"/>
    <n v="1"/>
    <n v="3"/>
    <n v="3"/>
    <n v="2"/>
  </r>
  <r>
    <x v="297"/>
    <s v="Stephon Castle #47"/>
    <s v="Basketball Cards 2025 Topps NBA Hoops"/>
    <n v="141"/>
    <s v="Ungraded"/>
    <s v="Normal wear"/>
    <m/>
    <s v="&quot;https://www.whatnot.com/order/95MtnSosyaYoiaS3Fs9P9f_x000d__x000a_$1.00 + $0.35 (Shared Shipping) + $0.14 Tax = Total of $1.48&quot;"/>
    <n v="148"/>
    <n v="1"/>
    <d v="2026-05-22T00:00:00"/>
    <d v="2026-05-15T00:00:00"/>
    <m/>
    <n v="339"/>
    <m/>
    <s v="Stephon Castle"/>
    <s v="2025 Topps NBA Hoops"/>
    <s v="-"/>
    <s v="47"/>
    <n v="1.41"/>
    <x v="58"/>
    <s v="For Sale"/>
    <n v="1"/>
    <n v="3"/>
    <n v="2"/>
    <n v="1.25"/>
  </r>
  <r>
    <x v="298"/>
    <s v="Stephon Marbury #9"/>
    <s v="Basketball Cards 1996 Metal Cyber Metal"/>
    <n v="298"/>
    <s v="Ungraded"/>
    <s v="Normal wear"/>
    <m/>
    <m/>
    <n v="0"/>
    <n v="1"/>
    <d v="2026-04-15T00:00:00"/>
    <m/>
    <m/>
    <n v="193"/>
    <m/>
    <s v="Stephon Marbury"/>
    <s v="1996 Metal Cyber Metal"/>
    <s v="-"/>
    <s v="9"/>
    <n v="2.98"/>
    <x v="59"/>
    <s v="For Sale"/>
    <n v="1"/>
    <n v="3"/>
    <n v="4"/>
    <n v="3"/>
  </r>
  <r>
    <x v="299"/>
    <s v="Stephon Marbury #KS4"/>
    <s v="Basketball Cards 1998 Topps Kick Start"/>
    <n v="213"/>
    <s v="Ungraded"/>
    <s v="Normal wear"/>
    <m/>
    <m/>
    <n v="0"/>
    <n v="1"/>
    <d v="2026-05-07T00:00:00"/>
    <m/>
    <m/>
    <n v="237"/>
    <m/>
    <s v="Stephon Marbury"/>
    <s v="1998 Topps Kick Start"/>
    <s v="-"/>
    <s v="KS4"/>
    <n v="2.13"/>
    <x v="59"/>
    <s v="For Sale"/>
    <n v="1"/>
    <n v="3"/>
    <n v="3"/>
    <n v="2"/>
  </r>
  <r>
    <x v="300"/>
    <s v="Stephon Marbury #56"/>
    <s v="Basketball Cards 1998 Upper Deck Black Diamond"/>
    <n v="187"/>
    <s v="Ungraded"/>
    <s v="Normal wear"/>
    <m/>
    <m/>
    <n v="0"/>
    <n v="1"/>
    <d v="2026-05-31T00:00:00"/>
    <m/>
    <m/>
    <n v="309"/>
    <m/>
    <s v="Stephon Marbury"/>
    <s v="1998 Upper Deck Black Diamond"/>
    <s v="-"/>
    <s v="56"/>
    <n v="1.87"/>
    <x v="59"/>
    <s v="For Sale"/>
    <n v="1"/>
    <n v="3"/>
    <n v="2"/>
    <n v="2"/>
  </r>
  <r>
    <x v="301"/>
    <s v="Stephon Marbury #38"/>
    <s v="Basketball Cards 1997 Ultra"/>
    <n v="168"/>
    <s v="Ungraded"/>
    <s v="Normal wear"/>
    <m/>
    <m/>
    <n v="0"/>
    <n v="1"/>
    <d v="2026-05-31T00:00:00"/>
    <m/>
    <m/>
    <n v="353"/>
    <m/>
    <s v="Stephon Marbury"/>
    <s v="1997 Ultra"/>
    <s v="-"/>
    <s v="38"/>
    <n v="1.68"/>
    <x v="59"/>
    <s v="For Sale"/>
    <n v="2"/>
    <n v="3"/>
    <n v="2"/>
    <n v="1.25"/>
  </r>
  <r>
    <x v="301"/>
    <s v="Stephon Marbury #38"/>
    <s v="Basketball Cards 1997 Ultra"/>
    <n v="168"/>
    <s v="Ungraded"/>
    <s v="Normal wear"/>
    <m/>
    <m/>
    <n v="0"/>
    <n v="1"/>
    <d v="2026-06-10T00:00:00"/>
    <m/>
    <m/>
    <n v="354"/>
    <m/>
    <s v="Stephon Marbury"/>
    <s v="1997 Ultra"/>
    <s v="-"/>
    <s v="38"/>
    <n v="1.68"/>
    <x v="59"/>
    <s v="For Sale"/>
    <n v="2"/>
    <n v="3"/>
    <n v="2"/>
    <n v="1.25"/>
  </r>
  <r>
    <x v="302"/>
    <s v="Stephon Marbury [w/ Coating] #19"/>
    <s v="Basketball Cards 1997 Finest"/>
    <n v="167"/>
    <s v="Ungraded"/>
    <s v="Normal wear"/>
    <m/>
    <m/>
    <n v="0"/>
    <n v="1"/>
    <d v="2026-05-31T00:00:00"/>
    <m/>
    <m/>
    <n v="356"/>
    <m/>
    <s v="Stephon Marbury"/>
    <s v="1997 Finest"/>
    <s v="w/ Coating"/>
    <s v="19"/>
    <n v="1.67"/>
    <x v="59"/>
    <s v="For Sale"/>
    <n v="1"/>
    <n v="3"/>
    <n v="2"/>
    <n v="1.5"/>
  </r>
  <r>
    <x v="303"/>
    <s v="Stephon Marbury #90"/>
    <s v="Basketball Cards 1997 Metal Universe"/>
    <n v="164"/>
    <s v="Ungraded"/>
    <s v="Normal wear"/>
    <m/>
    <m/>
    <n v="0"/>
    <n v="1"/>
    <d v="2026-05-31T00:00:00"/>
    <m/>
    <m/>
    <n v="315"/>
    <m/>
    <s v="Stephon Marbury"/>
    <s v="1997 Metal Universe"/>
    <s v="-"/>
    <s v="90"/>
    <n v="1.64"/>
    <x v="59"/>
    <s v="For Sale"/>
    <n v="2"/>
    <n v="3"/>
    <n v="2"/>
    <n v="1.25"/>
  </r>
  <r>
    <x v="303"/>
    <s v="Stephon Marbury #90"/>
    <s v="Basketball Cards 1997 Metal Universe"/>
    <n v="164"/>
    <s v="Ungraded"/>
    <s v="Normal wear"/>
    <m/>
    <m/>
    <n v="0"/>
    <n v="1"/>
    <d v="2026-06-10T00:00:00"/>
    <m/>
    <m/>
    <n v="317"/>
    <m/>
    <s v="Stephon Marbury"/>
    <s v="1997 Metal Universe"/>
    <s v="-"/>
    <s v="90"/>
    <n v="1.64"/>
    <x v="59"/>
    <s v="For Sale"/>
    <n v="2"/>
    <n v="3"/>
    <n v="2"/>
    <n v="1.25"/>
  </r>
  <r>
    <x v="304"/>
    <s v="Stephon Marbury #R15"/>
    <s v="Basketball Cards 1996 Upper Deck Rookie Exclusives"/>
    <n v="137"/>
    <s v="Ungraded"/>
    <s v="Normal wear"/>
    <m/>
    <m/>
    <n v="0"/>
    <n v="1"/>
    <d v="2026-04-15T00:00:00"/>
    <m/>
    <m/>
    <n v="109"/>
    <m/>
    <s v="Stephon Marbury"/>
    <s v="1996 Upper Deck Rookie Exclusives"/>
    <s v="-"/>
    <s v="R15"/>
    <n v="1.37"/>
    <x v="59"/>
    <s v="Keep"/>
    <n v="0"/>
    <n v="3"/>
    <n v="1.5"/>
    <n v="1.25"/>
  </r>
  <r>
    <x v="305"/>
    <s v="Stephon Marbury #74"/>
    <s v="Basketball Cards 1996 Upper Deck"/>
    <n v="137"/>
    <s v="Ungraded"/>
    <s v="Normal wear"/>
    <m/>
    <m/>
    <n v="0"/>
    <n v="1"/>
    <d v="2026-04-17T00:00:00"/>
    <m/>
    <m/>
    <n v="490"/>
    <m/>
    <s v="Stephon Marbury"/>
    <s v="1996 Upper Deck"/>
    <s v="-"/>
    <s v="74"/>
    <n v="1.37"/>
    <x v="59"/>
    <s v="For Sale"/>
    <n v="4"/>
    <n v="3"/>
    <n v="1.5"/>
    <n v="1"/>
  </r>
  <r>
    <x v="305"/>
    <s v="Stephon Marbury #74"/>
    <s v="Basketball Cards 1996 Upper Deck"/>
    <n v="137"/>
    <s v="Ungraded"/>
    <s v="Normal wear"/>
    <m/>
    <m/>
    <n v="0"/>
    <n v="1"/>
    <d v="2026-06-10T00:00:00"/>
    <m/>
    <m/>
    <n v="491"/>
    <m/>
    <s v="Stephon Marbury"/>
    <s v="1996 Upper Deck"/>
    <s v="-"/>
    <s v="74"/>
    <n v="1.37"/>
    <x v="59"/>
    <s v="For Sale"/>
    <n v="4"/>
    <n v="3"/>
    <n v="1.5"/>
    <n v="1"/>
  </r>
  <r>
    <x v="305"/>
    <s v="Stephon Marbury #74"/>
    <s v="Basketball Cards 1996 Upper Deck"/>
    <n v="137"/>
    <s v="Ungraded"/>
    <s v="Normal wear"/>
    <m/>
    <m/>
    <n v="0"/>
    <n v="1"/>
    <d v="2026-06-10T00:00:00"/>
    <m/>
    <m/>
    <n v="492"/>
    <m/>
    <s v="Stephon Marbury"/>
    <s v="1996 Upper Deck"/>
    <s v="-"/>
    <s v="74"/>
    <n v="1.37"/>
    <x v="59"/>
    <s v="For Sale"/>
    <n v="4"/>
    <n v="3"/>
    <n v="1.5"/>
    <n v="1"/>
  </r>
  <r>
    <x v="305"/>
    <s v="Stephon Marbury #74"/>
    <s v="Basketball Cards 1996 Upper Deck"/>
    <n v="137"/>
    <s v="Ungraded"/>
    <s v="Normal wear"/>
    <m/>
    <m/>
    <n v="0"/>
    <n v="1"/>
    <d v="2026-06-10T00:00:00"/>
    <m/>
    <m/>
    <n v="494"/>
    <m/>
    <s v="Stephon Marbury"/>
    <s v="1996 Upper Deck"/>
    <s v="-"/>
    <s v="74"/>
    <n v="1.37"/>
    <x v="59"/>
    <s v="For Sale"/>
    <n v="4"/>
    <n v="3"/>
    <n v="1.5"/>
    <n v="1"/>
  </r>
  <r>
    <x v="306"/>
    <s v="Stephon Marbury #346"/>
    <s v="Basketball Cards 1996 Upper Deck"/>
    <n v="127"/>
    <s v="Ungraded"/>
    <s v="Normal wear"/>
    <m/>
    <m/>
    <n v="0"/>
    <n v="1"/>
    <d v="2026-06-10T00:00:00"/>
    <m/>
    <m/>
    <n v="501"/>
    <m/>
    <s v="Stephon Marbury"/>
    <s v="1996 Upper Deck"/>
    <s v="-"/>
    <s v="346"/>
    <n v="1.27"/>
    <x v="59"/>
    <s v="For Sale"/>
    <n v="2"/>
    <n v="3"/>
    <n v="1.5"/>
    <n v="1"/>
  </r>
  <r>
    <x v="306"/>
    <s v="Stephon Marbury #346"/>
    <s v="Basketball Cards 1996 Upper Deck"/>
    <n v="127"/>
    <s v="Ungraded"/>
    <s v="Normal wear"/>
    <m/>
    <m/>
    <n v="0"/>
    <n v="1"/>
    <d v="2026-05-31T00:00:00"/>
    <m/>
    <m/>
    <n v="502"/>
    <m/>
    <s v="Stephon Marbury"/>
    <s v="1996 Upper Deck"/>
    <s v="-"/>
    <s v="346"/>
    <n v="1.27"/>
    <x v="59"/>
    <s v="For Sale"/>
    <n v="2"/>
    <n v="3"/>
    <n v="1.5"/>
    <n v="1"/>
  </r>
  <r>
    <x v="307"/>
    <s v="Stephon Marbury #134"/>
    <s v="Basketball Cards 1996 Fleer Metal"/>
    <n v="125"/>
    <s v="Ungraded"/>
    <s v="Normal wear"/>
    <m/>
    <m/>
    <n v="0"/>
    <n v="1"/>
    <d v="2026-04-17T00:00:00"/>
    <m/>
    <m/>
    <n v="495"/>
    <m/>
    <s v="Stephon Marbury"/>
    <s v="1996 Fleer Metal"/>
    <s v="-"/>
    <s v="134"/>
    <n v="1.25"/>
    <x v="59"/>
    <s v="For Sale"/>
    <n v="1"/>
    <n v="3"/>
    <n v="1.5"/>
    <n v="1.25"/>
  </r>
  <r>
    <x v="308"/>
    <s v="Stephon Marbury #69"/>
    <s v="Basketball Cards 1996 Skybox Premium"/>
    <n v="118"/>
    <s v="Ungraded"/>
    <s v="Normal wear"/>
    <m/>
    <m/>
    <n v="0"/>
    <n v="1"/>
    <d v="2026-05-07T00:00:00"/>
    <d v="2026-05-07T00:00:00"/>
    <m/>
    <n v="380"/>
    <m/>
    <s v="Stephon Marbury"/>
    <s v="1996 Skybox Premium"/>
    <s v="-"/>
    <s v="69"/>
    <n v="1.18"/>
    <x v="59"/>
    <s v="For Sale"/>
    <n v="1"/>
    <n v="3"/>
    <n v="1.25"/>
    <n v="1"/>
  </r>
  <r>
    <x v="309"/>
    <s v="Stephon Marbury #2"/>
    <s v="Basketball Cards 1996 UD3"/>
    <n v="99"/>
    <s v="Ungraded"/>
    <s v="Normal wear"/>
    <m/>
    <m/>
    <n v="0"/>
    <n v="1"/>
    <d v="2026-04-17T00:00:00"/>
    <m/>
    <m/>
    <n v="407"/>
    <m/>
    <s v="Stephon Marbury"/>
    <s v="1996 UD3"/>
    <s v="-"/>
    <s v="2"/>
    <n v="0.99"/>
    <x v="59"/>
    <s v="For Sale"/>
    <n v="1"/>
    <n v="3"/>
    <n v="1"/>
    <n v="0.75"/>
  </r>
  <r>
    <x v="310"/>
    <s v="Stephon Marbury #189"/>
    <s v="Basketball Cards 1996 Fleer Metal"/>
    <n v="82"/>
    <s v="Ungraded"/>
    <s v="Normal wear"/>
    <m/>
    <m/>
    <n v="0"/>
    <n v="1"/>
    <d v="2026-06-10T00:00:00"/>
    <m/>
    <m/>
    <n v="509"/>
    <m/>
    <s v="Stephon Marbury"/>
    <s v="1996 Fleer Metal"/>
    <s v="-"/>
    <s v="189"/>
    <n v="0.82"/>
    <x v="59"/>
    <s v="For Sale"/>
    <n v="3"/>
    <n v="3"/>
    <n v="0.75"/>
    <n v="0.5"/>
  </r>
  <r>
    <x v="310"/>
    <s v="Stephon Marbury #189"/>
    <s v="Basketball Cards 1996 Fleer Metal"/>
    <n v="82"/>
    <s v="Ungraded"/>
    <s v="Normal wear"/>
    <m/>
    <m/>
    <n v="0"/>
    <n v="1"/>
    <d v="2026-06-10T00:00:00"/>
    <m/>
    <m/>
    <n v="512"/>
    <m/>
    <s v="Stephon Marbury"/>
    <s v="1996 Fleer Metal"/>
    <s v="-"/>
    <s v="189"/>
    <n v="0.82"/>
    <x v="59"/>
    <s v="For Sale"/>
    <n v="3"/>
    <n v="3"/>
    <n v="0.75"/>
    <n v="0.5"/>
  </r>
  <r>
    <x v="310"/>
    <s v="Stephon Marbury #189"/>
    <s v="Basketball Cards 1996 Fleer Metal"/>
    <n v="82"/>
    <s v="Ungraded"/>
    <s v="Normal wear"/>
    <m/>
    <m/>
    <n v="0"/>
    <n v="1"/>
    <d v="2026-05-31T00:00:00"/>
    <m/>
    <m/>
    <n v="514"/>
    <m/>
    <s v="Stephon Marbury"/>
    <s v="1996 Fleer Metal"/>
    <s v="-"/>
    <s v="189"/>
    <n v="0.82"/>
    <x v="59"/>
    <s v="For Sale"/>
    <n v="3"/>
    <n v="3"/>
    <n v="0.75"/>
    <n v="0.5"/>
  </r>
  <r>
    <x v="311"/>
    <s v="Stephon Marbury #121"/>
    <s v="Basketball Cards 1997 Skybox Premium"/>
    <n v="74"/>
    <s v="Ungraded"/>
    <s v="Normal wear"/>
    <m/>
    <m/>
    <n v="0"/>
    <n v="1"/>
    <d v="2026-05-31T00:00:00"/>
    <m/>
    <m/>
    <n v="587"/>
    <m/>
    <s v="Stephon Marbury"/>
    <s v="1997 Skybox Premium"/>
    <s v="-"/>
    <s v="121"/>
    <n v="0.74"/>
    <x v="59"/>
    <s v="For Sale"/>
    <n v="1"/>
    <n v="3"/>
    <n v="0.75"/>
    <n v="0.5"/>
  </r>
  <r>
    <x v="312"/>
    <s v="Stephon Marbury #SL24"/>
    <s v="Basketball Cards 1998 Kenner Upper Deck Starting Lineup"/>
    <n v="0"/>
    <s v="Ungraded"/>
    <s v="Normal wear"/>
    <m/>
    <m/>
    <n v="0"/>
    <n v="1"/>
    <d v="2026-05-31T00:00:00"/>
    <m/>
    <m/>
    <n v="603"/>
    <m/>
    <s v="Stephon Marbury"/>
    <s v="1998 Kenner Upper Deck Starting Lineup"/>
    <s v="-"/>
    <s v="SL24"/>
    <n v="0"/>
    <x v="59"/>
    <s v="For Sale"/>
    <n v="1"/>
    <n v="3"/>
    <n v="0.25"/>
    <n v="0.25"/>
  </r>
  <r>
    <x v="313"/>
    <s v="Thomas Dooley #7"/>
    <s v="Soccer Cards 1994 Upper Deck World Cup Soccer"/>
    <n v="223"/>
    <s v="Ungraded"/>
    <s v="Normal wear"/>
    <m/>
    <m/>
    <n v="0"/>
    <n v="1"/>
    <d v="2026-04-17T00:00:00"/>
    <m/>
    <m/>
    <n v="231"/>
    <m/>
    <s v="Thomas Dooley"/>
    <s v="1994 Upper Deck World Cup Soccer"/>
    <s v="-"/>
    <s v="7"/>
    <n v="2.23"/>
    <x v="60"/>
    <s v="For Sale"/>
    <n v="1"/>
    <n v="3"/>
    <n v="3"/>
    <n v="2"/>
  </r>
  <r>
    <x v="314"/>
    <s v="Tyrese Haliburton #75"/>
    <s v="Basketball Cards 2020 Panini Clearly Donruss"/>
    <n v="389"/>
    <s v="Ungraded"/>
    <s v="Normal wear"/>
    <m/>
    <s v="&quot;https://www.whatnot.com/order/3L3ttnP3dWr4gppLFyVTfw_x000d__x000a_$4.00 + $0.00 (Shared Shipping) + $0.41 Tax = Total of $4.41&quot;"/>
    <n v="441"/>
    <n v="1"/>
    <d v="2026-05-12T00:00:00"/>
    <d v="2026-05-04T00:00:00"/>
    <m/>
    <n v="128"/>
    <m/>
    <s v="Tyrese Haliburton"/>
    <s v="2020 Panini Clearly Donruss"/>
    <s v="-"/>
    <s v="75"/>
    <n v="3.89"/>
    <x v="61"/>
    <s v="For Sale"/>
    <n v="1"/>
    <n v="3"/>
    <n v="5"/>
    <n v="4"/>
  </r>
  <r>
    <x v="315"/>
    <s v="Tyrese Haliburton [Blue Refractor] #38"/>
    <s v="Basketball Cards 2024 Topps Finest"/>
    <n v="233"/>
    <s v="Ungraded"/>
    <s v="Normal wear"/>
    <m/>
    <s v="&quot;https://www.whatnot.com/order/j5AumEDPb4dAWPPgEGjD26_x000d__x000a_$1.00 + $0.00 (Shared Shipping) + $0.10 Tax = Total of $1.10&quot;"/>
    <n v="110"/>
    <n v="1"/>
    <d v="2026-06-09T00:00:00"/>
    <d v="2026-06-08T00:00:00"/>
    <m/>
    <n v="218"/>
    <m/>
    <s v="Tyrese Haliburton"/>
    <s v="2024 Topps Finest"/>
    <s v="Blue Refractor"/>
    <s v="38"/>
    <n v="2.33"/>
    <x v="61"/>
    <s v="For Sale"/>
    <n v="1"/>
    <n v="3"/>
    <n v="3"/>
    <n v="1"/>
  </r>
  <r>
    <x v="316"/>
    <s v="Vince Carter #120"/>
    <s v="Basketball Cards 1998 Upper Deck Black Diamond"/>
    <n v="605"/>
    <s v="Ungraded"/>
    <s v="Normal wear"/>
    <m/>
    <m/>
    <n v="0"/>
    <n v="1"/>
    <d v="2026-04-15T00:00:00"/>
    <m/>
    <m/>
    <n v="42"/>
    <m/>
    <s v="Vince Carter"/>
    <s v="1998 Upper Deck Black Diamond"/>
    <s v="-"/>
    <s v="120"/>
    <n v="6.05"/>
    <x v="62"/>
    <s v="For Sale"/>
    <n v="1"/>
    <n v="3"/>
    <n v="7"/>
    <n v="6"/>
  </r>
  <r>
    <x v="317"/>
    <s v="Vince Carter #14"/>
    <s v="Basketball Cards 1998 Ultra World Premiere"/>
    <n v="421"/>
    <s v="Ungraded"/>
    <s v="Normal wear"/>
    <m/>
    <m/>
    <n v="0"/>
    <n v="1"/>
    <d v="2026-04-15T00:00:00"/>
    <m/>
    <m/>
    <n v="121"/>
    <m/>
    <s v="Vince Carter"/>
    <s v="1998 Ultra World Premiere"/>
    <s v="-"/>
    <s v="14"/>
    <n v="4.21"/>
    <x v="62"/>
    <s v="For Sale"/>
    <n v="1"/>
    <n v="3"/>
    <n v="5"/>
    <n v="4"/>
  </r>
  <r>
    <x v="318"/>
    <s v="Vince Carter #79"/>
    <s v="Basketball Cards 1999 SP Authentic"/>
    <n v="102"/>
    <s v="Ungraded"/>
    <s v="Normal wear"/>
    <m/>
    <m/>
    <n v="0"/>
    <n v="1"/>
    <d v="2026-04-16T00:00:00"/>
    <d v="2026-04-16T00:00:00"/>
    <m/>
    <n v="535"/>
    <m/>
    <s v="Vince Carter"/>
    <s v="1999 SP Authentic"/>
    <s v="-"/>
    <s v="79"/>
    <n v="1.02"/>
    <x v="62"/>
    <s v="For Sale"/>
    <n v="1"/>
    <n v="3"/>
    <n v="1"/>
    <n v="1"/>
  </r>
  <r>
    <x v="319"/>
    <s v="Yamil Benitez #239"/>
    <s v="Baseball Cards 1996 Upper Deck"/>
    <n v="285"/>
    <s v="Ungraded"/>
    <s v="Normal wear"/>
    <m/>
    <m/>
    <n v="0"/>
    <n v="1"/>
    <d v="2026-06-01T00:00:00"/>
    <m/>
    <m/>
    <n v="196"/>
    <m/>
    <s v="Yamil Benitez"/>
    <s v="1996 Upper Deck"/>
    <s v="-"/>
    <s v="239"/>
    <n v="2.85"/>
    <x v="63"/>
    <s v="For Sale"/>
    <n v="1"/>
    <n v="3"/>
    <n v="3"/>
    <n v="3"/>
  </r>
  <r>
    <x v="320"/>
    <s v="Antawn Jamison #197"/>
    <s v="Basketball Cards 1998 Stadium Club"/>
    <n v="146"/>
    <s v="Ungraded"/>
    <s v="Normal wear"/>
    <m/>
    <m/>
    <n v="0"/>
    <n v="1"/>
    <d v="2026-06-10T00:00:00"/>
    <m/>
    <m/>
    <n v="438"/>
    <m/>
    <s v="Antawn Jamison"/>
    <s v="1998 Stadium Club"/>
    <s v="-"/>
    <s v="197"/>
    <n v="1.46"/>
    <x v="64"/>
    <s v="For Sale"/>
    <n v="2"/>
    <n v="4"/>
    <n v="2"/>
    <n v="1"/>
  </r>
  <r>
    <x v="320"/>
    <s v="Antawn Jamison #197"/>
    <s v="Basketball Cards 1998 Stadium Club"/>
    <n v="146"/>
    <s v="Ungraded"/>
    <s v="Normal wear"/>
    <m/>
    <m/>
    <n v="0"/>
    <n v="1"/>
    <d v="2026-04-17T00:00:00"/>
    <m/>
    <m/>
    <n v="439"/>
    <m/>
    <s v="Antawn Jamison"/>
    <s v="1998 Stadium Club"/>
    <s v="-"/>
    <s v="197"/>
    <n v="1.46"/>
    <x v="64"/>
    <s v="For Sale"/>
    <n v="2"/>
    <n v="4"/>
    <n v="2"/>
    <n v="1"/>
  </r>
  <r>
    <x v="321"/>
    <s v="Anthony Edwards #3"/>
    <s v="Basketball Cards 2020 Panini Prizm Emergent"/>
    <n v="170"/>
    <s v="Ungraded"/>
    <s v="Normal wear"/>
    <m/>
    <s v="&quot;https://www.whatnot.com/order/3bymbw4YA5kuEYFfvvyWw2_x000d__x000a_$5.00 + $0.45 (Shared Shipping) + $0.63 Tax = Total of $6.34&quot;"/>
    <n v="634"/>
    <n v="1"/>
    <d v="2026-05-09T00:00:00"/>
    <d v="2026-05-04T00:00:00"/>
    <m/>
    <n v="290"/>
    <m/>
    <s v="Anthony Edwards"/>
    <s v="2020 Panini Prizm Emergent"/>
    <s v="-"/>
    <s v="3"/>
    <n v="1.7"/>
    <x v="65"/>
    <s v="For Sale"/>
    <n v="1"/>
    <n v="4"/>
    <n v="8"/>
    <n v="1.5"/>
  </r>
  <r>
    <x v="322"/>
    <s v="Anthony Edwards #81"/>
    <s v="Basketball Cards 2020 Panini Prizm Draft Picks"/>
    <n v="162"/>
    <s v="Ungraded"/>
    <s v="Normal wear"/>
    <m/>
    <s v="&quot;https://www.whatnot.com/order/TYnJSjGYYq23Mb9UWhC6Xk_x000d__x000a_$0.00 + $0.78 (Shared Shipping) + $0.08 Tax = Total of $0.86&quot;"/>
    <n v="86"/>
    <n v="1"/>
    <d v="2026-05-21T00:00:00"/>
    <d v="2026-05-17T00:00:00"/>
    <m/>
    <n v="334"/>
    <m/>
    <s v="Anthony Edwards"/>
    <s v="2020 Panini Prizm Draft Picks"/>
    <s v="-"/>
    <s v="81"/>
    <n v="1.62"/>
    <x v="65"/>
    <s v="For Sale"/>
    <n v="1"/>
    <n v="4"/>
    <n v="2"/>
    <n v="0.75"/>
  </r>
  <r>
    <x v="323"/>
    <s v="Antoine Walker #6"/>
    <s v="Basketball Cards 1996 UD3"/>
    <n v="185"/>
    <s v="Ungraded"/>
    <s v="Normal wear"/>
    <m/>
    <m/>
    <n v="0"/>
    <n v="1"/>
    <d v="2026-05-31T00:00:00"/>
    <m/>
    <m/>
    <n v="344"/>
    <m/>
    <s v="Antoine Walker"/>
    <s v="1996 UD3"/>
    <s v="-"/>
    <s v="6"/>
    <n v="1.85"/>
    <x v="66"/>
    <s v="For Sale"/>
    <n v="1"/>
    <n v="4"/>
    <n v="2"/>
    <n v="2"/>
  </r>
  <r>
    <x v="324"/>
    <s v="Antoine Walker #9"/>
    <s v="Basketball Cards 1996 Skybox Premium"/>
    <n v="100"/>
    <s v="Ungraded"/>
    <s v="Normal wear"/>
    <m/>
    <m/>
    <n v="0"/>
    <n v="1"/>
    <d v="2026-05-31T00:00:00"/>
    <m/>
    <m/>
    <n v="528"/>
    <m/>
    <s v="Antoine Walker"/>
    <s v="1996 Skybox Premium"/>
    <s v="-"/>
    <s v="9"/>
    <n v="1"/>
    <x v="66"/>
    <s v="For Sale"/>
    <n v="1"/>
    <n v="4"/>
    <n v="1"/>
    <n v="1"/>
  </r>
  <r>
    <x v="325"/>
    <s v="Antoine Walker #187"/>
    <s v="Basketball Cards 1996 Upper Deck"/>
    <n v="99"/>
    <s v="Ungraded"/>
    <s v="Normal wear"/>
    <m/>
    <m/>
    <n v="0"/>
    <n v="1"/>
    <d v="2026-06-10T00:00:00"/>
    <m/>
    <m/>
    <n v="570"/>
    <m/>
    <s v="Antoine Walker"/>
    <s v="1996 Upper Deck"/>
    <s v="-"/>
    <s v="187"/>
    <n v="0.99"/>
    <x v="66"/>
    <s v="For Sale"/>
    <n v="2"/>
    <n v="4"/>
    <n v="1"/>
    <n v="0.75"/>
  </r>
  <r>
    <x v="325"/>
    <s v="Antoine Walker #187"/>
    <s v="Basketball Cards 1996 Upper Deck"/>
    <n v="99"/>
    <s v="Ungraded"/>
    <s v="Normal wear"/>
    <m/>
    <m/>
    <n v="0"/>
    <n v="1"/>
    <d v="2026-05-31T00:00:00"/>
    <m/>
    <m/>
    <n v="576"/>
    <m/>
    <s v="Antoine Walker"/>
    <s v="1996 Upper Deck"/>
    <s v="-"/>
    <s v="187"/>
    <n v="0.99"/>
    <x v="66"/>
    <s v="For Sale"/>
    <n v="2"/>
    <n v="4"/>
    <n v="1"/>
    <n v="0.75"/>
  </r>
  <r>
    <x v="326"/>
    <s v="Antonio Daniels #4"/>
    <s v="Basketball Cards 1997 Ultra All-Rookies"/>
    <n v="190"/>
    <s v="Ungraded"/>
    <s v="Normal wear"/>
    <m/>
    <m/>
    <n v="0"/>
    <n v="1"/>
    <d v="2026-05-31T00:00:00"/>
    <m/>
    <m/>
    <n v="294"/>
    <m/>
    <s v="Antonio Daniels"/>
    <s v="1997 Ultra All-Rookies"/>
    <s v="-"/>
    <s v="4"/>
    <n v="1.9"/>
    <x v="67"/>
    <s v="For Sale"/>
    <n v="1"/>
    <n v="4"/>
    <n v="2.5"/>
    <n v="2"/>
  </r>
  <r>
    <x v="327"/>
    <s v="Antonio McDyess #135"/>
    <s v="Basketball Cards 1995 Upper Deck"/>
    <n v="116"/>
    <s v="Ungraded"/>
    <s v="Normal wear"/>
    <m/>
    <m/>
    <n v="0"/>
    <n v="1"/>
    <d v="2026-05-07T00:00:00"/>
    <d v="2026-05-07T00:00:00"/>
    <m/>
    <n v="508"/>
    <m/>
    <s v="Antonio McDyess"/>
    <s v="1995 Upper Deck"/>
    <s v="-"/>
    <s v="135"/>
    <n v="1.1599999999999999"/>
    <x v="68"/>
    <s v="For Sale"/>
    <n v="1"/>
    <n v="4"/>
    <n v="1.25"/>
    <n v="1"/>
  </r>
  <r>
    <x v="328"/>
    <s v="Antonio McDyess [Electric Court] #135"/>
    <s v="Basketball Cards 1995 Upper Deck"/>
    <n v="99"/>
    <s v="Ungraded"/>
    <s v="Normal wear"/>
    <m/>
    <m/>
    <n v="0"/>
    <n v="1"/>
    <d v="2026-04-17T00:00:00"/>
    <d v="2026-04-16T00:00:00"/>
    <m/>
    <n v="577"/>
    <m/>
    <s v="Antonio McDyess"/>
    <s v="1995 Upper Deck"/>
    <s v="Electric Court"/>
    <s v="135"/>
    <n v="0.99"/>
    <x v="68"/>
    <s v="For Sale"/>
    <n v="1"/>
    <n v="4"/>
    <n v="1"/>
    <n v="0.75"/>
  </r>
  <r>
    <x v="329"/>
    <s v="Antonio McDyess #17"/>
    <s v="Basketball Cards 1997 Ultra Neat Feats"/>
    <n v="99"/>
    <s v="Ungraded"/>
    <s v="Normal wear"/>
    <m/>
    <m/>
    <n v="0"/>
    <n v="1"/>
    <d v="2026-05-31T00:00:00"/>
    <m/>
    <m/>
    <n v="561"/>
    <m/>
    <s v="Antonio McDyess"/>
    <s v="1997 Ultra Neat Feats"/>
    <s v="-"/>
    <s v="17"/>
    <n v="0.99"/>
    <x v="68"/>
    <s v="For Sale"/>
    <n v="1"/>
    <n v="4"/>
    <n v="1"/>
    <n v="0.75"/>
  </r>
  <r>
    <x v="330"/>
    <s v="Bam Adebayo [Refractor] #BD-15"/>
    <s v="Basketball Cards 2025 Topps Chrome Ball Of Duty"/>
    <n v="175"/>
    <s v="Ungraded"/>
    <s v="Normal wear"/>
    <m/>
    <s v="&quot;https://www.whatnot.com/order/2TyjnBKs5xc9uWHYUQd9fu_x000d__x000a_$1.00 + $0.35 (Shared Shipping) + $0.14 Tax = Total of $1.48&quot;"/>
    <n v="148"/>
    <n v="1"/>
    <d v="2026-05-22T00:00:00"/>
    <d v="2026-05-15T00:00:00"/>
    <m/>
    <n v="341"/>
    <m/>
    <s v="Bam Adebayo"/>
    <s v="2025 Topps Chrome Ball Of Duty"/>
    <s v="Refractor"/>
    <s v="BD-15"/>
    <n v="1.75"/>
    <x v="69"/>
    <s v="For Sale"/>
    <n v="1"/>
    <n v="4"/>
    <n v="2"/>
    <n v="1.25"/>
  </r>
  <r>
    <x v="331"/>
    <s v="Barry Bonds #440"/>
    <s v="Baseball Cards 1989 Upper Deck"/>
    <n v="125"/>
    <s v="Ungraded"/>
    <s v="Normal wear"/>
    <m/>
    <m/>
    <n v="0"/>
    <n v="1"/>
    <d v="2026-04-17T00:00:00"/>
    <m/>
    <m/>
    <n v="506"/>
    <m/>
    <s v="Barry Bonds"/>
    <s v="1989 Upper Deck"/>
    <s v="-"/>
    <s v="440"/>
    <n v="1.25"/>
    <x v="70"/>
    <s v="For Sale"/>
    <n v="1"/>
    <n v="4"/>
    <n v="1.5"/>
    <n v="1.25"/>
  </r>
  <r>
    <x v="332"/>
    <s v="Barry Bonds #373"/>
    <s v="Baseball Cards 1996 Upper Deck"/>
    <n v="125"/>
    <s v="Ungraded"/>
    <s v="Normal wear"/>
    <m/>
    <m/>
    <n v="0"/>
    <n v="1"/>
    <d v="2026-06-01T00:00:00"/>
    <m/>
    <m/>
    <n v="481"/>
    <m/>
    <s v="Barry Bonds"/>
    <s v="1996 Upper Deck"/>
    <s v="-"/>
    <s v="373"/>
    <n v="1.25"/>
    <x v="70"/>
    <s v="For Sale"/>
    <n v="1"/>
    <n v="4"/>
    <n v="1.5"/>
    <n v="1.25"/>
  </r>
  <r>
    <x v="333"/>
    <s v="Bulls Victory Tour '95-96: Win #46 #26"/>
    <s v="Basketball Cards 1996 Collector's Choice"/>
    <n v="144"/>
    <s v="Ungraded"/>
    <s v="Normal wear"/>
    <m/>
    <m/>
    <n v="0"/>
    <n v="1"/>
    <d v="2026-05-31T00:00:00"/>
    <m/>
    <m/>
    <n v="355"/>
    <m/>
    <s v="Bulls Victory Tour '95-96: Win"/>
    <s v="1996 Collector's Choice"/>
    <s v="-"/>
    <s v="46 #26"/>
    <n v="1.44"/>
    <x v="71"/>
    <s v="For Sale"/>
    <n v="1"/>
    <n v="4"/>
    <n v="1.5"/>
    <n v="1.25"/>
  </r>
  <r>
    <x v="334"/>
    <s v="Bulls Victory Tour '95-96: Win #41 #25"/>
    <s v="Basketball Cards 1996 Collector's Choice"/>
    <n v="140"/>
    <s v="Ungraded"/>
    <s v="Normal wear"/>
    <m/>
    <m/>
    <n v="0"/>
    <n v="1"/>
    <d v="2026-05-31T00:00:00"/>
    <m/>
    <m/>
    <n v="340"/>
    <m/>
    <s v="Bulls Victory Tour '95-96: Win"/>
    <s v="1996 Collector's Choice"/>
    <s v="-"/>
    <s v="41 #25"/>
    <n v="1.4"/>
    <x v="71"/>
    <s v="For Sale"/>
    <n v="1"/>
    <n v="4"/>
    <n v="1.5"/>
    <n v="1.25"/>
  </r>
  <r>
    <x v="335"/>
    <s v="Cade Cunningham [Refractor] #88"/>
    <s v="Basketball Cards 2025 Topps Chrome"/>
    <n v="201"/>
    <s v="Ungraded"/>
    <s v="Normal wear"/>
    <m/>
    <s v="&quot;https://www.whatnot.com/order/V5Gh7hYUvoJshqsMYA2fjj_x000d__x000a_$2.00 + $1.00 (Shared Shipping) + $0.31 Tax = Total of $3.31&quot;"/>
    <n v="231"/>
    <n v="1"/>
    <d v="2026-05-12T00:00:00"/>
    <d v="2026-05-08T00:00:00"/>
    <m/>
    <n v="235"/>
    <m/>
    <s v="Cade Cunningham"/>
    <s v="2025 Topps Chrome"/>
    <s v="Refractor"/>
    <s v="88"/>
    <n v="2.0099999999999998"/>
    <x v="72"/>
    <s v="For Sale"/>
    <n v="1"/>
    <n v="4"/>
    <n v="3"/>
    <n v="2"/>
  </r>
  <r>
    <x v="336"/>
    <s v="Cade Cunningham #22"/>
    <s v="Basketball Cards 2021 Panini Prizm Emergent"/>
    <n v="146"/>
    <s v="Ungraded"/>
    <s v="Normal wear"/>
    <m/>
    <s v="&quot;https://www.whatnot.com/order/JieocTtxhoCCzfkGLnBz49_x000d__x000a_$3.00 + $0.45 (Shared Shipping) + $0.35 Tax = Total of $3.78&quot;"/>
    <n v="378"/>
    <n v="1"/>
    <d v="2026-05-09T00:00:00"/>
    <d v="2026-05-04T00:00:00"/>
    <m/>
    <n v="328"/>
    <m/>
    <s v="Cade Cunningham"/>
    <s v="2021 Panini Prizm Emergent"/>
    <s v="-"/>
    <s v="22"/>
    <n v="1.46"/>
    <x v="72"/>
    <s v="For Sale"/>
    <n v="1"/>
    <n v="4"/>
    <n v="5"/>
    <n v="1.25"/>
  </r>
  <r>
    <x v="337"/>
    <s v="Cameron Johnson #210"/>
    <s v="Basketball Cards 2019 Panini Donruss"/>
    <n v="138"/>
    <s v="Ungraded"/>
    <s v="Normal wear"/>
    <m/>
    <m/>
    <n v="0"/>
    <n v="1"/>
    <d v="2026-05-30T00:00:00"/>
    <m/>
    <m/>
    <n v="457"/>
    <m/>
    <s v="Cameron Johnson"/>
    <s v="2019 Panini Donruss"/>
    <s v="-"/>
    <s v="210"/>
    <n v="1.38"/>
    <x v="73"/>
    <s v="For Sale"/>
    <n v="1"/>
    <n v="4"/>
    <n v="1.5"/>
    <n v="1.25"/>
  </r>
  <r>
    <x v="338"/>
    <s v="Chet Holmgren #18"/>
    <s v="Basketball Cards 2022 Panini Select Rookie Revolution"/>
    <n v="142"/>
    <s v="Ungraded"/>
    <s v="Normal wear"/>
    <m/>
    <s v="&quot;https://www.whatnot.com/order/7TdKSNvxiGa3Bt8dCiKKbe_x000d__x000a_$3.00 + $0.45 (Shared Shipping) + $0.35 Tax = Total of $3.81&quot;"/>
    <n v="381"/>
    <n v="1"/>
    <d v="2026-05-09T00:00:00"/>
    <d v="2026-05-04T00:00:00"/>
    <m/>
    <n v="451"/>
    <m/>
    <s v="Chet Holmgren"/>
    <s v="2022 Panini Select Rookie Revolution"/>
    <s v="-"/>
    <s v="18"/>
    <n v="1.42"/>
    <x v="74"/>
    <s v="For Sale"/>
    <n v="1"/>
    <n v="4"/>
    <n v="5"/>
    <n v="1.25"/>
  </r>
  <r>
    <x v="339"/>
    <s v="Chris Webber #9"/>
    <s v="Basketball Cards 1994 Ultra Power in the Key"/>
    <n v="200"/>
    <s v="Ungraded"/>
    <s v="Normal wear"/>
    <m/>
    <m/>
    <n v="0"/>
    <n v="1"/>
    <d v="2026-04-15T00:00:00"/>
    <m/>
    <m/>
    <n v="206"/>
    <m/>
    <s v="Chris Webber"/>
    <s v="1994 Ultra Power in the Key"/>
    <s v="-"/>
    <s v="9"/>
    <n v="2"/>
    <x v="75"/>
    <s v="For Sale"/>
    <n v="1"/>
    <n v="4"/>
    <n v="2.5"/>
    <n v="2"/>
  </r>
  <r>
    <x v="340"/>
    <s v="Chris Webber #92"/>
    <s v="Basketball Cards 1997 Metal Universe"/>
    <n v="172"/>
    <s v="Ungraded"/>
    <s v="Normal wear"/>
    <m/>
    <m/>
    <n v="0"/>
    <n v="1"/>
    <d v="2026-05-07T00:00:00"/>
    <m/>
    <m/>
    <n v="291"/>
    <m/>
    <s v="Chris Webber"/>
    <s v="1997 Metal Universe"/>
    <s v="-"/>
    <s v="92"/>
    <n v="1.72"/>
    <x v="75"/>
    <s v="For Sale"/>
    <n v="1"/>
    <n v="4"/>
    <n v="2"/>
    <n v="1.5"/>
  </r>
  <r>
    <x v="341"/>
    <s v="Chris Webber #75"/>
    <s v="Basketball Cards 1998 Upper Deck Black Diamond"/>
    <n v="172"/>
    <s v="Ungraded"/>
    <s v="Normal wear"/>
    <m/>
    <m/>
    <n v="0"/>
    <n v="1"/>
    <d v="2026-05-07T00:00:00"/>
    <m/>
    <m/>
    <n v="513"/>
    <m/>
    <s v="Chris Webber"/>
    <s v="1998 Upper Deck Black Diamond"/>
    <s v="-"/>
    <s v="75"/>
    <n v="1.72"/>
    <x v="75"/>
    <s v="For Sale"/>
    <n v="1"/>
    <n v="4"/>
    <n v="2"/>
    <n v="1.5"/>
  </r>
  <r>
    <x v="342"/>
    <s v="Chris Webber #108"/>
    <s v="Basketball Cards 1997 Ultra"/>
    <n v="142"/>
    <s v="Ungraded"/>
    <s v="Normal wear"/>
    <m/>
    <m/>
    <n v="0"/>
    <n v="1"/>
    <d v="2026-05-07T00:00:00"/>
    <m/>
    <m/>
    <n v="449"/>
    <m/>
    <s v="Chris Webber"/>
    <s v="1997 Ultra"/>
    <s v="-"/>
    <s v="108"/>
    <n v="1.42"/>
    <x v="75"/>
    <s v="For Sale"/>
    <n v="1"/>
    <n v="4"/>
    <n v="1.5"/>
    <n v="1.25"/>
  </r>
  <r>
    <x v="343"/>
    <s v="Chris Webber #53"/>
    <s v="Basketball Cards 1995 Upper Deck"/>
    <n v="132"/>
    <s v="Ungraded"/>
    <s v="Normal wear"/>
    <m/>
    <m/>
    <n v="0"/>
    <n v="1"/>
    <d v="2026-05-07T00:00:00"/>
    <m/>
    <m/>
    <n v="465"/>
    <m/>
    <s v="Chris Webber"/>
    <s v="1995 Upper Deck"/>
    <s v="-"/>
    <s v="53"/>
    <n v="1.32"/>
    <x v="75"/>
    <s v="For Sale"/>
    <n v="1"/>
    <n v="4"/>
    <n v="1.5"/>
    <n v="1.25"/>
  </r>
  <r>
    <x v="344"/>
    <s v="Chris Webber #348"/>
    <s v="Basketball Cards 1994 Ultra"/>
    <n v="125"/>
    <s v="Ungraded"/>
    <s v="Normal wear"/>
    <m/>
    <m/>
    <n v="0"/>
    <n v="1"/>
    <d v="2026-05-07T00:00:00"/>
    <m/>
    <m/>
    <n v="504"/>
    <m/>
    <s v="Chris Webber"/>
    <s v="1994 Ultra"/>
    <s v="-"/>
    <s v="348"/>
    <n v="1.25"/>
    <x v="75"/>
    <s v="For Sale"/>
    <n v="1"/>
    <n v="4"/>
    <n v="1.5"/>
    <n v="1.25"/>
  </r>
  <r>
    <x v="345"/>
    <s v="Chris Webber #252"/>
    <s v="Basketball Cards 1993 Ultra"/>
    <n v="113"/>
    <s v="Ungraded"/>
    <s v="Normal wear"/>
    <m/>
    <m/>
    <n v="0"/>
    <n v="1"/>
    <d v="2026-04-15T00:00:00"/>
    <m/>
    <m/>
    <n v="517"/>
    <m/>
    <s v="Chris Webber"/>
    <s v="1993 Ultra"/>
    <s v="-"/>
    <s v="252"/>
    <n v="1.1299999999999999"/>
    <x v="75"/>
    <s v="For Sale"/>
    <n v="1"/>
    <n v="4"/>
    <n v="1.25"/>
    <n v="1"/>
  </r>
  <r>
    <x v="346"/>
    <s v="Chris Webber #71"/>
    <s v="Basketball Cards 1999 SP Authentic"/>
    <n v="102"/>
    <s v="Ungraded"/>
    <s v="Normal wear"/>
    <m/>
    <m/>
    <n v="0"/>
    <n v="1"/>
    <d v="2026-05-07T00:00:00"/>
    <m/>
    <m/>
    <n v="536"/>
    <m/>
    <s v="Chris Webber"/>
    <s v="1999 SP Authentic"/>
    <s v="-"/>
    <s v="71"/>
    <n v="1.02"/>
    <x v="75"/>
    <s v="For Sale"/>
    <n v="1"/>
    <n v="4"/>
    <n v="1"/>
    <n v="1"/>
  </r>
  <r>
    <x v="347"/>
    <s v="Chris Webber #108"/>
    <s v="Basketball Cards 1996 Fleer Metal"/>
    <n v="99"/>
    <s v="Ungraded"/>
    <s v="Normal wear"/>
    <m/>
    <m/>
    <n v="0"/>
    <n v="1"/>
    <d v="2026-05-07T00:00:00"/>
    <m/>
    <m/>
    <n v="554"/>
    <m/>
    <s v="Chris Webber"/>
    <s v="1996 Fleer Metal"/>
    <s v="-"/>
    <s v="108"/>
    <n v="0.99"/>
    <x v="75"/>
    <s v="For Sale"/>
    <n v="9"/>
    <n v="4"/>
    <n v="1"/>
    <n v="0.75"/>
  </r>
  <r>
    <x v="347"/>
    <s v="Chris Webber #108"/>
    <s v="Basketball Cards 1996 Fleer Metal"/>
    <n v="99"/>
    <s v="Ungraded"/>
    <s v="Normal wear"/>
    <m/>
    <m/>
    <n v="0"/>
    <n v="1"/>
    <d v="2026-06-10T00:00:00"/>
    <m/>
    <m/>
    <n v="557"/>
    <m/>
    <s v="Chris Webber"/>
    <s v="1996 Fleer Metal"/>
    <s v="-"/>
    <s v="108"/>
    <n v="0.99"/>
    <x v="75"/>
    <s v="For Sale"/>
    <n v="9"/>
    <n v="4"/>
    <n v="1"/>
    <n v="0.75"/>
  </r>
  <r>
    <x v="347"/>
    <s v="Chris Webber #108"/>
    <s v="Basketball Cards 1996 Fleer Metal"/>
    <n v="99"/>
    <s v="Ungraded"/>
    <s v="Normal wear"/>
    <m/>
    <m/>
    <n v="0"/>
    <n v="1"/>
    <d v="2026-06-10T00:00:00"/>
    <m/>
    <m/>
    <n v="558"/>
    <m/>
    <s v="Chris Webber"/>
    <s v="1996 Fleer Metal"/>
    <s v="-"/>
    <s v="108"/>
    <n v="0.99"/>
    <x v="75"/>
    <s v="For Sale"/>
    <n v="9"/>
    <n v="4"/>
    <n v="1"/>
    <n v="0.75"/>
  </r>
  <r>
    <x v="347"/>
    <s v="Chris Webber #108"/>
    <s v="Basketball Cards 1996 Fleer Metal"/>
    <n v="99"/>
    <s v="Ungraded"/>
    <s v="Normal wear"/>
    <m/>
    <m/>
    <n v="0"/>
    <n v="1"/>
    <d v="2026-06-10T00:00:00"/>
    <m/>
    <m/>
    <n v="560"/>
    <m/>
    <s v="Chris Webber"/>
    <s v="1996 Fleer Metal"/>
    <s v="-"/>
    <s v="108"/>
    <n v="0.99"/>
    <x v="75"/>
    <s v="For Sale"/>
    <n v="9"/>
    <n v="4"/>
    <n v="1"/>
    <n v="0.75"/>
  </r>
  <r>
    <x v="347"/>
    <s v="Chris Webber #108"/>
    <s v="Basketball Cards 1996 Fleer Metal"/>
    <n v="99"/>
    <s v="Ungraded"/>
    <s v="Normal wear"/>
    <m/>
    <m/>
    <n v="0"/>
    <n v="1"/>
    <d v="2026-06-10T00:00:00"/>
    <m/>
    <m/>
    <n v="563"/>
    <m/>
    <s v="Chris Webber"/>
    <s v="1996 Fleer Metal"/>
    <s v="-"/>
    <s v="108"/>
    <n v="0.99"/>
    <x v="75"/>
    <s v="For Sale"/>
    <n v="9"/>
    <n v="4"/>
    <n v="1"/>
    <n v="0.75"/>
  </r>
  <r>
    <x v="347"/>
    <s v="Chris Webber #108"/>
    <s v="Basketball Cards 1996 Fleer Metal"/>
    <n v="99"/>
    <s v="Ungraded"/>
    <s v="Normal wear"/>
    <m/>
    <m/>
    <n v="0"/>
    <n v="1"/>
    <d v="2026-06-10T00:00:00"/>
    <m/>
    <m/>
    <n v="565"/>
    <m/>
    <s v="Chris Webber"/>
    <s v="1996 Fleer Metal"/>
    <s v="-"/>
    <s v="108"/>
    <n v="0.99"/>
    <x v="75"/>
    <s v="For Sale"/>
    <n v="9"/>
    <n v="4"/>
    <n v="1"/>
    <n v="0.75"/>
  </r>
  <r>
    <x v="347"/>
    <s v="Chris Webber #108"/>
    <s v="Basketball Cards 1996 Fleer Metal"/>
    <n v="99"/>
    <s v="Ungraded"/>
    <s v="Normal wear"/>
    <m/>
    <m/>
    <n v="0"/>
    <n v="1"/>
    <d v="2026-06-10T00:00:00"/>
    <m/>
    <m/>
    <n v="571"/>
    <m/>
    <s v="Chris Webber"/>
    <s v="1996 Fleer Metal"/>
    <s v="-"/>
    <s v="108"/>
    <n v="0.99"/>
    <x v="75"/>
    <s v="For Sale"/>
    <n v="9"/>
    <n v="4"/>
    <n v="1"/>
    <n v="0.75"/>
  </r>
  <r>
    <x v="347"/>
    <s v="Chris Webber #108"/>
    <s v="Basketball Cards 1996 Fleer Metal"/>
    <n v="99"/>
    <s v="Ungraded"/>
    <s v="Normal wear"/>
    <m/>
    <m/>
    <n v="0"/>
    <n v="1"/>
    <d v="2026-06-10T00:00:00"/>
    <m/>
    <m/>
    <n v="572"/>
    <m/>
    <s v="Chris Webber"/>
    <s v="1996 Fleer Metal"/>
    <s v="-"/>
    <s v="108"/>
    <n v="0.99"/>
    <x v="75"/>
    <s v="For Sale"/>
    <n v="9"/>
    <n v="4"/>
    <n v="1"/>
    <n v="0.75"/>
  </r>
  <r>
    <x v="347"/>
    <s v="Chris Webber #108"/>
    <s v="Basketball Cards 1996 Fleer Metal"/>
    <n v="99"/>
    <s v="Ungraded"/>
    <s v="Normal wear"/>
    <m/>
    <m/>
    <n v="0"/>
    <n v="1"/>
    <d v="2026-06-10T00:00:00"/>
    <m/>
    <m/>
    <n v="573"/>
    <m/>
    <s v="Chris Webber"/>
    <s v="1996 Fleer Metal"/>
    <s v="-"/>
    <s v="108"/>
    <n v="0.99"/>
    <x v="75"/>
    <s v="For Sale"/>
    <n v="9"/>
    <n v="4"/>
    <n v="1"/>
    <n v="0.75"/>
  </r>
  <r>
    <x v="348"/>
    <s v="Chris Webber #135"/>
    <s v="Basketball Cards 1996 Upper Deck"/>
    <n v="11"/>
    <s v="Ungraded"/>
    <s v="Normal wear"/>
    <m/>
    <m/>
    <n v="0"/>
    <n v="1"/>
    <d v="2026-05-07T00:00:00"/>
    <m/>
    <m/>
    <n v="593"/>
    <m/>
    <s v="Chris Webber"/>
    <s v="1996 Upper Deck"/>
    <s v="-"/>
    <s v="135"/>
    <n v="0.11"/>
    <x v="75"/>
    <s v="For Sale"/>
    <n v="2"/>
    <n v="4"/>
    <n v="0.25"/>
    <n v="0.25"/>
  </r>
  <r>
    <x v="348"/>
    <s v="Chris Webber #135"/>
    <s v="Basketball Cards 1996 Upper Deck"/>
    <n v="11"/>
    <s v="Ungraded"/>
    <s v="Normal wear"/>
    <m/>
    <m/>
    <n v="0"/>
    <n v="1"/>
    <d v="2026-06-10T00:00:00"/>
    <m/>
    <m/>
    <n v="594"/>
    <m/>
    <s v="Chris Webber"/>
    <s v="1996 Upper Deck"/>
    <s v="-"/>
    <s v="135"/>
    <n v="0.11"/>
    <x v="75"/>
    <s v="For Sale"/>
    <n v="2"/>
    <n v="4"/>
    <n v="0.25"/>
    <n v="0.25"/>
  </r>
  <r>
    <x v="349"/>
    <s v="Clyde Drexler #15"/>
    <s v="Basketball Cards 1994 Fleer All Stars"/>
    <n v="189"/>
    <s v="Ungraded"/>
    <s v="Normal wear"/>
    <m/>
    <m/>
    <n v="0"/>
    <n v="1"/>
    <d v="2026-05-07T00:00:00"/>
    <m/>
    <m/>
    <n v="295"/>
    <m/>
    <s v="Clyde Drexler"/>
    <s v="1994 Fleer All Stars"/>
    <s v="-"/>
    <s v="15"/>
    <n v="1.89"/>
    <x v="76"/>
    <s v="For Sale"/>
    <n v="1"/>
    <n v="4"/>
    <n v="2.5"/>
    <n v="2"/>
  </r>
  <r>
    <x v="350"/>
    <s v="Clyde Drexler #38"/>
    <s v="Basketball Cards 1995 Metal"/>
    <n v="139"/>
    <s v="Ungraded"/>
    <s v="Normal wear"/>
    <m/>
    <m/>
    <n v="0"/>
    <n v="1"/>
    <d v="2026-04-17T00:00:00"/>
    <m/>
    <m/>
    <n v="450"/>
    <m/>
    <s v="Clyde Drexler"/>
    <s v="1995 Metal"/>
    <s v="-"/>
    <s v="38"/>
    <n v="1.39"/>
    <x v="76"/>
    <s v="For Sale"/>
    <n v="1"/>
    <n v="4"/>
    <n v="1.5"/>
    <n v="1.25"/>
  </r>
  <r>
    <x v="351"/>
    <s v="Clyde Drexler #FB6"/>
    <s v="Basketball Cards 1996 Upper Deck Fast Break Connection"/>
    <n v="100"/>
    <s v="Ungraded"/>
    <s v="Normal wear"/>
    <m/>
    <m/>
    <n v="0"/>
    <n v="1"/>
    <d v="2026-04-16T00:00:00"/>
    <d v="2026-04-16T00:00:00"/>
    <m/>
    <n v="546"/>
    <m/>
    <s v="Clyde Drexler"/>
    <s v="1996 Upper Deck Fast Break Connection"/>
    <s v="-"/>
    <s v="FB6"/>
    <n v="1"/>
    <x v="76"/>
    <s v="For Sale"/>
    <n v="1"/>
    <n v="4"/>
    <n v="1"/>
    <n v="1"/>
  </r>
  <r>
    <x v="352"/>
    <s v="Cobi Jones #11"/>
    <s v="Soccer Cards 1994 Upper Deck World Cup Soccer"/>
    <n v="199"/>
    <s v="Ungraded"/>
    <s v="Normal wear"/>
    <m/>
    <m/>
    <n v="0"/>
    <n v="1"/>
    <d v="2026-04-17T00:00:00"/>
    <m/>
    <m/>
    <n v="268"/>
    <m/>
    <s v="Cobi Jones"/>
    <s v="1994 Upper Deck World Cup Soccer"/>
    <s v="-"/>
    <s v="11"/>
    <n v="1.99"/>
    <x v="77"/>
    <s v="For Sale"/>
    <n v="1"/>
    <n v="4"/>
    <n v="2.5"/>
    <n v="2"/>
  </r>
  <r>
    <x v="353"/>
    <s v="Cotie McMahon #BPP-30"/>
    <s v="Basketball Cards 2025 Bowman Prospects"/>
    <n v="150"/>
    <s v="Ungraded"/>
    <s v="Normal wear"/>
    <m/>
    <s v="&quot;https://www.whatnot.com/order/ezSKfFW6zDG5UWaRKJYAXA_x000d__x000a_$0.00 + $0.00 (Shared Shipping) + $0.00 Tax = Total of $0.00&quot;"/>
    <n v="0"/>
    <n v="1"/>
    <d v="2026-05-15T00:00:00"/>
    <d v="2026-05-07T00:00:00"/>
    <m/>
    <n v="426"/>
    <m/>
    <s v="Cotie McMahon"/>
    <s v="2025 Bowman Prospects"/>
    <s v="-"/>
    <s v="BPP-30"/>
    <n v="1.5"/>
    <x v="78"/>
    <s v="For Sale"/>
    <n v="1"/>
    <n v="4"/>
    <n v="2"/>
    <n v="1.5"/>
  </r>
  <r>
    <x v="354"/>
    <s v="Damon Stoudamire #98"/>
    <s v="Basketball Cards 1996 Fleer Metal"/>
    <n v="112"/>
    <s v="Ungraded"/>
    <s v="Normal wear"/>
    <m/>
    <m/>
    <n v="0"/>
    <n v="1"/>
    <d v="2026-06-10T00:00:00"/>
    <m/>
    <m/>
    <n v="518"/>
    <m/>
    <s v="Damon Stoudamire"/>
    <s v="1996 Fleer Metal"/>
    <s v="-"/>
    <s v="98"/>
    <n v="1.1200000000000001"/>
    <x v="79"/>
    <s v="For Sale"/>
    <n v="8"/>
    <n v="4"/>
    <n v="1.25"/>
    <n v="0.75"/>
  </r>
  <r>
    <x v="354"/>
    <s v="Damon Stoudamire #98"/>
    <s v="Basketball Cards 1996 Fleer Metal"/>
    <n v="112"/>
    <s v="Ungraded"/>
    <s v="Normal wear"/>
    <m/>
    <m/>
    <n v="0"/>
    <n v="1"/>
    <d v="2026-05-31T00:00:00"/>
    <m/>
    <m/>
    <n v="519"/>
    <m/>
    <s v="Damon Stoudamire"/>
    <s v="1996 Fleer Metal"/>
    <s v="-"/>
    <s v="98"/>
    <n v="1.1200000000000001"/>
    <x v="79"/>
    <s v="For Sale"/>
    <n v="8"/>
    <n v="4"/>
    <n v="1.25"/>
    <n v="0.75"/>
  </r>
  <r>
    <x v="354"/>
    <s v="Damon Stoudamire #98"/>
    <s v="Basketball Cards 1996 Fleer Metal"/>
    <n v="112"/>
    <s v="Ungraded"/>
    <s v="Normal wear"/>
    <m/>
    <m/>
    <n v="0"/>
    <n v="1"/>
    <d v="2026-06-10T00:00:00"/>
    <m/>
    <m/>
    <n v="520"/>
    <m/>
    <s v="Damon Stoudamire"/>
    <s v="1996 Fleer Metal"/>
    <s v="-"/>
    <s v="98"/>
    <n v="1.1200000000000001"/>
    <x v="79"/>
    <s v="For Sale"/>
    <n v="8"/>
    <n v="4"/>
    <n v="1.25"/>
    <n v="0.75"/>
  </r>
  <r>
    <x v="354"/>
    <s v="Damon Stoudamire #98"/>
    <s v="Basketball Cards 1996 Fleer Metal"/>
    <n v="112"/>
    <s v="Ungraded"/>
    <s v="Normal wear"/>
    <m/>
    <m/>
    <n v="0"/>
    <n v="1"/>
    <d v="2026-06-10T00:00:00"/>
    <m/>
    <m/>
    <n v="521"/>
    <m/>
    <s v="Damon Stoudamire"/>
    <s v="1996 Fleer Metal"/>
    <s v="-"/>
    <s v="98"/>
    <n v="1.1200000000000001"/>
    <x v="79"/>
    <s v="For Sale"/>
    <n v="8"/>
    <n v="4"/>
    <n v="1.25"/>
    <n v="0.75"/>
  </r>
  <r>
    <x v="354"/>
    <s v="Damon Stoudamire #98"/>
    <s v="Basketball Cards 1996 Fleer Metal"/>
    <n v="112"/>
    <s v="Ungraded"/>
    <s v="Normal wear"/>
    <m/>
    <m/>
    <n v="0"/>
    <n v="1"/>
    <d v="2026-06-10T00:00:00"/>
    <m/>
    <m/>
    <n v="522"/>
    <m/>
    <s v="Damon Stoudamire"/>
    <s v="1996 Fleer Metal"/>
    <s v="-"/>
    <s v="98"/>
    <n v="1.1200000000000001"/>
    <x v="79"/>
    <s v="For Sale"/>
    <n v="8"/>
    <n v="4"/>
    <n v="1.25"/>
    <n v="0.75"/>
  </r>
  <r>
    <x v="354"/>
    <s v="Damon Stoudamire #98"/>
    <s v="Basketball Cards 1996 Fleer Metal"/>
    <n v="112"/>
    <s v="Ungraded"/>
    <s v="Normal wear"/>
    <m/>
    <m/>
    <n v="0"/>
    <n v="1"/>
    <d v="2026-06-10T00:00:00"/>
    <m/>
    <m/>
    <n v="523"/>
    <m/>
    <s v="Damon Stoudamire"/>
    <s v="1996 Fleer Metal"/>
    <s v="-"/>
    <s v="98"/>
    <n v="1.1200000000000001"/>
    <x v="79"/>
    <s v="For Sale"/>
    <n v="8"/>
    <n v="4"/>
    <n v="1.25"/>
    <n v="0.75"/>
  </r>
  <r>
    <x v="354"/>
    <s v="Damon Stoudamire #98"/>
    <s v="Basketball Cards 1996 Fleer Metal"/>
    <n v="112"/>
    <s v="Ungraded"/>
    <s v="Normal wear"/>
    <m/>
    <m/>
    <n v="0"/>
    <n v="1"/>
    <d v="2026-06-10T00:00:00"/>
    <m/>
    <m/>
    <n v="524"/>
    <m/>
    <s v="Damon Stoudamire"/>
    <s v="1996 Fleer Metal"/>
    <s v="-"/>
    <s v="98"/>
    <n v="1.1200000000000001"/>
    <x v="79"/>
    <s v="For Sale"/>
    <n v="8"/>
    <n v="4"/>
    <n v="1.25"/>
    <n v="0.75"/>
  </r>
  <r>
    <x v="354"/>
    <s v="Damon Stoudamire #98"/>
    <s v="Basketball Cards 1996 Fleer Metal"/>
    <n v="112"/>
    <s v="Ungraded"/>
    <s v="Normal wear"/>
    <m/>
    <m/>
    <n v="0"/>
    <n v="1"/>
    <d v="2026-06-10T00:00:00"/>
    <m/>
    <m/>
    <n v="525"/>
    <m/>
    <s v="Damon Stoudamire"/>
    <s v="1996 Fleer Metal"/>
    <s v="-"/>
    <s v="98"/>
    <n v="1.1200000000000001"/>
    <x v="79"/>
    <s v="For Sale"/>
    <n v="8"/>
    <n v="4"/>
    <n v="1.25"/>
    <n v="0.75"/>
  </r>
  <r>
    <x v="355"/>
    <s v="Damon Stoudamire #200"/>
    <s v="Basketball Cards 1995 Metal"/>
    <n v="99"/>
    <s v="Ungraded"/>
    <s v="Normal wear"/>
    <m/>
    <m/>
    <n v="0"/>
    <n v="1"/>
    <d v="2026-05-31T00:00:00"/>
    <m/>
    <m/>
    <n v="531"/>
    <m/>
    <s v="Damon Stoudamire"/>
    <s v="1995 Metal"/>
    <s v="-"/>
    <s v="200"/>
    <n v="0.99"/>
    <x v="79"/>
    <s v="For Sale"/>
    <n v="1"/>
    <n v="4"/>
    <n v="1"/>
    <n v="0.75"/>
  </r>
  <r>
    <x v="356"/>
    <s v="Damon Stoudamire #120"/>
    <s v="Basketball Cards 1996 Upper Deck"/>
    <n v="99"/>
    <s v="Ungraded"/>
    <s v="Normal wear"/>
    <m/>
    <m/>
    <n v="0"/>
    <n v="1"/>
    <d v="2026-05-31T00:00:00"/>
    <m/>
    <m/>
    <n v="552"/>
    <m/>
    <s v="Damon Stoudamire"/>
    <s v="1996 Upper Deck"/>
    <s v="-"/>
    <s v="120"/>
    <n v="0.99"/>
    <x v="79"/>
    <s v="For Sale"/>
    <n v="1"/>
    <n v="4"/>
    <n v="1"/>
    <n v="0.75"/>
  </r>
  <r>
    <x v="357"/>
    <s v="Darrell Armstrong #176"/>
    <s v="Basketball Cards 1996 Skybox Premium"/>
    <n v="144"/>
    <s v="Ungraded"/>
    <s v="Normal wear"/>
    <m/>
    <m/>
    <n v="0"/>
    <n v="1"/>
    <d v="2026-05-07T00:00:00"/>
    <m/>
    <m/>
    <n v="462"/>
    <m/>
    <s v="Darrell Armstrong"/>
    <s v="1996 Skybox Premium"/>
    <s v="-"/>
    <s v="176"/>
    <n v="1.44"/>
    <x v="80"/>
    <s v="For Sale"/>
    <n v="1"/>
    <n v="4"/>
    <n v="1.5"/>
    <n v="1.25"/>
  </r>
  <r>
    <x v="358"/>
    <s v="David Robinson #18"/>
    <s v="Basketball Cards 1996 Skybox Premium Intimidators"/>
    <n v="154"/>
    <s v="Ungraded"/>
    <s v="Normal wear"/>
    <m/>
    <m/>
    <n v="0"/>
    <n v="1"/>
    <d v="2026-04-17T00:00:00"/>
    <m/>
    <m/>
    <n v="375"/>
    <m/>
    <s v="David Robinson"/>
    <s v="1996 Skybox Premium Intimidators"/>
    <s v="-"/>
    <s v="18"/>
    <n v="1.54"/>
    <x v="81"/>
    <s v="For Sale"/>
    <n v="1"/>
    <n v="4"/>
    <n v="2"/>
    <n v="1.5"/>
  </r>
  <r>
    <x v="359"/>
    <s v="Dean Palmer #177"/>
    <s v="Baseball Cards 1992 Donruss"/>
    <n v="149"/>
    <s v="Ungraded"/>
    <s v="Normal wear"/>
    <m/>
    <m/>
    <n v="0"/>
    <n v="1"/>
    <d v="2026-05-30T00:00:00"/>
    <m/>
    <m/>
    <n v="430"/>
    <m/>
    <s v="Dean Palmer"/>
    <s v="1992 Donruss"/>
    <s v="-"/>
    <s v="177"/>
    <n v="1.49"/>
    <x v="82"/>
    <s v="For Sale"/>
    <n v="1"/>
    <n v="4"/>
    <n v="2"/>
    <n v="1.25"/>
  </r>
  <r>
    <x v="360"/>
    <s v="Delanie Walker #LOG-30"/>
    <s v="Football Cards 2025 Topps Chrome Legends Of The Gridiron"/>
    <n v="100"/>
    <s v="Ungraded"/>
    <s v="Normal wear"/>
    <m/>
    <m/>
    <n v="0"/>
    <n v="1"/>
    <d v="2026-05-30T00:00:00"/>
    <m/>
    <m/>
    <n v="541"/>
    <m/>
    <s v="Delanie Walker"/>
    <s v="2025 Topps Chrome Legends Of The Gridiron"/>
    <s v="-"/>
    <s v="LOG-30"/>
    <n v="1"/>
    <x v="83"/>
    <s v="For Sale"/>
    <n v="1"/>
    <n v="4"/>
    <n v="1"/>
    <n v="1"/>
  </r>
  <r>
    <x v="361"/>
    <s v="Dennis Rodman #90"/>
    <s v="Basketball Cards 1994 E Motion"/>
    <n v="199"/>
    <s v="Ungraded"/>
    <s v="Normal wear"/>
    <m/>
    <m/>
    <n v="0"/>
    <n v="1"/>
    <d v="2026-05-31T00:00:00"/>
    <m/>
    <m/>
    <n v="249"/>
    <m/>
    <s v="Dennis Rodman"/>
    <s v="1994 E Motion"/>
    <s v="-"/>
    <s v="90"/>
    <n v="1.99"/>
    <x v="84"/>
    <s v="For Sale"/>
    <n v="1"/>
    <n v="4"/>
    <n v="2.5"/>
    <n v="2"/>
  </r>
  <r>
    <x v="362"/>
    <s v="Dennis Rodman #279"/>
    <s v="Basketball Cards 1994 Upper Deck"/>
    <n v="161"/>
    <s v="Ungraded"/>
    <s v="Normal wear"/>
    <m/>
    <s v="&quot;https://www.whatnot.com/order/bjbSDowQ8rwtKXCHzkacVp_x000d__x000a_$0.00 + $1.36 (Shared Shipping) + $0.14 Tax = Total of $1.50&quot;"/>
    <n v="150"/>
    <n v="1"/>
    <d v="2026-05-17T00:00:00"/>
    <d v="2026-05-15T00:00:00"/>
    <m/>
    <n v="383"/>
    <m/>
    <s v="Dennis Rodman"/>
    <s v="1994 Upper Deck"/>
    <s v="-"/>
    <s v="279"/>
    <n v="1.61"/>
    <x v="84"/>
    <s v="For Sale"/>
    <n v="1"/>
    <n v="4"/>
    <n v="2"/>
    <n v="1.5"/>
  </r>
  <r>
    <x v="363"/>
    <s v="Dylan Harper #202"/>
    <s v="Basketball Cards 2025 Topps"/>
    <n v="127"/>
    <s v="Ungraded"/>
    <s v="Normal wear"/>
    <m/>
    <s v="&quot;https://www.whatnot.com/order/K7zApfgiyGLvandFaboi4m_x000d__x000a_$1.00 + $0.00 (Shared Shipping) + $0.10 Tax = Total of $1.10&quot;"/>
    <n v="110"/>
    <n v="1"/>
    <d v="2026-06-09T00:00:00"/>
    <d v="2026-06-08T00:00:00"/>
    <m/>
    <n v="406"/>
    <m/>
    <s v="Dylan Harper"/>
    <s v="2025 Topps"/>
    <s v="-"/>
    <s v="202"/>
    <n v="1.27"/>
    <x v="85"/>
    <s v="For Sale"/>
    <n v="1"/>
    <n v="4"/>
    <n v="1.5"/>
    <n v="1"/>
  </r>
  <r>
    <x v="364"/>
    <s v="Dyson Daniels #7"/>
    <s v="Basketball Cards 2022 Panini Chronicles Draft Picks"/>
    <n v="170"/>
    <s v="Ungraded"/>
    <s v="Normal wear"/>
    <m/>
    <m/>
    <n v="0"/>
    <n v="1"/>
    <d v="2026-05-30T00:00:00"/>
    <m/>
    <m/>
    <n v="342"/>
    <m/>
    <s v="Dyson Daniels"/>
    <s v="2022 Panini Chronicles Draft Picks"/>
    <s v="-"/>
    <s v="7"/>
    <n v="1.7"/>
    <x v="86"/>
    <s v="For Sale"/>
    <n v="1"/>
    <n v="4"/>
    <n v="2"/>
    <n v="1.5"/>
  </r>
  <r>
    <x v="365"/>
    <s v="Edmundo #297"/>
    <s v="Soccer Cards 1994 Upper Deck World Cup Soccer"/>
    <n v="199"/>
    <s v="Ungraded"/>
    <s v="Normal wear"/>
    <m/>
    <m/>
    <n v="0"/>
    <n v="1"/>
    <d v="2026-06-13T00:00:00"/>
    <m/>
    <m/>
    <n v="271"/>
    <m/>
    <s v="Edmundo"/>
    <s v="1994 Upper Deck World Cup Soccer"/>
    <s v="-"/>
    <s v="297"/>
    <n v="1.99"/>
    <x v="87"/>
    <s v="For Sale"/>
    <n v="1"/>
    <n v="4"/>
    <n v="2.5"/>
    <n v="2"/>
  </r>
  <r>
    <x v="366"/>
    <s v="Emmitt Smith #685"/>
    <s v="Football Cards 1990 Pro Set"/>
    <n v="199"/>
    <s v="Ungraded"/>
    <s v="Normal wear"/>
    <m/>
    <s v="&quot;https://www.whatnot.com/order/cav4UM3BapHtzDbW3nupgs_x000d__x000a_$1.00 + $4.86 (Shared Shipping) + $0.60 Tax = Total of $6.46&quot;"/>
    <n v="646"/>
    <n v="1"/>
    <d v="2026-05-28T00:00:00"/>
    <d v="2026-05-25T00:00:00"/>
    <m/>
    <n v="238"/>
    <m/>
    <s v="Emmitt Smith"/>
    <s v="1990 Pro Set"/>
    <s v="-"/>
    <s v="685"/>
    <n v="1.99"/>
    <x v="88"/>
    <s v="For Sale"/>
    <n v="1"/>
    <n v="4"/>
    <n v="8"/>
    <n v="2"/>
  </r>
  <r>
    <x v="367"/>
    <s v="George Pickens #80"/>
    <s v="Football Cards 2025 Topps Chrome"/>
    <n v="138"/>
    <s v="Ungraded"/>
    <s v="Normal wear"/>
    <m/>
    <m/>
    <n v="0"/>
    <n v="1"/>
    <d v="2026-05-30T00:00:00"/>
    <m/>
    <m/>
    <n v="445"/>
    <m/>
    <s v="George Pickens"/>
    <s v="2025 Topps Chrome"/>
    <s v="-"/>
    <s v="80"/>
    <n v="1.38"/>
    <x v="89"/>
    <s v="For Sale"/>
    <n v="1"/>
    <n v="4"/>
    <n v="1.5"/>
    <n v="1.25"/>
  </r>
  <r>
    <x v="368"/>
    <s v="Giannis Antetokounmpo [Green Laser] #53"/>
    <s v="Basketball Cards 2022 Panini Donruss"/>
    <n v="154"/>
    <s v="Ungraded"/>
    <s v="Normal wear"/>
    <m/>
    <s v="&quot;https://www.whatnot.com/order/iCNDrAZ6Wd9xsmW5GPkgEJ_x000d__x000a_$4.00 + $0.00 (Shared Shipping) + $0.41 Tax = Total of $4.41&quot;"/>
    <n v="441"/>
    <n v="1"/>
    <d v="2026-05-12T00:00:00"/>
    <d v="2026-05-04T00:00:00"/>
    <m/>
    <n v="398"/>
    <m/>
    <s v="Giannis Antetokounmpo"/>
    <s v="2022 Panini Donruss"/>
    <s v="Green Laser"/>
    <s v="53"/>
    <n v="1.54"/>
    <x v="90"/>
    <s v="For Sale"/>
    <n v="1"/>
    <n v="4"/>
    <n v="5"/>
    <n v="1.5"/>
  </r>
  <r>
    <x v="369"/>
    <s v="Glenn Robinson #287"/>
    <s v="Basketball Cards 1994 Ultra"/>
    <n v="175"/>
    <s v="Ungraded"/>
    <s v="Normal wear"/>
    <m/>
    <m/>
    <n v="0"/>
    <n v="1"/>
    <d v="2026-05-31T00:00:00"/>
    <m/>
    <m/>
    <n v="329"/>
    <m/>
    <s v="Glenn Robinson"/>
    <s v="1994 Ultra"/>
    <s v="-"/>
    <s v="287"/>
    <n v="1.75"/>
    <x v="91"/>
    <s v="For Sale"/>
    <n v="1"/>
    <n v="4"/>
    <n v="2"/>
    <n v="2"/>
  </r>
  <r>
    <x v="370"/>
    <s v="Glenn Robinson #281"/>
    <s v="Basketball Cards 1994 Upper Deck"/>
    <n v="119"/>
    <s v="Ungraded"/>
    <s v="Normal wear"/>
    <m/>
    <m/>
    <n v="0"/>
    <n v="1"/>
    <d v="2026-05-31T00:00:00"/>
    <m/>
    <m/>
    <n v="505"/>
    <m/>
    <s v="Glenn Robinson"/>
    <s v="1994 Upper Deck"/>
    <s v="-"/>
    <s v="281"/>
    <n v="1.19"/>
    <x v="91"/>
    <s v="For Sale"/>
    <n v="1"/>
    <n v="4"/>
    <n v="1.25"/>
    <n v="1"/>
  </r>
  <r>
    <x v="371"/>
    <s v="Heathcliff Slocumb #334"/>
    <s v="Baseball Cards 1992 Donruss"/>
    <n v="100"/>
    <s v="Ungraded"/>
    <s v="Normal wear"/>
    <m/>
    <m/>
    <n v="0"/>
    <n v="1"/>
    <d v="2026-05-30T00:00:00"/>
    <m/>
    <m/>
    <n v="548"/>
    <m/>
    <s v="Heathcliff Slocumb"/>
    <s v="1992 Donruss"/>
    <s v="-"/>
    <s v="334"/>
    <n v="1"/>
    <x v="92"/>
    <s v="For Sale"/>
    <n v="1"/>
    <n v="4"/>
    <n v="1"/>
    <n v="1"/>
  </r>
  <r>
    <x v="372"/>
    <s v="Jaden Hardy [Red] #21"/>
    <s v="Basketball Cards 2023 Panini Prizm"/>
    <n v="188"/>
    <s v="Ungraded"/>
    <s v="Normal wear"/>
    <m/>
    <s v="&quot;https://www.whatnot.com/order/K7zApfgiyGLvandFaboi4m_x000d__x000a_$1.00 + $0.00 (Shared Shipping) + $0.10 Tax = Total of $1.10&quot;"/>
    <n v="110"/>
    <n v="1"/>
    <d v="2026-06-09T00:00:00"/>
    <d v="2026-06-08T00:00:00"/>
    <m/>
    <n v="307"/>
    <m/>
    <s v="Jaden Hardy"/>
    <s v="2023 Panini Prizm"/>
    <s v="Red"/>
    <s v="21"/>
    <n v="1.88"/>
    <x v="93"/>
    <s v="For Sale"/>
    <n v="1"/>
    <n v="4"/>
    <n v="2.5"/>
    <n v="1"/>
  </r>
  <r>
    <x v="373"/>
    <s v="Jalen Brunson #SH-JB"/>
    <s v="Basketball Cards 2025 Topps Match Attax Scoring Hero"/>
    <n v="219"/>
    <s v="Ungraded"/>
    <s v="Normal wear"/>
    <m/>
    <s v="&quot;https://www.whatnot.com/order/dyEnQ5ykexmH9Y87DbAujo_x000d__x000a_$1.00 + $2.89 (Shared Shipping) + $0.40 Tax = Total of $4.28&quot;"/>
    <n v="428"/>
    <n v="1"/>
    <d v="2026-05-29T00:00:00"/>
    <d v="2026-05-26T00:00:00"/>
    <m/>
    <n v="327"/>
    <m/>
    <s v="Jalen Brunson"/>
    <s v="2025 Topps Match Attax Scoring Hero"/>
    <s v="-"/>
    <s v="SH-JB"/>
    <n v="2.19"/>
    <x v="94"/>
    <s v="For Sale"/>
    <n v="1"/>
    <n v="4"/>
    <n v="5"/>
    <n v="2"/>
  </r>
  <r>
    <x v="374"/>
    <s v="Jalen Brunson [Emerald] #125"/>
    <s v="Basketball Cards 2020 Panini Illusions"/>
    <n v="135"/>
    <s v="Ungraded"/>
    <s v="Normal wear"/>
    <m/>
    <s v="&quot;https://www.whatnot.com/order/6AEw6dYtHHV2b8pbZH8HLX_x000d__x000a_$2.00 + $0.74 (Shared Shipping) + $0.28 Tax = Total of $3.02&quot;"/>
    <n v="302"/>
    <n v="1"/>
    <d v="2026-05-12T00:00:00"/>
    <d v="2026-05-12T00:00:00"/>
    <m/>
    <n v="382"/>
    <m/>
    <s v="Jalen Brunson"/>
    <s v="2020 Panini Illusions"/>
    <s v="Emerald"/>
    <s v="125"/>
    <n v="1.35"/>
    <x v="94"/>
    <s v="For Sale"/>
    <n v="1"/>
    <n v="4"/>
    <n v="4"/>
    <n v="1.25"/>
  </r>
  <r>
    <x v="375"/>
    <s v="Jalen Green #198"/>
    <s v="Basketball Cards 2024 Panini Haunted Hoops"/>
    <n v="198"/>
    <s v="Ungraded"/>
    <s v="Normal wear"/>
    <m/>
    <m/>
    <n v="0"/>
    <n v="1"/>
    <d v="2026-05-30T00:00:00"/>
    <m/>
    <m/>
    <n v="279"/>
    <m/>
    <s v="Jalen Green"/>
    <s v="2024 Panini Haunted Hoops"/>
    <s v="-"/>
    <s v="198"/>
    <n v="1.98"/>
    <x v="95"/>
    <s v="For Sale"/>
    <n v="1"/>
    <n v="4"/>
    <n v="2.5"/>
    <n v="2"/>
  </r>
  <r>
    <x v="376"/>
    <s v="Jamal Murray #9"/>
    <s v="Basketball Cards 2022 Panini Contenders Suite Shots"/>
    <n v="155"/>
    <s v="Ungraded"/>
    <s v="Normal wear"/>
    <m/>
    <s v="&quot;https://www.whatnot.com/order/XWP5KdeeCdt8TKjdVmH5ek_x000d__x000a_$1.00 + $0.45 (Shared Shipping) + $0.12 Tax = Total of $1.26&quot;"/>
    <n v="126"/>
    <n v="1"/>
    <d v="2026-05-09T00:00:00"/>
    <d v="2026-05-04T00:00:00"/>
    <m/>
    <n v="394"/>
    <m/>
    <s v="Jamal Murray"/>
    <s v="2022 Panini Contenders Suite Shots"/>
    <s v="-"/>
    <s v="9"/>
    <n v="1.55"/>
    <x v="96"/>
    <s v="For Sale"/>
    <n v="1"/>
    <n v="4"/>
    <n v="2"/>
    <n v="1.25"/>
  </r>
  <r>
    <x v="377"/>
    <s v="Jaren Jackson Jr. #13"/>
    <s v="Basketball Cards 2019 Panini Chronicles"/>
    <n v="108"/>
    <s v="Ungraded"/>
    <s v="Normal wear"/>
    <m/>
    <m/>
    <n v="0"/>
    <n v="1"/>
    <d v="2026-05-30T00:00:00"/>
    <m/>
    <m/>
    <n v="529"/>
    <m/>
    <s v="Jaren Jackson Jr."/>
    <s v="2019 Panini Chronicles"/>
    <s v="-"/>
    <s v="13"/>
    <n v="1.08"/>
    <x v="97"/>
    <s v="For Sale"/>
    <n v="1"/>
    <n v="4"/>
    <n v="1.25"/>
    <n v="1"/>
  </r>
  <r>
    <x v="378"/>
    <s v="Jason Kidd #66"/>
    <s v="Basketball Cards 1998 SP Authentic"/>
    <n v="170"/>
    <s v="Ungraded"/>
    <s v="Normal wear"/>
    <m/>
    <m/>
    <n v="0"/>
    <n v="1"/>
    <d v="2026-05-07T00:00:00"/>
    <m/>
    <m/>
    <n v="343"/>
    <m/>
    <s v="Jason Kidd"/>
    <s v="1998 SP Authentic"/>
    <s v="-"/>
    <s v="66"/>
    <n v="1.7"/>
    <x v="98"/>
    <s v="For Sale"/>
    <n v="1"/>
    <n v="4"/>
    <n v="2"/>
    <n v="1.5"/>
  </r>
  <r>
    <x v="379"/>
    <s v="Jason Kidd #408"/>
    <s v="Basketball Cards 1994 Collector's Choice"/>
    <n v="126"/>
    <s v="Ungraded"/>
    <s v="Normal wear"/>
    <m/>
    <m/>
    <n v="0"/>
    <n v="1"/>
    <d v="2026-05-07T00:00:00"/>
    <m/>
    <m/>
    <n v="493"/>
    <m/>
    <s v="Jason Kidd"/>
    <s v="1994 Collector's Choice"/>
    <s v="-"/>
    <s v="408"/>
    <n v="1.26"/>
    <x v="98"/>
    <s v="For Sale"/>
    <n v="1"/>
    <n v="4"/>
    <n v="1.5"/>
    <n v="1.25"/>
  </r>
  <r>
    <x v="380"/>
    <s v="Jason Kidd Single #68"/>
    <s v="Basketball Cards 1998 Upper Deck Black Diamond"/>
    <n v="149"/>
    <s v="Ungraded"/>
    <s v="Normal wear"/>
    <m/>
    <m/>
    <n v="0"/>
    <n v="1"/>
    <d v="2026-05-07T00:00:00"/>
    <m/>
    <m/>
    <n v="431"/>
    <m/>
    <s v="Jason Kidd Single"/>
    <s v="1998 Upper Deck Black Diamond"/>
    <s v="-"/>
    <s v="68"/>
    <n v="1.49"/>
    <x v="99"/>
    <s v="For Sale"/>
    <n v="1"/>
    <n v="4"/>
    <n v="2"/>
    <n v="1.25"/>
  </r>
  <r>
    <x v="381"/>
    <s v="Jaylen Brown #227"/>
    <s v="Basketball Cards 2024 Panini Haunted Hoops"/>
    <n v="119"/>
    <s v="Ungraded"/>
    <s v="Normal wear"/>
    <m/>
    <m/>
    <n v="0"/>
    <n v="1"/>
    <d v="2026-05-30T00:00:00"/>
    <m/>
    <m/>
    <n v="510"/>
    <m/>
    <s v="Jaylen Brown"/>
    <s v="2024 Panini Haunted Hoops"/>
    <s v="-"/>
    <s v="227"/>
    <n v="1.19"/>
    <x v="100"/>
    <s v="For Sale"/>
    <n v="1"/>
    <n v="4"/>
    <n v="1.25"/>
    <n v="1"/>
  </r>
  <r>
    <x v="382"/>
    <s v="Jaylen Brown [Purple] #206"/>
    <s v="Basketball Cards 2024 Panini Donruss Optic"/>
    <n v="100"/>
    <s v="Ungraded"/>
    <s v="Normal wear"/>
    <m/>
    <s v="&quot;https://www.whatnot.com/order/9Nw32iaBQX4B786bgpSBCs_x000d__x000a_$0.00 + $0.21 (Shared Shipping) + $0.02 Tax = Total of $0.23&quot;"/>
    <n v="23"/>
    <n v="1"/>
    <d v="2026-05-12T00:00:00"/>
    <d v="2026-05-06T00:00:00"/>
    <m/>
    <n v="537"/>
    <m/>
    <s v="Jaylen Brown"/>
    <s v="2024 Panini Donruss Optic"/>
    <s v="Purple"/>
    <s v="206"/>
    <n v="1"/>
    <x v="100"/>
    <s v="For Sale"/>
    <n v="1"/>
    <n v="4"/>
    <n v="1"/>
    <n v="0.25"/>
  </r>
  <r>
    <x v="383"/>
    <s v="Jerry Rice #23"/>
    <s v="Football Cards 1990 Pro Set Super Bowl MVP"/>
    <n v="166"/>
    <s v="Ungraded"/>
    <s v="Normal wear"/>
    <m/>
    <m/>
    <n v="0"/>
    <n v="1"/>
    <d v="2026-04-17T00:00:00"/>
    <m/>
    <m/>
    <n v="385"/>
    <m/>
    <s v="Jerry Rice"/>
    <s v="1990 Pro Set Super Bowl MVP"/>
    <s v="-"/>
    <s v="23"/>
    <n v="1.66"/>
    <x v="101"/>
    <s v="For Sale"/>
    <n v="1"/>
    <n v="4"/>
    <n v="2"/>
    <n v="1.5"/>
  </r>
  <r>
    <x v="384"/>
    <s v="Jerry Stackhouse #133"/>
    <s v="Basketball Cards 1995 Upper Deck"/>
    <n v="124"/>
    <s v="Ungraded"/>
    <s v="Normal wear"/>
    <m/>
    <m/>
    <n v="0"/>
    <n v="1"/>
    <d v="2026-04-17T00:00:00"/>
    <m/>
    <m/>
    <n v="464"/>
    <m/>
    <s v="Jerry Stackhouse"/>
    <s v="1995 Upper Deck"/>
    <s v="-"/>
    <s v="133"/>
    <n v="1.24"/>
    <x v="102"/>
    <s v="For Sale"/>
    <n v="2"/>
    <n v="4"/>
    <n v="1.25"/>
    <n v="1"/>
  </r>
  <r>
    <x v="384"/>
    <s v="Jerry Stackhouse #133"/>
    <s v="Basketball Cards 1995 Upper Deck"/>
    <n v="124"/>
    <s v="Ungraded"/>
    <s v="Normal wear"/>
    <m/>
    <m/>
    <n v="0"/>
    <n v="1"/>
    <d v="2026-06-10T00:00:00"/>
    <m/>
    <m/>
    <n v="466"/>
    <m/>
    <s v="Jerry Stackhouse"/>
    <s v="1995 Upper Deck"/>
    <s v="-"/>
    <s v="133"/>
    <n v="1.24"/>
    <x v="102"/>
    <s v="For Sale"/>
    <n v="2"/>
    <n v="4"/>
    <n v="1.25"/>
    <n v="1"/>
  </r>
  <r>
    <x v="385"/>
    <s v="JT Toppin #BPP-93"/>
    <s v="Basketball Cards 2025 Bowman Prospects"/>
    <n v="175"/>
    <s v="Ungraded"/>
    <s v="Normal wear"/>
    <m/>
    <s v="&quot;https://www.whatnot.com/order/C8wNmr23XSGaFU3EsaesSS_x000d__x000a_$0.50 + $0.27 (Shared Shipping) + $0.08 Tax = Total of $0.85&quot;"/>
    <n v="85"/>
    <n v="1"/>
    <d v="2026-05-18T00:00:00"/>
    <d v="2026-05-17T00:00:00"/>
    <m/>
    <n v="331"/>
    <m/>
    <s v="JT Toppin"/>
    <s v="2025 Bowman Prospects"/>
    <s v="-"/>
    <s v="BPP-93"/>
    <n v="1.75"/>
    <x v="103"/>
    <s v="For Sale"/>
    <n v="1"/>
    <n v="4"/>
    <n v="2"/>
    <n v="0.75"/>
  </r>
  <r>
    <x v="386"/>
    <s v="JT Toppin #BV-15"/>
    <s v="Basketball Cards 2025 Bowman Verified"/>
    <n v="97"/>
    <s v="Ungraded"/>
    <s v="Normal wear"/>
    <m/>
    <s v="&quot;https://www.whatnot.com/order/C8wNmr23XSGaFU3EsaesSS_x000d__x000a_$0.50 + $0.27 (Shared Shipping) + $0.08 Tax = Total of $0.85&quot;"/>
    <n v="85"/>
    <n v="1"/>
    <d v="2026-05-18T00:00:00"/>
    <d v="2026-05-17T00:00:00"/>
    <m/>
    <n v="540"/>
    <m/>
    <s v="JT Toppin"/>
    <s v="2025 Bowman Verified"/>
    <s v="-"/>
    <s v="BV-15"/>
    <n v="0.97"/>
    <x v="103"/>
    <s v="For Sale"/>
    <n v="1"/>
    <n v="4"/>
    <n v="1"/>
    <n v="0.75"/>
  </r>
  <r>
    <x v="387"/>
    <s v="Katie Lou Samuelson #82"/>
    <s v="Basketball Cards 2025 Panini Prizm WNBA"/>
    <n v="150"/>
    <s v="Ungraded"/>
    <s v="Normal wear"/>
    <m/>
    <m/>
    <n v="0"/>
    <n v="1"/>
    <d v="2026-05-30T00:00:00"/>
    <m/>
    <m/>
    <n v="413"/>
    <m/>
    <s v="Katie Lou Samuelson"/>
    <s v="2025 Panini Prizm WNBA"/>
    <s v="-"/>
    <s v="82"/>
    <n v="1.5"/>
    <x v="104"/>
    <s v="For Sale"/>
    <n v="1"/>
    <n v="4"/>
    <n v="2"/>
    <n v="1.5"/>
  </r>
  <r>
    <x v="388"/>
    <s v="Keith Van Horn #80"/>
    <s v="Basketball Cards 1997 Metal Universe"/>
    <n v="199"/>
    <s v="Ungraded"/>
    <s v="Normal wear"/>
    <m/>
    <m/>
    <n v="0"/>
    <n v="1"/>
    <d v="2026-05-31T00:00:00"/>
    <m/>
    <m/>
    <n v="345"/>
    <m/>
    <s v="Keith Van Horn"/>
    <s v="1997 Metal Universe"/>
    <s v="-"/>
    <s v="80"/>
    <n v="1.99"/>
    <x v="105"/>
    <s v="For Sale"/>
    <n v="1"/>
    <n v="4"/>
    <n v="2.5"/>
    <n v="2"/>
  </r>
  <r>
    <x v="389"/>
    <s v="Kevin Morton #330"/>
    <s v="Baseball Cards 1992 Donruss"/>
    <n v="116"/>
    <s v="Ungraded"/>
    <s v="Normal wear"/>
    <m/>
    <m/>
    <n v="0"/>
    <n v="1"/>
    <d v="2026-05-30T00:00:00"/>
    <m/>
    <m/>
    <n v="507"/>
    <m/>
    <s v="Kevin Morton"/>
    <s v="1992 Donruss"/>
    <s v="-"/>
    <s v="330"/>
    <n v="1.1599999999999999"/>
    <x v="106"/>
    <s v="For Sale"/>
    <n v="1"/>
    <n v="4"/>
    <n v="1.25"/>
    <n v="1"/>
  </r>
  <r>
    <x v="390"/>
    <s v="Kyrie Irving [Holo] #8"/>
    <s v="Basketball Cards 2020 Panini Donruss Optic My House"/>
    <n v="199"/>
    <s v="Ungraded"/>
    <s v="Normal wear"/>
    <m/>
    <s v="&quot;https://www.whatnot.com/order/atV5mnNpi29X79RWUk3egh_x000d__x000a_$1.00 + $2.18 (Shared Shipping) + $0.33 Tax = Total of $3.50&quot;"/>
    <n v="350"/>
    <n v="1"/>
    <d v="2026-05-15T00:00:00"/>
    <d v="2026-05-14T00:00:00"/>
    <m/>
    <n v="272"/>
    <m/>
    <s v="Kyrie Irving"/>
    <s v="2020 Panini Donruss Optic My House"/>
    <s v="Holo"/>
    <s v="8"/>
    <n v="1.99"/>
    <x v="107"/>
    <s v="For Sale"/>
    <n v="1"/>
    <n v="4"/>
    <n v="4"/>
    <n v="2"/>
  </r>
  <r>
    <x v="391"/>
    <s v="Kyrie Irving #100C-KI"/>
    <s v="Basketball Cards 2025 Topps Match Attax 100 Club"/>
    <n v="199"/>
    <s v="Ungraded"/>
    <s v="Normal wear"/>
    <m/>
    <s v="&quot;https://www.whatnot.com/order/am68o5TGkfds6VHNQLbuH7_x000d__x000a_$0.00 + $0.35 (Shared Shipping) + $0.04 Tax = Total of $0.38&quot;"/>
    <n v="38"/>
    <n v="1"/>
    <d v="2026-05-21T00:00:00"/>
    <d v="2026-05-15T00:00:00"/>
    <m/>
    <n v="404"/>
    <m/>
    <s v="Kyrie Irving"/>
    <s v="2025 Topps Match Attax 100 Club"/>
    <s v="-"/>
    <s v="100C-KI"/>
    <n v="1.99"/>
    <x v="107"/>
    <s v="For Sale"/>
    <n v="1"/>
    <n v="4"/>
    <n v="2.5"/>
    <n v="0.25"/>
  </r>
  <r>
    <x v="392"/>
    <s v="Kyrie Irving [Orange Ice] #22"/>
    <s v="Basketball Cards 2023 Panini Prizm"/>
    <n v="150"/>
    <s v="Ungraded"/>
    <s v="Normal wear"/>
    <m/>
    <s v="&quot;https://www.whatnot.com/order/U4wUV4wsrmJG4Ko5kpcCWo_x000d__x000a_$2.00 + $0.74 (Shared Shipping) + $0.28 Tax = Total of $3.02&quot;"/>
    <n v="302"/>
    <n v="1"/>
    <d v="2026-05-12T00:00:00"/>
    <d v="2026-05-12T00:00:00"/>
    <m/>
    <n v="348"/>
    <m/>
    <s v="Kyrie Irving"/>
    <s v="2023 Panini Prizm"/>
    <s v="Orange Ice"/>
    <s v="22"/>
    <n v="1.5"/>
    <x v="107"/>
    <s v="For Sale"/>
    <n v="1"/>
    <n v="4"/>
    <n v="4"/>
    <n v="1.5"/>
  </r>
  <r>
    <x v="393"/>
    <s v="Kyrie Irving #63"/>
    <s v="Basketball Cards 2022 Panini Chronicles Draft Picks Revolution"/>
    <n v="125"/>
    <s v="Ungraded"/>
    <s v="Normal wear"/>
    <m/>
    <s v="&quot;https://www.whatnot.com/order/4QyCs9xsuozDF4z5kAMs7r_x000d__x000a_$3.00 + $1.72 (Shared Shipping) + $0.48 Tax = Total of $5.20&quot;"/>
    <n v="520"/>
    <n v="1"/>
    <d v="2026-05-12T00:00:00"/>
    <d v="2026-05-08T00:00:00"/>
    <m/>
    <n v="486"/>
    <m/>
    <s v="Kyrie Irving"/>
    <s v="2022 Panini Chronicles Draft Picks Revolution"/>
    <s v="-"/>
    <s v="63"/>
    <n v="1.25"/>
    <x v="107"/>
    <s v="For Sale"/>
    <n v="1"/>
    <n v="4"/>
    <n v="6"/>
    <n v="1.25"/>
  </r>
  <r>
    <x v="394"/>
    <s v="Kyrie Irving [Blue Ice] #130"/>
    <s v="Basketball Cards 2022 Panini Select"/>
    <n v="104"/>
    <s v="Ungraded"/>
    <s v="Normal wear"/>
    <m/>
    <s v="&quot;https://www.whatnot.com/order/6aFhbaxuXeTPJA8aZNx5Bj_x000d__x000a_$2.00 + $0.74 (Shared Shipping) + $0.28 Tax = Total of $3.02&quot;"/>
    <n v="302"/>
    <n v="1"/>
    <d v="2026-05-12T00:00:00"/>
    <d v="2026-05-12T00:00:00"/>
    <m/>
    <n v="534"/>
    <m/>
    <s v="Kyrie Irving"/>
    <s v="2022 Panini Select"/>
    <s v="Blue Ice"/>
    <s v="130"/>
    <n v="1.04"/>
    <x v="107"/>
    <s v="For Sale"/>
    <n v="1"/>
    <n v="4"/>
    <n v="4"/>
    <n v="1"/>
  </r>
  <r>
    <x v="395"/>
    <s v="Kyrie Irving / Luka Doncic #4"/>
    <s v="Basketball Cards 2023 Donruss Optic Optical Illusions"/>
    <n v="191"/>
    <s v="Ungraded"/>
    <s v="Normal wear"/>
    <m/>
    <s v="&quot;https://www.whatnot.com/order/YzDdv3jRTf8P5R9sGqJ4Q7_x000d__x000a_$1.00 + $4.74 (Shared Shipping) + $0.59 Tax = Total of $6.33&quot;"/>
    <n v="633"/>
    <n v="1"/>
    <d v="2026-05-29T00:00:00"/>
    <d v="2026-05-25T00:00:00"/>
    <m/>
    <n v="293"/>
    <m/>
    <s v="Kyrie Irving / Luka Doncic"/>
    <s v="2023 Donruss Optic Optical Illusions"/>
    <s v="-"/>
    <s v="4"/>
    <n v="1.91"/>
    <x v="108"/>
    <s v="For Sale"/>
    <n v="1"/>
    <n v="4"/>
    <n v="8"/>
    <n v="2"/>
  </r>
  <r>
    <x v="396"/>
    <s v="Larry Bird #52"/>
    <s v="Basketball Cards 1991 Hoops McDonalds"/>
    <n v="181"/>
    <s v="Ungraded"/>
    <s v="Normal wear"/>
    <m/>
    <m/>
    <n v="0"/>
    <n v="1"/>
    <d v="2026-05-07T00:00:00"/>
    <d v="2026-05-07T00:00:00"/>
    <m/>
    <n v="324"/>
    <m/>
    <s v="Larry Bird"/>
    <s v="1991 Hoops McDonalds"/>
    <s v="-"/>
    <s v="52"/>
    <n v="1.81"/>
    <x v="109"/>
    <s v="For Sale"/>
    <n v="1"/>
    <n v="4"/>
    <n v="2"/>
    <n v="2"/>
  </r>
  <r>
    <x v="397"/>
    <s v="Larry Bird #12"/>
    <s v="Basketball Cards 1991 Skybox"/>
    <n v="150"/>
    <s v="Ungraded"/>
    <s v="Normal wear"/>
    <m/>
    <m/>
    <n v="0"/>
    <n v="1"/>
    <d v="2026-05-31T00:00:00"/>
    <m/>
    <m/>
    <n v="313"/>
    <m/>
    <s v="Larry Bird"/>
    <s v="1991 Skybox"/>
    <s v="-"/>
    <s v="12"/>
    <n v="1.5"/>
    <x v="109"/>
    <s v="For Sale"/>
    <n v="1"/>
    <n v="4"/>
    <n v="2"/>
    <n v="1.5"/>
  </r>
  <r>
    <x v="398"/>
    <s v="Latrell Sprewell #8"/>
    <s v="Basketball Cards 1993 Ultra Inside Outside"/>
    <n v="112"/>
    <s v="Ungraded"/>
    <s v="Normal wear"/>
    <m/>
    <m/>
    <n v="0"/>
    <n v="1"/>
    <d v="2026-05-31T00:00:00"/>
    <m/>
    <m/>
    <n v="582"/>
    <m/>
    <s v="Latrell Sprewell"/>
    <s v="1993 Ultra Inside Outside"/>
    <s v="-"/>
    <s v="8"/>
    <n v="1.1200000000000001"/>
    <x v="110"/>
    <s v="For Sale"/>
    <n v="1"/>
    <n v="4"/>
    <n v="1.25"/>
    <n v="1"/>
  </r>
  <r>
    <x v="399"/>
    <s v="Luka DoncÌŒic #BCV-123"/>
    <s v="Basketball Cards 2025 Bowman Chrome"/>
    <n v="199"/>
    <s v="Ungraded"/>
    <s v="Normal wear"/>
    <m/>
    <s v="&quot;whatnot.com/order/QmxKqJw97MkWL4F4CV22QD_x000d__x000a_$0.50 + $0.23 (Shared Shipping) + $0.07 Tax = Total of $0.81&quot;"/>
    <n v="81"/>
    <n v="1"/>
    <d v="2026-06-10T00:00:00"/>
    <d v="2026-05-14T00:00:00"/>
    <m/>
    <n v="269"/>
    <m/>
    <s v="Luka DoncÌŒic"/>
    <s v="2025 Bowman Chrome"/>
    <s v="-"/>
    <s v="BCV-123"/>
    <n v="1.99"/>
    <x v="111"/>
    <s v="For Sale"/>
    <n v="2"/>
    <n v="4"/>
    <n v="2.5"/>
    <n v="0.5"/>
  </r>
  <r>
    <x v="399"/>
    <s v="Luka DoncÌŒic #BCV-123"/>
    <s v="Basketball Cards 2025 Bowman Chrome"/>
    <n v="199"/>
    <s v="Ungraded"/>
    <s v="Normal wear"/>
    <m/>
    <s v="&quot;whatnot.com/order/QmxKqJw97MkWL4F4CV22QD_x000d__x000a_$0.50 + $0.23 (Shared Shipping) + $0.07 Tax = Total of $0.81&quot;"/>
    <n v="81"/>
    <n v="1"/>
    <d v="2026-05-15T00:00:00"/>
    <d v="2026-05-14T00:00:00"/>
    <m/>
    <n v="277"/>
    <m/>
    <s v="Luka DoncÌŒic"/>
    <s v="2025 Bowman Chrome"/>
    <s v="-"/>
    <s v="BCV-123"/>
    <n v="1.99"/>
    <x v="111"/>
    <s v="For Sale"/>
    <n v="2"/>
    <n v="4"/>
    <n v="2.5"/>
    <n v="0.5"/>
  </r>
  <r>
    <x v="400"/>
    <s v="Magic Johnson #32"/>
    <s v="Basketball Cards 1992 Stadium Club"/>
    <n v="150"/>
    <s v="Ungraded"/>
    <s v="Normal wear"/>
    <m/>
    <m/>
    <n v="0"/>
    <n v="1"/>
    <d v="2026-05-07T00:00:00"/>
    <d v="2026-05-07T00:00:00"/>
    <m/>
    <n v="346"/>
    <m/>
    <s v="Magic Johnson"/>
    <s v="1992 Stadium Club"/>
    <s v="-"/>
    <s v="32"/>
    <n v="1.5"/>
    <x v="112"/>
    <s v="For Sale"/>
    <n v="1"/>
    <n v="4"/>
    <n v="2"/>
    <n v="1.5"/>
  </r>
  <r>
    <x v="401"/>
    <s v="Marcelo Balboa #3"/>
    <s v="Soccer Cards 1994 Upper Deck World Cup Soccer"/>
    <n v="199"/>
    <s v="Ungraded"/>
    <s v="Normal wear"/>
    <m/>
    <m/>
    <n v="0"/>
    <n v="1"/>
    <d v="2026-04-17T00:00:00"/>
    <m/>
    <m/>
    <n v="264"/>
    <m/>
    <s v="Marcelo Balboa"/>
    <s v="1994 Upper Deck World Cup Soccer"/>
    <s v="-"/>
    <s v="3"/>
    <n v="1.99"/>
    <x v="113"/>
    <s v="For Sale"/>
    <n v="1"/>
    <n v="4"/>
    <n v="2.5"/>
    <n v="2"/>
  </r>
  <r>
    <x v="402"/>
    <s v="Marcus Camby #C26"/>
    <s v="Basketball Cards 1996 Collector's Choice Crash the Game"/>
    <n v="200"/>
    <s v="Ungraded"/>
    <s v="Normal wear"/>
    <m/>
    <m/>
    <n v="0"/>
    <n v="1"/>
    <d v="2026-05-07T00:00:00"/>
    <m/>
    <m/>
    <n v="258"/>
    <m/>
    <s v="Marcus Camby"/>
    <s v="1996 Collector's Choice Crash the Game"/>
    <s v="-"/>
    <s v="C26"/>
    <n v="2"/>
    <x v="114"/>
    <s v="For Sale"/>
    <n v="1"/>
    <n v="4"/>
    <n v="2.5"/>
    <n v="2"/>
  </r>
  <r>
    <x v="403"/>
    <s v="Marcus Camby #6"/>
    <s v="Basketball Cards 1997 Ultra Neat Feats"/>
    <n v="165"/>
    <s v="Ungraded"/>
    <s v="Normal wear"/>
    <m/>
    <m/>
    <n v="0"/>
    <n v="1"/>
    <d v="2026-05-31T00:00:00"/>
    <m/>
    <m/>
    <n v="364"/>
    <m/>
    <s v="Marcus Camby"/>
    <s v="1997 Ultra Neat Feats"/>
    <s v="-"/>
    <s v="6"/>
    <n v="1.65"/>
    <x v="114"/>
    <s v="For Sale"/>
    <n v="1"/>
    <n v="4"/>
    <n v="2"/>
    <n v="1.5"/>
  </r>
  <r>
    <x v="404"/>
    <s v="Marcus Camby #253"/>
    <s v="Basketball Cards 1997 Ultra"/>
    <n v="158"/>
    <s v="Ungraded"/>
    <s v="Normal wear"/>
    <m/>
    <m/>
    <n v="0"/>
    <n v="1"/>
    <d v="2026-05-07T00:00:00"/>
    <m/>
    <m/>
    <n v="389"/>
    <m/>
    <s v="Marcus Camby"/>
    <s v="1997 Ultra"/>
    <s v="-"/>
    <s v="253"/>
    <n v="1.58"/>
    <x v="114"/>
    <s v="For Sale"/>
    <n v="1"/>
    <n v="4"/>
    <n v="2"/>
    <n v="1.5"/>
  </r>
  <r>
    <x v="405"/>
    <s v="Maurice Taylor #R14"/>
    <s v="Basketball Cards 1997 Upper Deck Rookie Discovery I"/>
    <n v="100"/>
    <s v="Ungraded"/>
    <s v="Normal wear"/>
    <m/>
    <m/>
    <n v="0"/>
    <n v="1"/>
    <d v="2026-05-31T00:00:00"/>
    <m/>
    <m/>
    <n v="545"/>
    <m/>
    <s v="Maurice Taylor"/>
    <s v="1997 Upper Deck Rookie Discovery I"/>
    <s v="-"/>
    <s v="R14"/>
    <n v="1"/>
    <x v="115"/>
    <s v="For Sale"/>
    <n v="1"/>
    <n v="4"/>
    <n v="1"/>
    <n v="1"/>
  </r>
  <r>
    <x v="406"/>
    <s v="Maxime Raynaud #293"/>
    <s v="Basketball Cards 2025 Topps Chrome"/>
    <n v="100"/>
    <s v="Ungraded"/>
    <s v="Normal wear"/>
    <m/>
    <s v="&quot;https://www.whatnot.com/order/kPmzHw359b76wtiBHv2d7E _x000d__x000a_$0.00 + $0.00 (Shared Shipping) + $0.00 Tax = Total of $0.00&quot;"/>
    <n v="0"/>
    <n v="1"/>
    <d v="2026-05-14T00:00:00"/>
    <d v="2026-05-10T00:00:00"/>
    <m/>
    <n v="532"/>
    <m/>
    <s v="Maxime Raynaud"/>
    <s v="2025 Topps Chrome"/>
    <s v="-"/>
    <s v="293"/>
    <n v="1"/>
    <x v="116"/>
    <s v="For Sale"/>
    <n v="1"/>
    <n v="4"/>
    <n v="1"/>
    <n v="1"/>
  </r>
  <r>
    <x v="407"/>
    <s v="Michael Finley #180"/>
    <s v="Basketball Cards 1995 Metal"/>
    <n v="143"/>
    <s v="Ungraded"/>
    <s v="Normal wear"/>
    <m/>
    <m/>
    <n v="0"/>
    <n v="1"/>
    <d v="2026-06-10T00:00:00"/>
    <m/>
    <m/>
    <n v="446"/>
    <m/>
    <s v="Michael Finley"/>
    <s v="1995 Metal"/>
    <s v="-"/>
    <s v="180"/>
    <n v="1.43"/>
    <x v="117"/>
    <s v="For Sale"/>
    <n v="3"/>
    <n v="4"/>
    <n v="1.5"/>
    <n v="1"/>
  </r>
  <r>
    <x v="407"/>
    <s v="Michael Finley #180"/>
    <s v="Basketball Cards 1995 Metal"/>
    <n v="143"/>
    <s v="Ungraded"/>
    <s v="Normal wear"/>
    <m/>
    <m/>
    <n v="0"/>
    <n v="1"/>
    <d v="2026-06-10T00:00:00"/>
    <m/>
    <m/>
    <n v="447"/>
    <m/>
    <s v="Michael Finley"/>
    <s v="1995 Metal"/>
    <s v="-"/>
    <s v="180"/>
    <n v="1.43"/>
    <x v="117"/>
    <s v="For Sale"/>
    <n v="3"/>
    <n v="4"/>
    <n v="1.5"/>
    <n v="1"/>
  </r>
  <r>
    <x v="407"/>
    <s v="Michael Finley #180"/>
    <s v="Basketball Cards 1995 Metal"/>
    <n v="143"/>
    <s v="Ungraded"/>
    <s v="Normal wear"/>
    <m/>
    <m/>
    <n v="0"/>
    <n v="1"/>
    <d v="2026-05-07T00:00:00"/>
    <m/>
    <m/>
    <n v="452"/>
    <m/>
    <s v="Michael Finley"/>
    <s v="1995 Metal"/>
    <s v="-"/>
    <s v="180"/>
    <n v="1.43"/>
    <x v="117"/>
    <s v="For Sale"/>
    <n v="3"/>
    <n v="4"/>
    <n v="1.5"/>
    <n v="1"/>
  </r>
  <r>
    <x v="408"/>
    <s v="Michael Finley #FB11"/>
    <s v="Basketball Cards 1996 Upper Deck Fast Break Connection"/>
    <n v="0"/>
    <s v="Ungraded"/>
    <s v="Normal wear"/>
    <m/>
    <m/>
    <n v="0"/>
    <n v="1"/>
    <d v="2026-04-15T00:00:00"/>
    <m/>
    <m/>
    <n v="605"/>
    <m/>
    <s v="Michael Finley"/>
    <s v="1996 Upper Deck Fast Break Connection"/>
    <s v="-"/>
    <s v="FB11"/>
    <n v="0"/>
    <x v="117"/>
    <s v="For Sale"/>
    <n v="1"/>
    <n v="4"/>
    <n v="0.25"/>
    <n v="0.25"/>
  </r>
  <r>
    <x v="409"/>
    <s v="Mike Bibby #196"/>
    <s v="Basketball Cards 1998 Topps"/>
    <n v="149"/>
    <s v="Ungraded"/>
    <s v="Normal wear"/>
    <m/>
    <m/>
    <n v="0"/>
    <n v="1"/>
    <d v="2026-05-07T00:00:00"/>
    <m/>
    <m/>
    <n v="463"/>
    <m/>
    <s v="Mike Bibby"/>
    <s v="1998 Topps"/>
    <s v="-"/>
    <s v="196"/>
    <n v="1.49"/>
    <x v="118"/>
    <s v="For Sale"/>
    <n v="1"/>
    <n v="4"/>
    <n v="2"/>
    <n v="1.25"/>
  </r>
  <r>
    <x v="410"/>
    <s v="Mike Bibby #195"/>
    <s v="Basketball Cards 1998 Stadium Club"/>
    <n v="99"/>
    <s v="Ungraded"/>
    <s v="Normal wear"/>
    <m/>
    <m/>
    <n v="0"/>
    <n v="1"/>
    <d v="2026-05-31T00:00:00"/>
    <m/>
    <m/>
    <n v="578"/>
    <m/>
    <s v="Mike Bibby"/>
    <s v="1998 Stadium Club"/>
    <s v="-"/>
    <s v="195"/>
    <n v="0.99"/>
    <x v="118"/>
    <s v="For Sale"/>
    <n v="1"/>
    <n v="4"/>
    <n v="1"/>
    <n v="0.75"/>
  </r>
  <r>
    <x v="411"/>
    <s v="Pat Lennon #17"/>
    <s v="Baseball Cards 1992 Donruss"/>
    <n v="100"/>
    <s v="Ungraded"/>
    <s v="Normal wear"/>
    <m/>
    <m/>
    <n v="0"/>
    <n v="1"/>
    <d v="2026-05-30T00:00:00"/>
    <m/>
    <m/>
    <n v="544"/>
    <m/>
    <s v="Pat Lennon"/>
    <s v="1992 Donruss"/>
    <s v="-"/>
    <s v="17"/>
    <n v="1"/>
    <x v="119"/>
    <s v="For Sale"/>
    <n v="1"/>
    <n v="4"/>
    <n v="1"/>
    <n v="1"/>
  </r>
  <r>
    <x v="412"/>
    <s v="Punisher 2099 #101"/>
    <s v="Marvel 1994 Flair"/>
    <n v="132"/>
    <s v="Ungraded"/>
    <s v="Normal wear"/>
    <m/>
    <m/>
    <n v="0"/>
    <n v="1"/>
    <d v="2026-04-17T00:00:00"/>
    <m/>
    <m/>
    <n v="376"/>
    <m/>
    <s v="Punisher 2099"/>
    <s v="Marvel 1994 Flair"/>
    <s v="-"/>
    <s v="101"/>
    <n v="1.32"/>
    <x v="120"/>
    <s v="For Sale"/>
    <n v="1"/>
    <n v="4"/>
    <n v="1.5"/>
    <n v="1.25"/>
  </r>
  <r>
    <x v="413"/>
    <s v="Rasheed Wallace #134"/>
    <s v="Basketball Cards 1995 Upper Deck"/>
    <n v="153"/>
    <s v="Ungraded"/>
    <s v="Normal wear"/>
    <m/>
    <m/>
    <n v="0"/>
    <n v="1"/>
    <d v="2026-05-07T00:00:00"/>
    <d v="2026-05-07T00:00:00"/>
    <m/>
    <n v="410"/>
    <m/>
    <s v="Rasheed Wallace"/>
    <s v="1995 Upper Deck"/>
    <s v="-"/>
    <s v="134"/>
    <n v="1.53"/>
    <x v="121"/>
    <s v="For Sale"/>
    <n v="2"/>
    <n v="4"/>
    <n v="2"/>
    <n v="1.25"/>
  </r>
  <r>
    <x v="413"/>
    <s v="Rasheed Wallace #134"/>
    <s v="Basketball Cards 1995 Upper Deck"/>
    <n v="153"/>
    <s v="Ungraded"/>
    <s v="Normal wear"/>
    <m/>
    <m/>
    <n v="0"/>
    <n v="1"/>
    <d v="2026-06-10T00:00:00"/>
    <m/>
    <m/>
    <n v="412"/>
    <m/>
    <s v="Rasheed Wallace"/>
    <s v="1995 Upper Deck"/>
    <s v="-"/>
    <s v="134"/>
    <n v="1.53"/>
    <x v="121"/>
    <s v="For Sale"/>
    <n v="2"/>
    <n v="4"/>
    <n v="2"/>
    <n v="1.25"/>
  </r>
  <r>
    <x v="414"/>
    <s v="Rasheed Wallace #208"/>
    <s v="Basketball Cards 1995 Metal"/>
    <n v="121"/>
    <s v="Ungraded"/>
    <s v="Normal wear"/>
    <m/>
    <m/>
    <n v="0"/>
    <n v="1"/>
    <d v="2026-06-10T00:00:00"/>
    <m/>
    <m/>
    <n v="476"/>
    <m/>
    <s v="Rasheed Wallace"/>
    <s v="1995 Metal"/>
    <s v="-"/>
    <s v="208"/>
    <n v="1.21"/>
    <x v="121"/>
    <s v="For Sale"/>
    <n v="3"/>
    <n v="4"/>
    <n v="1.25"/>
    <n v="1"/>
  </r>
  <r>
    <x v="414"/>
    <s v="Rasheed Wallace #208"/>
    <s v="Basketball Cards 1995 Metal"/>
    <n v="121"/>
    <s v="Ungraded"/>
    <s v="Normal wear"/>
    <m/>
    <m/>
    <n v="0"/>
    <n v="1"/>
    <d v="2026-06-10T00:00:00"/>
    <m/>
    <m/>
    <n v="477"/>
    <m/>
    <s v="Rasheed Wallace"/>
    <s v="1995 Metal"/>
    <s v="-"/>
    <s v="208"/>
    <n v="1.21"/>
    <x v="121"/>
    <s v="For Sale"/>
    <n v="3"/>
    <n v="4"/>
    <n v="1.25"/>
    <n v="1"/>
  </r>
  <r>
    <x v="414"/>
    <s v="Rasheed Wallace #208"/>
    <s v="Basketball Cards 1995 Metal"/>
    <n v="121"/>
    <s v="Ungraded"/>
    <s v="Normal wear"/>
    <m/>
    <m/>
    <n v="0"/>
    <n v="1"/>
    <d v="2026-05-24T00:00:00"/>
    <m/>
    <m/>
    <n v="480"/>
    <m/>
    <s v="Rasheed Wallace"/>
    <s v="1995 Metal"/>
    <s v="-"/>
    <s v="208"/>
    <n v="1.21"/>
    <x v="121"/>
    <s v="For Sale"/>
    <n v="3"/>
    <n v="4"/>
    <n v="1.25"/>
    <n v="1"/>
  </r>
  <r>
    <x v="415"/>
    <s v="Ray Allen #136"/>
    <s v="Basketball Cards 1996 Fleer Metal"/>
    <n v="158"/>
    <s v="Ungraded"/>
    <s v="Normal wear"/>
    <m/>
    <m/>
    <n v="0"/>
    <n v="1"/>
    <d v="2026-04-17T00:00:00"/>
    <m/>
    <m/>
    <n v="280"/>
    <m/>
    <s v="Ray Allen"/>
    <s v="1996 Fleer Metal"/>
    <s v="-"/>
    <s v="136"/>
    <n v="1.58"/>
    <x v="122"/>
    <s v="For Sale"/>
    <n v="1"/>
    <n v="4"/>
    <n v="2"/>
    <n v="1.5"/>
  </r>
  <r>
    <x v="416"/>
    <s v="Reed Sheppard [Blue Cracked Ice Prizm] #68"/>
    <s v="Basketball Cards 2024 Panini Select"/>
    <n v="182"/>
    <s v="Ungraded"/>
    <s v="Normal wear"/>
    <m/>
    <s v="&quot;https://www.whatnot.com/order/9Nw32iaBQX4B786bgpSBCs_x000d__x000a_$0.00 + $0.21 (Shared Shipping) + $0.02 Tax = Total of $0.23&quot;"/>
    <n v="23"/>
    <n v="1"/>
    <d v="2026-05-12T00:00:00"/>
    <d v="2026-05-06T00:00:00"/>
    <m/>
    <n v="298"/>
    <m/>
    <s v="Reed Sheppard"/>
    <s v="2024 Panini Select"/>
    <s v="Blue Cracked Ice Prizm"/>
    <s v="68"/>
    <n v="1.82"/>
    <x v="123"/>
    <s v="For Sale"/>
    <n v="1"/>
    <n v="4"/>
    <n v="2"/>
    <n v="0.25"/>
  </r>
  <r>
    <x v="417"/>
    <s v="Reed Sheppard #135"/>
    <s v="Basketball Cards 2025 Bowman"/>
    <n v="99"/>
    <s v="Ungraded"/>
    <s v="Normal wear"/>
    <m/>
    <m/>
    <n v="0"/>
    <n v="1"/>
    <d v="2026-05-30T00:00:00"/>
    <m/>
    <m/>
    <n v="569"/>
    <m/>
    <s v="Reed Sheppard"/>
    <s v="2025 Bowman"/>
    <s v="-"/>
    <s v="135"/>
    <n v="0.99"/>
    <x v="123"/>
    <s v="For Sale"/>
    <n v="1"/>
    <n v="4"/>
    <n v="1"/>
    <n v="0.75"/>
  </r>
  <r>
    <x v="418"/>
    <s v="Robert Parish #140"/>
    <s v="Basketball Cards 2023 Topps Cosmic Chrome"/>
    <n v="189"/>
    <s v="Ungraded"/>
    <s v="Normal wear"/>
    <m/>
    <s v="&quot;https://www.whatnot.com/order/mjPJ8grwnTa5xjehNNp2Qq_x000d__x000a_$0.00 + $1.72 (Shared Shipping) + $0.18 Tax = Total of $1.90&quot;"/>
    <n v="190"/>
    <n v="1"/>
    <d v="2026-05-21T00:00:00"/>
    <d v="2026-05-08T00:00:00"/>
    <m/>
    <n v="310"/>
    <m/>
    <s v="Robert Parish"/>
    <s v="2023 Topps Cosmic Chrome"/>
    <s v="-"/>
    <s v="140"/>
    <n v="1.89"/>
    <x v="124"/>
    <s v="For Sale"/>
    <n v="1"/>
    <n v="4"/>
    <n v="2.5"/>
    <n v="2"/>
  </r>
  <r>
    <x v="419"/>
    <s v="Ruben Patterson #115"/>
    <s v="Basketball Cards 1998 Upper Deck Black Diamond"/>
    <n v="125"/>
    <s v="Ungraded"/>
    <s v="Normal wear"/>
    <m/>
    <m/>
    <n v="0"/>
    <n v="1"/>
    <d v="2026-04-17T00:00:00"/>
    <m/>
    <m/>
    <n v="483"/>
    <m/>
    <s v="Ruben Patterson"/>
    <s v="1998 Upper Deck Black Diamond"/>
    <s v="-"/>
    <s v="115"/>
    <n v="1.25"/>
    <x v="125"/>
    <s v="For Sale"/>
    <n v="1"/>
    <n v="4"/>
    <n v="1.5"/>
    <n v="1.25"/>
  </r>
  <r>
    <x v="420"/>
    <s v="Ryan Giggs #282"/>
    <s v="Soccer Cards 1994 Upper Deck World Cup Soccer"/>
    <n v="100"/>
    <s v="Ungraded"/>
    <s v="Normal wear"/>
    <m/>
    <m/>
    <n v="0"/>
    <n v="1"/>
    <d v="2026-06-13T00:00:00"/>
    <m/>
    <m/>
    <n v="330"/>
    <m/>
    <s v="Ryan Giggs"/>
    <s v="1994 Upper Deck World Cup Soccer"/>
    <s v="-"/>
    <s v="282"/>
    <n v="1"/>
    <x v="126"/>
    <s v="For Sale"/>
    <n v="1"/>
    <n v="4"/>
    <n v="1"/>
    <n v="1"/>
  </r>
  <r>
    <x v="421"/>
    <s v="Shai Gilgeous Alexander [Holo] #147"/>
    <s v="Basketball Cards 2021 Panini Donruss Optic"/>
    <n v="208"/>
    <s v="Ungraded"/>
    <s v="Normal wear"/>
    <m/>
    <s v="&quot;https://www.whatnot.com/order/ERNzPGDtKT3NBd3m26uHUb_x000d__x000a_$1.00 + $2.18 (Shared Shipping) + $0.33 Tax = Total of $3.50&quot;"/>
    <n v="350"/>
    <n v="1"/>
    <d v="2026-05-15T00:00:00"/>
    <d v="2026-05-14T00:00:00"/>
    <m/>
    <n v="247"/>
    <m/>
    <s v="Shai Gilgeous Alexander"/>
    <s v="2021 Panini Donruss Optic"/>
    <s v="Holo"/>
    <s v="147"/>
    <n v="2.08"/>
    <x v="127"/>
    <s v="For Sale"/>
    <n v="1"/>
    <n v="4"/>
    <n v="4"/>
    <n v="2"/>
  </r>
  <r>
    <x v="422"/>
    <s v="Shai Gilgeous Alexander [Silver] #43"/>
    <s v="Basketball Cards 2022 Panini Prizm Draft Picks"/>
    <n v="199"/>
    <s v="Ungraded"/>
    <s v="Normal wear"/>
    <m/>
    <s v="&quot;https://www.whatnot.com/order/WpUhCqurDhocnQw9kQLniM_x000d__x000a_$6.00 + $0.00 (Shared Shipping) + $0.62 Tax = Total of $6.62&quot;"/>
    <n v="662"/>
    <n v="1"/>
    <d v="2026-05-12T00:00:00"/>
    <d v="2026-05-04T00:00:00"/>
    <m/>
    <n v="239"/>
    <m/>
    <s v="Shai Gilgeous Alexander"/>
    <s v="2022 Panini Prizm Draft Picks"/>
    <s v="Silver"/>
    <s v="43"/>
    <n v="1.99"/>
    <x v="127"/>
    <s v="For Sale"/>
    <n v="1"/>
    <n v="4"/>
    <n v="8"/>
    <n v="2"/>
  </r>
  <r>
    <x v="423"/>
    <s v="Shai Gilgeous Alexander #238"/>
    <s v="Basketball Cards 2021 Panini Prizm"/>
    <n v="147"/>
    <s v="Ungraded"/>
    <s v="Normal wear"/>
    <m/>
    <s v="&quot;https://www.whatnot.com/order/7eozouSEnosHtokHHfAAYH_x000d__x000a_$1.67 + $1.02 (Shared Shipping) + $0.28 Tax = Total of $2.97&quot;"/>
    <n v="297"/>
    <n v="1"/>
    <d v="2026-05-12T00:00:00"/>
    <d v="2026-05-08T00:00:00"/>
    <m/>
    <n v="363"/>
    <m/>
    <s v="Shai Gilgeous Alexander"/>
    <s v="2021 Panini Prizm"/>
    <s v="-"/>
    <s v="238"/>
    <n v="1.47"/>
    <x v="127"/>
    <s v="For Sale"/>
    <n v="1"/>
    <n v="4"/>
    <n v="4"/>
    <n v="1.25"/>
  </r>
  <r>
    <x v="424"/>
    <s v="Shareef Abdur-Rahim #1"/>
    <s v="Basketball Cards 1996 Skybox Premium Intimidators"/>
    <n v="195"/>
    <s v="Ungraded"/>
    <s v="Normal wear"/>
    <m/>
    <m/>
    <n v="0"/>
    <n v="1"/>
    <d v="2026-04-15T00:00:00"/>
    <m/>
    <m/>
    <n v="203"/>
    <m/>
    <s v="Shareef Abdur-Rahim"/>
    <s v="1996 Skybox Premium Intimidators"/>
    <s v="-"/>
    <s v="1"/>
    <n v="1.95"/>
    <x v="128"/>
    <s v="For Sale"/>
    <n v="1"/>
    <n v="4"/>
    <n v="2.5"/>
    <n v="2"/>
  </r>
  <r>
    <x v="425"/>
    <s v="Shareef Abdur-Rahim #135"/>
    <s v="Basketball Cards 1996 Fleer Metal"/>
    <n v="99"/>
    <s v="Ungraded"/>
    <s v="Normal wear"/>
    <m/>
    <m/>
    <n v="0"/>
    <n v="1"/>
    <d v="2026-04-17T00:00:00"/>
    <m/>
    <m/>
    <n v="562"/>
    <m/>
    <s v="Shareef Abdur-Rahim"/>
    <s v="1996 Fleer Metal"/>
    <s v="-"/>
    <s v="135"/>
    <n v="0.99"/>
    <x v="128"/>
    <s v="For Sale"/>
    <n v="3"/>
    <n v="4"/>
    <n v="1"/>
    <n v="0.75"/>
  </r>
  <r>
    <x v="425"/>
    <s v="Shareef Abdur-Rahim #135"/>
    <s v="Basketball Cards 1996 Fleer Metal"/>
    <n v="99"/>
    <s v="Ungraded"/>
    <s v="Normal wear"/>
    <m/>
    <m/>
    <n v="0"/>
    <n v="1"/>
    <d v="2026-06-10T00:00:00"/>
    <m/>
    <m/>
    <n v="564"/>
    <m/>
    <s v="Shareef Abdur-Rahim"/>
    <s v="1996 Fleer Metal"/>
    <s v="-"/>
    <s v="135"/>
    <n v="0.99"/>
    <x v="128"/>
    <s v="For Sale"/>
    <n v="3"/>
    <n v="4"/>
    <n v="1"/>
    <n v="0.75"/>
  </r>
  <r>
    <x v="425"/>
    <s v="Shareef Abdur-Rahim #135"/>
    <s v="Basketball Cards 1996 Fleer Metal"/>
    <n v="99"/>
    <s v="Ungraded"/>
    <s v="Normal wear"/>
    <m/>
    <m/>
    <n v="0"/>
    <n v="1"/>
    <d v="2026-06-10T00:00:00"/>
    <m/>
    <m/>
    <n v="568"/>
    <m/>
    <s v="Shareef Abdur-Rahim"/>
    <s v="1996 Fleer Metal"/>
    <s v="-"/>
    <s v="135"/>
    <n v="0.99"/>
    <x v="128"/>
    <s v="For Sale"/>
    <n v="3"/>
    <n v="4"/>
    <n v="1"/>
    <n v="0.75"/>
  </r>
  <r>
    <x v="426"/>
    <s v="Shareef Abdur-Rahim #122"/>
    <s v="Basketball Cards 1996 Skybox Premium"/>
    <n v="99"/>
    <s v="Ungraded"/>
    <s v="Normal wear"/>
    <m/>
    <m/>
    <n v="0"/>
    <n v="1"/>
    <d v="2026-05-07T00:00:00"/>
    <d v="2026-05-07T00:00:00"/>
    <m/>
    <n v="585"/>
    <m/>
    <s v="Shareef Abdur-Rahim"/>
    <s v="1996 Skybox Premium"/>
    <s v="-"/>
    <s v="122"/>
    <n v="0.99"/>
    <x v="128"/>
    <s v="For Sale"/>
    <n v="2"/>
    <n v="4"/>
    <n v="1"/>
    <n v="0.75"/>
  </r>
  <r>
    <x v="426"/>
    <s v="Shareef Abdur-Rahim #122"/>
    <s v="Basketball Cards 1996 Skybox Premium"/>
    <n v="99"/>
    <s v="Ungraded"/>
    <s v="Normal wear"/>
    <m/>
    <m/>
    <n v="0"/>
    <n v="1"/>
    <d v="2026-06-10T00:00:00"/>
    <m/>
    <m/>
    <n v="586"/>
    <m/>
    <s v="Shareef Abdur-Rahim"/>
    <s v="1996 Skybox Premium"/>
    <s v="-"/>
    <s v="122"/>
    <n v="0.99"/>
    <x v="128"/>
    <s v="For Sale"/>
    <n v="2"/>
    <n v="4"/>
    <n v="1"/>
    <n v="0.75"/>
  </r>
  <r>
    <x v="427"/>
    <s v="Shawn Kemp #CU5"/>
    <s v="Basketball Cards 1996 Skybox Premium Close Ups"/>
    <n v="272"/>
    <s v="Ungraded"/>
    <s v="Normal wear"/>
    <m/>
    <m/>
    <n v="0"/>
    <n v="1"/>
    <d v="2026-04-17T00:00:00"/>
    <m/>
    <m/>
    <n v="136"/>
    <m/>
    <s v="Shawn Kemp"/>
    <s v="1996 Skybox Premium Close Ups"/>
    <s v="-"/>
    <s v="CU5"/>
    <n v="2.72"/>
    <x v="129"/>
    <s v="For Sale"/>
    <n v="1"/>
    <n v="4"/>
    <n v="3"/>
    <n v="3"/>
  </r>
  <r>
    <x v="428"/>
    <s v="Shawn Kemp #279"/>
    <s v="Basketball Cards 1990 Hoops"/>
    <n v="127"/>
    <s v="Ungraded"/>
    <s v="Normal wear"/>
    <m/>
    <m/>
    <n v="0"/>
    <n v="1"/>
    <d v="2026-05-07T00:00:00"/>
    <m/>
    <m/>
    <n v="461"/>
    <m/>
    <s v="Shawn Kemp"/>
    <s v="1990 Hoops"/>
    <s v="-"/>
    <s v="279"/>
    <n v="1.27"/>
    <x v="129"/>
    <s v="For Sale"/>
    <n v="1"/>
    <n v="4"/>
    <n v="1.5"/>
    <n v="1.25"/>
  </r>
  <r>
    <x v="429"/>
    <s v="Shohei Ohtani #200"/>
    <s v="Baseball Cards 2026 Topps"/>
    <n v="100"/>
    <s v="Ungraded"/>
    <s v="Normal wear"/>
    <m/>
    <s v="&quot;https://www.whatnot.com/order/84EtWmjxZp84PtP5CNdWys_x000d__x000a_$3.00 + $2.48 (Shared Shipping) + $0.56 Tax = Total of $6.04&quot;"/>
    <n v="604"/>
    <n v="1"/>
    <d v="2026-05-12T00:00:00"/>
    <d v="2026-05-05T00:00:00"/>
    <m/>
    <n v="288"/>
    <m/>
    <s v="Shohei Ohtani"/>
    <s v="2026 Topps"/>
    <s v="-"/>
    <s v="200"/>
    <n v="1"/>
    <x v="130"/>
    <s v="For Sale"/>
    <n v="1"/>
    <n v="4"/>
    <n v="7"/>
    <n v="1"/>
  </r>
  <r>
    <x v="430"/>
    <s v="Stephen Curry [Holo] #13"/>
    <s v="Basketball Cards 2024 Panini Donruss Optic Express Lane"/>
    <n v="199"/>
    <s v="Ungraded"/>
    <s v="Normal wear"/>
    <m/>
    <s v="https://www.whatnot.com/order/MBKbDgY5r4SpwfRrdpBamt_x000d__x000a_$1.00 + $0.36 (Shared Shipping) + $0.14 Tax = Total of $1.50"/>
    <n v="150"/>
    <n v="1"/>
    <d v="2026-05-09T00:00:00"/>
    <d v="2026-05-03T00:00:00"/>
    <m/>
    <n v="278"/>
    <m/>
    <s v="Stephen Curry"/>
    <s v="2024 Panini Donruss Optic Express Lane"/>
    <s v="Holo"/>
    <s v="13"/>
    <n v="1.99"/>
    <x v="131"/>
    <s v="For Sale"/>
    <n v="1"/>
    <n v="4"/>
    <n v="2.5"/>
    <n v="1.5"/>
  </r>
  <r>
    <x v="431"/>
    <s v="Stephen Curry [Blue] #7"/>
    <s v="Basketball Cards 2024 Panini Select"/>
    <n v="184"/>
    <s v="Ungraded"/>
    <s v="Normal wear"/>
    <m/>
    <s v="https://www.whatnot.com/order/FPqEc5jV3NSTjBSSKH6SCF_x000d__x000a_$1.00 + $0.43 (Shared Shipping) + $0.15 Tax = Total of $1.57"/>
    <n v="157"/>
    <n v="1"/>
    <d v="2026-05-22T00:00:00"/>
    <d v="2026-05-19T00:00:00"/>
    <m/>
    <n v="543"/>
    <m/>
    <s v="Stephen Curry"/>
    <s v="2024 Panini Select"/>
    <s v="Blue"/>
    <s v="7"/>
    <n v="1.84"/>
    <x v="131"/>
    <s v="For Sale"/>
    <n v="1"/>
    <n v="4"/>
    <n v="2"/>
    <n v="1.5"/>
  </r>
  <r>
    <x v="432"/>
    <s v="Stephen Curry #98"/>
    <s v="Basketball Cards 2019 Panini Prizm"/>
    <n v="178"/>
    <s v="Ungraded"/>
    <s v="Normal wear"/>
    <m/>
    <s v="&quot;https://www.whatnot.com/order/2Nc9bVsk5chVoBa3qBE7ru_x000d__x000a_$1.00 + $0.00 (Shared Shipping) + $0.10 Tax = Total of $1.10&quot;"/>
    <n v="110"/>
    <n v="1"/>
    <d v="2026-06-09T00:00:00"/>
    <d v="2026-06-08T00:00:00"/>
    <m/>
    <n v="325"/>
    <m/>
    <s v="Stephen Curry"/>
    <s v="2019 Panini Prizm"/>
    <s v="-"/>
    <s v="98"/>
    <n v="1.78"/>
    <x v="131"/>
    <s v="For Sale"/>
    <n v="1"/>
    <n v="4"/>
    <n v="2"/>
    <n v="1"/>
  </r>
  <r>
    <x v="433"/>
    <s v="Stephen Curry #3"/>
    <s v="Basketball Cards 2024 Panini Revolution Hardwood Legacy"/>
    <n v="171"/>
    <s v="Ungraded"/>
    <s v="Normal wear"/>
    <m/>
    <s v="&quot;https://www.whatnot.com/order/9Nw32iaBQX4B786bgpSBCs_x000d__x000a_$0.00 + $0.21 (Shared Shipping) + $0.02 Tax = Total of $0.23&quot;"/>
    <n v="23"/>
    <n v="1"/>
    <d v="2026-05-12T00:00:00"/>
    <d v="2026-05-06T00:00:00"/>
    <m/>
    <n v="377"/>
    <m/>
    <s v="Stephen Curry"/>
    <s v="2024 Panini Revolution Hardwood Legacy"/>
    <s v="-"/>
    <s v="3"/>
    <n v="1.71"/>
    <x v="131"/>
    <s v="For Sale"/>
    <n v="1"/>
    <n v="4"/>
    <n v="2"/>
    <n v="0.25"/>
  </r>
  <r>
    <x v="434"/>
    <s v="Stephen Curry #163"/>
    <s v="Basketball Cards 2024 Panini Mosaic"/>
    <n v="164"/>
    <s v="Ungraded"/>
    <s v="Normal wear"/>
    <m/>
    <s v="&quot;https://www.whatnot.com/order/7eozouSEnosHtokHHfAAYH_x000d__x000a_$1.67 + $1.02 (Shared Shipping) + $0.28 Tax = Total of $2.97&quot;"/>
    <n v="297"/>
    <n v="1"/>
    <d v="2026-05-12T00:00:00"/>
    <d v="2026-05-08T00:00:00"/>
    <m/>
    <n v="322"/>
    <m/>
    <s v="Stephen Curry"/>
    <s v="2024 Panini Mosaic"/>
    <s v="-"/>
    <s v="163"/>
    <n v="1.64"/>
    <x v="131"/>
    <s v="For Sale"/>
    <n v="1"/>
    <n v="4"/>
    <n v="4"/>
    <n v="1.5"/>
  </r>
  <r>
    <x v="435"/>
    <s v="Stephen Curry #BD-9"/>
    <s v="Basketball Cards 2025 Topps Chrome Ball Of Duty"/>
    <n v="137"/>
    <s v="Ungraded"/>
    <s v="Normal wear"/>
    <m/>
    <s v="&quot;https://www.whatnot.com/order/3hBZtxnc5D7aSBGh5GQwZ2_x000d__x000a_$8.00 + $2.48 (Shared Shipping) + $1.07 Tax = Total of $11.55&quot;"/>
    <n v="1155"/>
    <n v="1"/>
    <d v="2026-05-12T00:00:00"/>
    <d v="2026-05-03T00:00:00"/>
    <m/>
    <n v="337"/>
    <m/>
    <s v="Stephen Curry"/>
    <s v="2025 Topps Chrome Ball Of Duty"/>
    <s v="-"/>
    <s v="BD-9"/>
    <n v="1.37"/>
    <x v="131"/>
    <s v="For Sale"/>
    <n v="1"/>
    <n v="4"/>
    <n v="14"/>
    <n v="1.25"/>
  </r>
  <r>
    <x v="436"/>
    <s v="Steve Francis #118"/>
    <s v="Basketball Cards 1999 Topps NBA Tipoff"/>
    <n v="129"/>
    <s v="Ungraded"/>
    <s v="Normal wear"/>
    <m/>
    <m/>
    <n v="0"/>
    <n v="1"/>
    <d v="2026-04-15T00:00:00"/>
    <m/>
    <m/>
    <n v="471"/>
    <m/>
    <s v="Steve Francis"/>
    <s v="1999 Topps NBA Tipoff"/>
    <s v="-"/>
    <s v="118"/>
    <n v="1.29"/>
    <x v="132"/>
    <s v="For Sale"/>
    <n v="1"/>
    <n v="4"/>
    <n v="1.5"/>
    <n v="1.25"/>
  </r>
  <r>
    <x v="437"/>
    <s v="Tab Ramos #9"/>
    <s v="Soccer Cards 1994 Upper Deck World Cup Soccer"/>
    <n v="199"/>
    <s v="Ungraded"/>
    <s v="Normal wear"/>
    <m/>
    <m/>
    <n v="0"/>
    <n v="1"/>
    <d v="2026-04-17T00:00:00"/>
    <m/>
    <m/>
    <n v="265"/>
    <m/>
    <s v="Tab Ramos"/>
    <s v="1994 Upper Deck World Cup Soccer"/>
    <s v="-"/>
    <s v="9"/>
    <n v="1.99"/>
    <x v="133"/>
    <s v="For Sale"/>
    <n v="1"/>
    <n v="4"/>
    <n v="2.5"/>
    <n v="2"/>
  </r>
  <r>
    <x v="438"/>
    <s v="Terrence Shannon Jr. [Pink Ice] #224"/>
    <s v="Basketball Cards 2024 Panini Prizm"/>
    <n v="175"/>
    <s v="Ungraded"/>
    <s v="Normal wear"/>
    <m/>
    <s v="&quot;https://www.whatnot.com/order/NiQA8q5w6tCKyhf9dhniXs_x000d__x000a_$3.00 + $0.63 (Shared Shipping) + $0.37 Tax = Total of $4.00&quot;"/>
    <n v="400"/>
    <n v="1"/>
    <d v="2026-05-14T00:00:00"/>
    <d v="2026-05-13T00:00:00"/>
    <m/>
    <n v="308"/>
    <m/>
    <s v="Terrence Shannon Jr."/>
    <s v="2024 Panini Prizm"/>
    <s v="Pink Ice"/>
    <s v="224"/>
    <n v="1.75"/>
    <x v="134"/>
    <s v="For Sale"/>
    <n v="1"/>
    <n v="4"/>
    <n v="5"/>
    <n v="2"/>
  </r>
  <r>
    <x v="439"/>
    <s v="Thomas Sorber #15"/>
    <s v="Basketball Cards 2025 Topps Finest"/>
    <n v="100"/>
    <s v="Ungraded"/>
    <s v="Normal wear"/>
    <m/>
    <s v="&quot;https://www.whatnot.com/order/b7cw23wZQThBVqdCqhgC7j_x000d__x000a_$0.00 + $0.00 (Shared Shipping) + $0.00 Tax = Total of $0.00&quot;"/>
    <n v="0"/>
    <n v="1"/>
    <d v="2026-05-15T00:00:00"/>
    <d v="2026-05-14T00:00:00"/>
    <m/>
    <n v="538"/>
    <m/>
    <s v="Thomas Sorber"/>
    <s v="2025 Topps Finest"/>
    <s v="-"/>
    <s v="15"/>
    <n v="1"/>
    <x v="135"/>
    <s v="For Sale"/>
    <n v="1"/>
    <n v="4"/>
    <n v="1"/>
    <n v="1"/>
  </r>
  <r>
    <x v="440"/>
    <s v="Tim Thomas #10"/>
    <s v="Basketball Cards 1997 Ultra Rim Rockers"/>
    <n v="181"/>
    <s v="Ungraded"/>
    <s v="Normal wear"/>
    <m/>
    <m/>
    <n v="0"/>
    <n v="1"/>
    <d v="2026-05-30T00:00:00"/>
    <m/>
    <m/>
    <n v="300"/>
    <m/>
    <s v="Tim Thomas"/>
    <s v="1997 Ultra Rim Rockers"/>
    <s v="-"/>
    <s v="10"/>
    <n v="1.81"/>
    <x v="136"/>
    <s v="For Sale"/>
    <n v="2"/>
    <n v="4"/>
    <n v="2"/>
    <n v="1.5"/>
  </r>
  <r>
    <x v="440"/>
    <s v="Tim Thomas #10"/>
    <s v="Basketball Cards 1997 Ultra Rim Rockers"/>
    <n v="181"/>
    <s v="Ungraded"/>
    <s v="Normal wear"/>
    <m/>
    <m/>
    <n v="0"/>
    <n v="1"/>
    <d v="2026-06-10T00:00:00"/>
    <m/>
    <m/>
    <n v="303"/>
    <m/>
    <s v="Tim Thomas"/>
    <s v="1997 Ultra Rim Rockers"/>
    <s v="-"/>
    <s v="10"/>
    <n v="1.81"/>
    <x v="136"/>
    <s v="For Sale"/>
    <n v="2"/>
    <n v="4"/>
    <n v="2"/>
    <n v="1.5"/>
  </r>
  <r>
    <x v="441"/>
    <s v="Tim Thomas #13"/>
    <s v="Basketball Cards 1997 Ultra All-Rookies"/>
    <n v="71"/>
    <s v="Ungraded"/>
    <s v="Normal wear"/>
    <m/>
    <m/>
    <n v="0"/>
    <n v="1"/>
    <d v="2026-05-31T00:00:00"/>
    <m/>
    <m/>
    <n v="583"/>
    <m/>
    <s v="Tim Thomas"/>
    <s v="1997 Ultra All-Rookies"/>
    <s v="-"/>
    <s v="13"/>
    <n v="0.71"/>
    <x v="136"/>
    <s v="For Sale"/>
    <n v="1"/>
    <n v="4"/>
    <n v="0.75"/>
    <n v="0.5"/>
  </r>
  <r>
    <x v="442"/>
    <s v="Tracy McGrady #82"/>
    <s v="Basketball Cards 1998 SP Authentic"/>
    <n v="155"/>
    <s v="Ungraded"/>
    <s v="Normal wear"/>
    <m/>
    <m/>
    <n v="0"/>
    <n v="1"/>
    <d v="2026-05-07T00:00:00"/>
    <m/>
    <m/>
    <n v="453"/>
    <m/>
    <s v="Tracy McGrady"/>
    <s v="1998 SP Authentic"/>
    <s v="-"/>
    <s v="82"/>
    <n v="1.55"/>
    <x v="137"/>
    <s v="For Sale"/>
    <n v="1"/>
    <n v="4"/>
    <n v="2"/>
    <n v="1.5"/>
  </r>
  <r>
    <x v="443"/>
    <s v="Tracy McGrady #82"/>
    <s v="Basketball Cards 1998 Upper Deck Black Diamond"/>
    <n v="134"/>
    <s v="Ungraded"/>
    <s v="Normal wear"/>
    <m/>
    <m/>
    <n v="0"/>
    <n v="1"/>
    <d v="2026-04-17T00:00:00"/>
    <m/>
    <m/>
    <n v="428"/>
    <m/>
    <s v="Tracy McGrady"/>
    <s v="1998 Upper Deck Black Diamond"/>
    <s v="-"/>
    <s v="82"/>
    <n v="1.34"/>
    <x v="137"/>
    <s v="For Sale"/>
    <n v="1"/>
    <n v="4"/>
    <n v="1.5"/>
    <n v="1.25"/>
  </r>
  <r>
    <x v="444"/>
    <s v="VJ Edgecombe #H163"/>
    <s v="Basketball Cards 2025 Topps Holiday"/>
    <n v="144"/>
    <s v="Ungraded"/>
    <s v="Normal wear"/>
    <m/>
    <s v="&quot;https://www.whatnot.com/order/6QdgQ3vUdPh6pHE5WaqAmr_x000d__x000a_$0.00 + $1.14 (Shared Shipping) + $0.12 Tax = Total of $1.25&quot;"/>
    <n v="125"/>
    <n v="1"/>
    <d v="2026-05-07T00:00:00"/>
    <d v="2026-05-03T00:00:00"/>
    <m/>
    <n v="478"/>
    <m/>
    <s v="VJ Edgecombe"/>
    <s v="2025 Topps Holiday"/>
    <s v="-"/>
    <s v="H163"/>
    <n v="1.44"/>
    <x v="138"/>
    <s v="For Sale"/>
    <n v="1"/>
    <n v="4"/>
    <n v="1.5"/>
    <n v="1.25"/>
  </r>
  <r>
    <x v="445"/>
    <s v="Bolivia #318"/>
    <s v="Soccer Cards 1994 Upper Deck World Cup Soccer"/>
    <n v="0"/>
    <s v="Ungraded"/>
    <s v="Normal wear"/>
    <m/>
    <m/>
    <n v="0"/>
    <n v="1"/>
    <d v="2026-06-13T00:00:00"/>
    <m/>
    <m/>
    <n v="604"/>
    <m/>
    <s v="Bolivia"/>
    <s v="1994 Upper Deck World Cup Soccer"/>
    <s v="-"/>
    <s v="318"/>
    <n v="0"/>
    <x v="139"/>
    <s v="For Sale"/>
    <n v="1"/>
    <n v="5"/>
    <n v="0.25"/>
    <n v="0.25"/>
  </r>
  <r>
    <x v="446"/>
    <s v="Caris LeVert [Orange] #155"/>
    <s v="Basketball Cards 2024 Panini Haunted Hoops"/>
    <n v="25"/>
    <s v="Ungraded"/>
    <s v="Normal wear"/>
    <m/>
    <m/>
    <n v="0"/>
    <n v="1"/>
    <d v="2026-05-30T00:00:00"/>
    <m/>
    <m/>
    <n v="591"/>
    <m/>
    <s v="Caris LeVert"/>
    <s v="2024 Panini Haunted Hoops"/>
    <s v="Orange"/>
    <s v="155"/>
    <n v="0.25"/>
    <x v="140"/>
    <s v="For Sale"/>
    <n v="1"/>
    <n v="5"/>
    <n v="0.25"/>
    <n v="0.25"/>
  </r>
  <r>
    <x v="447"/>
    <s v="Chaz Lanier #218"/>
    <s v="Basketball Cards 2025 Topps NBA Hoops"/>
    <n v="0"/>
    <s v="Ungraded"/>
    <s v="Normal wear"/>
    <m/>
    <m/>
    <n v="0"/>
    <n v="1"/>
    <d v="2026-05-30T00:00:00"/>
    <m/>
    <m/>
    <n v="596"/>
    <m/>
    <s v="Chaz Lanier"/>
    <s v="2025 Topps NBA Hoops"/>
    <s v="-"/>
    <s v="218"/>
    <n v="0"/>
    <x v="141"/>
    <s v="For Sale"/>
    <n v="1"/>
    <n v="5"/>
    <n v="0.25"/>
    <n v="0.25"/>
  </r>
  <r>
    <x v="448"/>
    <s v="Cole Anthony [Avalanche] #56"/>
    <s v="Basketball Cards 2023 Panini Revolution"/>
    <n v="138"/>
    <s v="Ungraded"/>
    <s v="Normal wear"/>
    <m/>
    <m/>
    <n v="0"/>
    <n v="1"/>
    <d v="2026-05-30T00:00:00"/>
    <m/>
    <m/>
    <n v="459"/>
    <m/>
    <s v="Cole Anthony"/>
    <s v="2023 Panini Revolution"/>
    <s v="Avalanche"/>
    <s v="56"/>
    <n v="1.38"/>
    <x v="142"/>
    <s v="For Sale"/>
    <n v="1"/>
    <n v="5"/>
    <n v="1.5"/>
    <n v="1.25"/>
  </r>
  <r>
    <x v="449"/>
    <s v="Cole Anthony #91"/>
    <s v="Basketball Cards 2025 Topps"/>
    <n v="56"/>
    <s v="Ungraded"/>
    <s v="Normal wear"/>
    <m/>
    <m/>
    <n v="0"/>
    <n v="1"/>
    <d v="2026-05-30T00:00:00"/>
    <m/>
    <m/>
    <n v="581"/>
    <m/>
    <s v="Cole Anthony"/>
    <s v="2025 Topps"/>
    <s v="-"/>
    <s v="91"/>
    <n v="0.56000000000000005"/>
    <x v="142"/>
    <s v="For Sale"/>
    <n v="1"/>
    <n v="5"/>
    <n v="0.5"/>
    <n v="0.5"/>
  </r>
  <r>
    <x v="450"/>
    <s v="Craig Lefferts #162"/>
    <s v="Baseball Cards 1992 Donruss"/>
    <n v="25"/>
    <s v="Ungraded"/>
    <s v="Normal wear"/>
    <m/>
    <m/>
    <n v="0"/>
    <n v="1"/>
    <d v="2026-05-30T00:00:00"/>
    <m/>
    <m/>
    <n v="589"/>
    <m/>
    <s v="Craig Lefferts"/>
    <s v="1992 Donruss"/>
    <s v="-"/>
    <s v="162"/>
    <n v="0.25"/>
    <x v="143"/>
    <s v="For Sale"/>
    <n v="1"/>
    <n v="5"/>
    <n v="0.25"/>
    <n v="0.25"/>
  </r>
  <r>
    <x v="451"/>
    <s v="Dalton Schultz #118"/>
    <s v="Football Cards 2025 Topps Chrome"/>
    <n v="20"/>
    <s v="Ungraded"/>
    <s v="Normal wear"/>
    <m/>
    <m/>
    <n v="0"/>
    <n v="1"/>
    <d v="2026-05-30T00:00:00"/>
    <m/>
    <m/>
    <n v="580"/>
    <m/>
    <s v="Dalton Schultz"/>
    <s v="2025 Topps Chrome"/>
    <s v="-"/>
    <s v="118"/>
    <n v="0.2"/>
    <x v="144"/>
    <s v="For Sale"/>
    <n v="1"/>
    <n v="5"/>
    <n v="0.25"/>
    <n v="0.25"/>
  </r>
  <r>
    <x v="452"/>
    <s v="Dereck Lively II [Green White Purple Prizm] #26"/>
    <s v="Basketball Cards 2024 Panini Select"/>
    <n v="99"/>
    <s v="Ungraded"/>
    <s v="Normal wear"/>
    <m/>
    <s v="&quot;https://www.whatnot.com/order/4LCZQZfaVVhJG2pKsSRhXY_x000d__x000a_$0.00 + $0.63 (Shared Shipping) + $0.06 Tax = Total of $0.69&quot;"/>
    <n v="69"/>
    <n v="1"/>
    <d v="2026-05-14T00:00:00"/>
    <d v="2026-05-13T00:00:00"/>
    <m/>
    <n v="556"/>
    <m/>
    <s v="Dereck Lively II"/>
    <s v="2024 Panini Select"/>
    <s v="Green White Purple Prizm"/>
    <s v="26"/>
    <n v="0.99"/>
    <x v="145"/>
    <s v="For Sale"/>
    <n v="1"/>
    <n v="5"/>
    <n v="1"/>
    <n v="0.5"/>
  </r>
  <r>
    <x v="453"/>
    <s v="Draymond Green [Rainbow Red Orange] #120"/>
    <s v="Basketball Cards 2025 Topps NBA Hoops"/>
    <n v="0"/>
    <s v="Ungraded"/>
    <s v="Normal wear"/>
    <m/>
    <s v="&quot;https://www.whatnot.com/order/A7skqPgdXNgH85B2zYMLjL_x000d__x000a_$1.00 + $0.35 (Shared Shipping) + $0.14 Tax = Total of $1.48&quot;"/>
    <n v="148"/>
    <n v="1"/>
    <d v="2026-05-22T00:00:00"/>
    <d v="2026-05-15T00:00:00"/>
    <m/>
    <n v="610"/>
    <m/>
    <s v="Draymond Green"/>
    <s v="2025 Topps NBA Hoops"/>
    <s v="Rainbow Red Orange"/>
    <s v="120"/>
    <n v="0"/>
    <x v="146"/>
    <s v="For Sale"/>
    <n v="1"/>
    <n v="5"/>
    <n v="2"/>
    <n v="0.25"/>
  </r>
  <r>
    <x v="454"/>
    <s v="Eddie Jones #4"/>
    <s v="Basketball Cards 1994 Ultra All Rookies"/>
    <n v="115"/>
    <s v="Ungraded"/>
    <s v="Normal wear"/>
    <m/>
    <m/>
    <n v="0"/>
    <n v="1"/>
    <d v="2026-04-16T00:00:00"/>
    <d v="2026-04-16T00:00:00"/>
    <m/>
    <n v="511"/>
    <m/>
    <s v="Eddie Jones"/>
    <s v="1994 Ultra All Rookies"/>
    <s v="-"/>
    <s v="4"/>
    <n v="1.1499999999999999"/>
    <x v="147"/>
    <s v="For Sale"/>
    <n v="1"/>
    <n v="5"/>
    <n v="1.25"/>
    <n v="1"/>
  </r>
  <r>
    <x v="455"/>
    <s v="Eddie Jones #FB9"/>
    <s v="Basketball Cards 1996 Upper Deck Fast Break Connection"/>
    <n v="0"/>
    <s v="Ungraded"/>
    <s v="Normal wear"/>
    <m/>
    <m/>
    <n v="0"/>
    <n v="1"/>
    <d v="2026-04-16T00:00:00"/>
    <d v="2026-04-16T00:00:00"/>
    <m/>
    <n v="612"/>
    <m/>
    <s v="Eddie Jones"/>
    <s v="1996 Upper Deck Fast Break Connection"/>
    <s v="-"/>
    <s v="FB9"/>
    <n v="0"/>
    <x v="147"/>
    <s v="For Sale"/>
    <n v="1"/>
    <n v="5"/>
    <n v="0.25"/>
    <n v="0.25"/>
  </r>
  <r>
    <x v="456"/>
    <s v="Gheorghe MureÈ™an #G20"/>
    <s v="Basketball Cards 1996 Upper Deck Generation Excitement"/>
    <n v="0"/>
    <s v="Ungraded"/>
    <s v="Normal wear"/>
    <m/>
    <m/>
    <n v="0"/>
    <n v="1"/>
    <d v="2026-05-30T00:00:00"/>
    <m/>
    <m/>
    <n v="597"/>
    <m/>
    <s v="Gheorghe MureÈ™an"/>
    <s v="1996 Upper Deck Generation Excitement"/>
    <s v="-"/>
    <s v="G20"/>
    <n v="0"/>
    <x v="148"/>
    <s v="For Sale"/>
    <n v="1"/>
    <n v="5"/>
    <n v="0.25"/>
    <n v="0.25"/>
  </r>
  <r>
    <x v="457"/>
    <s v="Italy #320"/>
    <s v="Soccer Cards 1994 Upper Deck World Cup Soccer"/>
    <n v="99"/>
    <s v="Ungraded"/>
    <s v="Normal wear"/>
    <m/>
    <m/>
    <n v="0"/>
    <n v="1"/>
    <d v="2026-06-13T00:00:00"/>
    <m/>
    <m/>
    <n v="601"/>
    <m/>
    <s v="Italy"/>
    <s v="1994 Upper Deck World Cup Soccer"/>
    <s v="-"/>
    <s v="320"/>
    <n v="0.99"/>
    <x v="149"/>
    <s v="For Sale"/>
    <n v="1"/>
    <n v="5"/>
    <n v="1"/>
    <n v="0.75"/>
  </r>
  <r>
    <x v="458"/>
    <s v="James Harden [Orange Hoops] #71"/>
    <s v="Basketball Cards 2025 Topps NBA Hoops"/>
    <n v="0"/>
    <s v="Ungraded"/>
    <s v="Normal wear"/>
    <m/>
    <s v="&quot;https://www.whatnot.com/order/adbiydZbLLFo8x6jprPUeB_x000d__x000a_$1.00 + $0.43 (Shared Shipping) + $0.15 Tax = Total of $1.57&quot;"/>
    <n v="157"/>
    <n v="1"/>
    <d v="2026-05-22T00:00:00"/>
    <d v="2026-05-19T00:00:00"/>
    <m/>
    <n v="606"/>
    <m/>
    <s v="James Harden"/>
    <s v="2025 Topps NBA Hoops"/>
    <s v="Orange Hoops"/>
    <s v="71"/>
    <n v="0"/>
    <x v="150"/>
    <s v="For Sale"/>
    <n v="1"/>
    <n v="5"/>
    <n v="2"/>
    <n v="0.25"/>
  </r>
  <r>
    <x v="459"/>
    <s v="John Doyle #5"/>
    <s v="Soccer Cards 1994 Upper Deck World Cup Soccer"/>
    <n v="99"/>
    <s v="Ungraded"/>
    <s v="Normal wear"/>
    <m/>
    <m/>
    <n v="0"/>
    <n v="1"/>
    <d v="2026-04-17T00:00:00"/>
    <m/>
    <m/>
    <n v="555"/>
    <m/>
    <s v="John Doyle"/>
    <s v="1994 Upper Deck World Cup Soccer"/>
    <s v="-"/>
    <s v="5"/>
    <n v="0.99"/>
    <x v="151"/>
    <s v="For Sale"/>
    <n v="1"/>
    <n v="5"/>
    <n v="1"/>
    <n v="0.75"/>
  </r>
  <r>
    <x v="460"/>
    <s v="Jrue Holiday [Blue] #200"/>
    <s v="Basketball Cards 2023 Panini Hoops"/>
    <n v="99"/>
    <s v="Ungraded"/>
    <s v="Normal wear"/>
    <m/>
    <m/>
    <n v="0"/>
    <n v="1"/>
    <d v="2026-05-30T00:00:00"/>
    <m/>
    <m/>
    <n v="575"/>
    <m/>
    <s v="Jrue Holiday"/>
    <s v="2023 Panini Hoops"/>
    <s v="Blue"/>
    <s v="200"/>
    <n v="0.99"/>
    <x v="152"/>
    <s v="For Sale"/>
    <n v="1"/>
    <n v="5"/>
    <n v="1"/>
    <n v="0.75"/>
  </r>
  <r>
    <x v="461"/>
    <s v="Karl-Anthony Towns [Purple] #12"/>
    <s v="Basketball Cards 2025 Topps Match Attax"/>
    <n v="0"/>
    <s v="Ungraded"/>
    <s v="Normal wear"/>
    <m/>
    <m/>
    <n v="0"/>
    <n v="1"/>
    <d v="2026-06-13T00:00:00"/>
    <m/>
    <m/>
    <n v="598"/>
    <m/>
    <s v="Karl-Anthony Towns"/>
    <s v="2025 Topps Match Attax"/>
    <s v="Purple"/>
    <s v="12"/>
    <n v="0"/>
    <x v="153"/>
    <s v="For Sale"/>
    <n v="1"/>
    <n v="5"/>
    <n v="0.25"/>
    <n v="0.25"/>
  </r>
  <r>
    <x v="462"/>
    <s v="Kyle Pitts #14"/>
    <s v="Football Cards 2025 Topps Chrome"/>
    <n v="80"/>
    <s v="Ungraded"/>
    <s v="Normal wear"/>
    <m/>
    <m/>
    <n v="0"/>
    <n v="1"/>
    <d v="2026-05-30T00:00:00"/>
    <m/>
    <m/>
    <n v="579"/>
    <m/>
    <s v="Kyle Pitts"/>
    <s v="2025 Topps Chrome"/>
    <s v="-"/>
    <s v="14"/>
    <n v="0.8"/>
    <x v="154"/>
    <s v="For Sale"/>
    <n v="1"/>
    <n v="5"/>
    <n v="0.75"/>
    <n v="0.75"/>
  </r>
  <r>
    <x v="463"/>
    <s v="Lamar Jackson [Green Hyper] #144"/>
    <s v="Football Cards 2025 Panini Phoenix"/>
    <n v="0"/>
    <s v="Ungraded"/>
    <s v="Normal wear"/>
    <m/>
    <s v="&quot;https://www.whatnot.com/order/moNYfWFRzgHft49zVDK7Ba_x000d__x000a_$2.00 + $0.28 (Shared Shipping) + $0.23 Tax = Total of $2.51&quot;"/>
    <n v="251"/>
    <n v="1"/>
    <d v="2026-05-15T00:00:00"/>
    <d v="2026-05-14T00:00:00"/>
    <m/>
    <n v="609"/>
    <m/>
    <s v="Lamar Jackson"/>
    <s v="2025 Panini Phoenix"/>
    <s v="Green Hyper"/>
    <s v="144"/>
    <n v="0"/>
    <x v="155"/>
    <s v="For Sale"/>
    <n v="1"/>
    <n v="5"/>
    <n v="3"/>
    <n v="0.25"/>
  </r>
  <r>
    <x v="464"/>
    <s v="Michael Doleac [Double] #114"/>
    <s v="Basketball Cards 1998 Upper Deck Black Diamond"/>
    <n v="0"/>
    <s v="Ungraded"/>
    <s v="Normal wear"/>
    <m/>
    <m/>
    <n v="0"/>
    <n v="1"/>
    <d v="2026-05-31T00:00:00"/>
    <m/>
    <m/>
    <n v="600"/>
    <m/>
    <s v="Michael Doleac"/>
    <s v="1998 Upper Deck Black Diamond"/>
    <s v="Double"/>
    <s v="114"/>
    <n v="0"/>
    <x v="156"/>
    <s v="For Sale"/>
    <n v="1"/>
    <n v="5"/>
    <n v="0.25"/>
    <n v="0.25"/>
  </r>
  <r>
    <x v="465"/>
    <s v="Nolan Ryan #21"/>
    <s v="Baseball Cards 1992 Donruss Coca Cola Nolan Ryan"/>
    <n v="130"/>
    <s v="Ungraded"/>
    <s v="Normal wear"/>
    <m/>
    <m/>
    <n v="0"/>
    <n v="1"/>
    <d v="2026-05-30T00:00:00"/>
    <m/>
    <m/>
    <n v="470"/>
    <m/>
    <s v="Nolan Ryan"/>
    <s v="1992 Donruss Coca Cola Nolan Ryan"/>
    <s v="-"/>
    <s v="21"/>
    <n v="1.3"/>
    <x v="157"/>
    <s v="For Sale"/>
    <n v="1"/>
    <n v="5"/>
    <n v="1.5"/>
    <n v="1.25"/>
  </r>
  <r>
    <x v="466"/>
    <s v="Nolan Ryan [Fitted for a Halo] #6"/>
    <s v="Baseball Cards 1992 Donruss Coca Cola Nolan Ryan"/>
    <n v="25"/>
    <s v="Ungraded"/>
    <s v="Normal wear"/>
    <m/>
    <m/>
    <n v="0"/>
    <n v="1"/>
    <d v="2026-05-30T00:00:00"/>
    <m/>
    <m/>
    <n v="588"/>
    <m/>
    <s v="Nolan Ryan"/>
    <s v="1992 Donruss Coca Cola Nolan Ryan"/>
    <s v="Fitted for a Halo"/>
    <s v="6"/>
    <n v="0.25"/>
    <x v="157"/>
    <s v="For Sale"/>
    <n v="1"/>
    <n v="5"/>
    <n v="0.25"/>
    <n v="0.25"/>
  </r>
  <r>
    <x v="467"/>
    <s v="Romario #326"/>
    <s v="Soccer Cards 1994 Upper Deck World Cup Soccer"/>
    <n v="0"/>
    <s v="Ungraded"/>
    <s v="Normal wear"/>
    <m/>
    <m/>
    <n v="0"/>
    <n v="1"/>
    <d v="2026-04-17T00:00:00"/>
    <m/>
    <m/>
    <n v="611"/>
    <m/>
    <s v="Romario"/>
    <s v="1994 Upper Deck World Cup Soccer"/>
    <s v="-"/>
    <s v="326"/>
    <n v="0"/>
    <x v="158"/>
    <s v="For Sale"/>
    <n v="1"/>
    <n v="5"/>
    <n v="0.25"/>
    <n v="0.25"/>
  </r>
  <r>
    <x v="468"/>
    <s v="Statistics Keycard #276"/>
    <s v="Soccer Cards 1994 Upper Deck World Cup Soccer"/>
    <n v="0"/>
    <s v="Ungraded"/>
    <s v="Normal wear"/>
    <m/>
    <m/>
    <n v="0"/>
    <n v="1"/>
    <d v="2026-04-17T00:00:00"/>
    <m/>
    <m/>
    <n v="613"/>
    <m/>
    <s v="Statistics Keycard"/>
    <s v="1994 Upper Deck World Cup Soccer"/>
    <s v="-"/>
    <s v="276"/>
    <n v="0"/>
    <x v="159"/>
    <s v="For Sale"/>
    <n v="1"/>
    <n v="5"/>
    <n v="0.25"/>
    <n v="0.25"/>
  </r>
  <r>
    <x v="469"/>
    <s v="Tidjane Salaun #71"/>
    <s v="Basketball Cards 2025 Topps"/>
    <n v="99"/>
    <s v="Ungraded"/>
    <s v="Normal wear"/>
    <m/>
    <s v="&quot;https://www.whatnot.com/order/Xz3tx8zp8BHqHykj7qkN3x_x000d__x000a_$0.00 + $0.00 (Shared Shipping) + $0.00 Tax = Total of $0.00&quot;"/>
    <n v="0"/>
    <n v="1"/>
    <d v="2026-05-15T00:00:00"/>
    <d v="2026-05-07T00:00:00"/>
    <m/>
    <n v="567"/>
    <m/>
    <s v="Tidjane Salaun"/>
    <s v="2025 Topps"/>
    <s v="-"/>
    <s v="71"/>
    <n v="0.99"/>
    <x v="160"/>
    <s v="For Sale"/>
    <n v="1"/>
    <n v="5"/>
    <n v="1"/>
    <n v="0.75"/>
  </r>
  <r>
    <x v="470"/>
    <s v="Tim Teufel #171"/>
    <s v="Baseball Cards 1992 Donruss"/>
    <n v="25"/>
    <s v="Ungraded"/>
    <s v="Normal wear"/>
    <m/>
    <m/>
    <n v="0"/>
    <n v="1"/>
    <d v="2026-05-30T00:00:00"/>
    <m/>
    <m/>
    <n v="592"/>
    <m/>
    <s v="Tim Teufel"/>
    <s v="1992 Donruss"/>
    <s v="-"/>
    <s v="171"/>
    <n v="0.25"/>
    <x v="161"/>
    <s v="For Sale"/>
    <n v="1"/>
    <n v="5"/>
    <n v="0.25"/>
    <n v="0.25"/>
  </r>
  <r>
    <x v="471"/>
    <s v="Wim Jonk #181"/>
    <s v="Soccer Cards 1994 Upper Deck World Cup Soccer"/>
    <n v="0"/>
    <s v="Ungraded"/>
    <s v="Normal wear"/>
    <m/>
    <m/>
    <n v="0"/>
    <n v="1"/>
    <d v="2026-06-13T00:00:00"/>
    <m/>
    <m/>
    <n v="607"/>
    <m/>
    <s v="Wim Jonk"/>
    <s v="1994 Upper Deck World Cup Soccer"/>
    <s v="-"/>
    <s v="181"/>
    <n v="0"/>
    <x v="162"/>
    <s v="For Sale"/>
    <n v="1"/>
    <n v="5"/>
    <n v="0.25"/>
    <n v="0.25"/>
  </r>
  <r>
    <x v="472"/>
    <s v="Zetti #83"/>
    <s v="Soccer Cards 1994 Upper Deck World Cup Soccer"/>
    <n v="25"/>
    <s v="Ungraded"/>
    <s v="Normal wear"/>
    <m/>
    <m/>
    <n v="0"/>
    <n v="1"/>
    <d v="2026-06-13T00:00:00"/>
    <m/>
    <m/>
    <n v="590"/>
    <m/>
    <s v="Zetti"/>
    <s v="1994 Upper Deck World Cup Soccer"/>
    <s v="-"/>
    <s v="83"/>
    <n v="0.25"/>
    <x v="163"/>
    <s v="For Sale"/>
    <n v="1"/>
    <n v="5"/>
    <n v="0.25"/>
    <n v="0.25"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  <r>
    <x v="473"/>
    <m/>
    <m/>
    <m/>
    <m/>
    <m/>
    <m/>
    <m/>
    <m/>
    <m/>
    <m/>
    <m/>
    <m/>
    <m/>
    <m/>
    <m/>
    <m/>
    <m/>
    <m/>
    <m/>
    <x v="164"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s v="R"/>
    <x v="0"/>
    <d v="2026-05-03T00:00:00"/>
    <n v="33"/>
    <n v="7"/>
    <n v="4.1100000000000003"/>
    <n v="1.1399999999999999"/>
    <s v="Wembanyama"/>
    <n v="6059255"/>
    <n v="108"/>
    <s v="https://www.whatnot.com/order/Hqs3wb8GAkuyHj9LA3xEdv"/>
    <s v="whatnot.com/order/Hqs3wb8GAkuyHj9LA3xEdv_x000a_$7.00 + $1.14 (Shared Shipping) + $0.83 Tax = Total of $8.97"/>
    <s v="whatnot.com/order/Hqs3wb8GAkuyHj9LA3xEdv_x000a_$7.00 + $1.14 (Shared Shipping) + $0.83 Tax = Total of $8.97"/>
    <n v="12.25"/>
    <n v="1.1375000000000002"/>
    <n v="8.1374999999999993"/>
    <n v="0.83409374999999986"/>
    <n v="8.9715937499999985"/>
    <n v="6.47"/>
    <n v="-2.5015937499999987"/>
    <n v="1"/>
    <s v="2023 Panini Hoops"/>
    <s v="Victor Wembanyama #298"/>
    <s v="."/>
  </r>
  <r>
    <s v="R"/>
    <x v="0"/>
    <d v="2026-05-03T00:00:00"/>
    <n v="35"/>
    <n v="8"/>
    <n v="0.44"/>
    <n v="0.87"/>
    <s v="Wembanyama"/>
    <n v="12415755"/>
    <n v="90"/>
    <s v="https://www.whatnot.com/order/ATFJnWBvkv75frTYPbgk5o"/>
    <s v="whatnot.com/order/ATFJnWBvkv75frTYPbgk5o_x000a_$8.00 + $1.14 (Shared Shipping) + $0.94 Tax = Total of $10.07"/>
    <s v="whatnot.com/order/ATFJnWBvkv75frTYPbgk5o_x000a_$8.00 + $1.14 (Shared Shipping) + $0.94 Tax = Total of $10.07"/>
    <n v="9.3099999999999987"/>
    <n v="1.1375000000000002"/>
    <n v="9.1374999999999993"/>
    <n v="0.93659374999999989"/>
    <n v="10.074093749999999"/>
    <n v="9.49"/>
    <n v="-0.58409374999999919"/>
    <n v="1"/>
    <s v="2026 Topps Collectors Kit"/>
    <s v="Victor Wembanyama [Wave] #NBA-7"/>
    <s v="."/>
  </r>
  <r>
    <s v="R"/>
    <x v="0"/>
    <d v="2026-05-03T00:00:00"/>
    <n v="44"/>
    <n v="3"/>
    <n v="0"/>
    <n v="0.31"/>
    <s v="James"/>
    <n v="10826665"/>
    <n v="55"/>
    <s v="https://www.whatnot.com/order/R4eDqBQtSQwNRiU33sZje5"/>
    <s v="whatnot.com/order/R4eDqBQtSQwNRiU33sZje5_x000a_$3.00 + $1.14 (Shared Shipping) + $0.42 Tax = Total of $4.56"/>
    <s v="whatnot.com/order/R4eDqBQtSQwNRiU33sZje5_x000a_$3.00 + $1.14 (Shared Shipping) + $0.42 Tax = Total of $4.56"/>
    <n v="3.31"/>
    <n v="1.1375000000000002"/>
    <n v="4.1375000000000002"/>
    <n v="0.42409374999999999"/>
    <n v="4.5615937500000001"/>
    <n v="3.25"/>
    <n v="-1.3115937500000001"/>
    <n v="1"/>
    <s v="2025 Topps"/>
    <s v="LeBron James [Holo Foil] #150"/>
    <s v="."/>
  </r>
  <r>
    <s v="R"/>
    <x v="0"/>
    <d v="2026-05-03T00:00:00"/>
    <s v="Givvy"/>
    <n v="0"/>
    <n v="0"/>
    <n v="0"/>
    <s v="Edgecombe"/>
    <n v="10895833"/>
    <n v="478"/>
    <s v="https://www.whatnot.com/order/6QdgQ3vUdPh6pHE5WaqAmr"/>
    <s v="whatnot.com/order/6QdgQ3vUdPh6pHE5WaqAmr_x000a_$0.00 + $1.14 (Shared Shipping) + $0.12 Tax = Total of $1.25"/>
    <s v="whatnot.com/order/6QdgQ3vUdPh6pHE5WaqAmr_x000a_$0.00 + $1.14 (Shared Shipping) + $0.00 Tax = Total of $1.14"/>
    <n v="0"/>
    <n v="1.1375000000000002"/>
    <n v="1.1375000000000002"/>
    <n v="0"/>
    <n v="1.1375000000000002"/>
    <n v="1.44"/>
    <n v="0.30249999999999977"/>
    <n v="1"/>
    <s v="2025 Topps Holiday"/>
    <s v="VJ Edgecombe #H163"/>
    <s v="."/>
  </r>
  <r>
    <s v="R"/>
    <x v="1"/>
    <d v="2026-05-04T00:00:00"/>
    <n v="144"/>
    <n v="3"/>
    <n v="1.0900000000000001"/>
    <n v="0.42"/>
    <s v="Chet"/>
    <n v="5475661"/>
    <n v="451"/>
    <s v="https://www.whatnot.com/order/7TdKSNvxiGa3Bt8dCiKKbe"/>
    <s v="whatnot.com/order/7TdKSNvxiGa3Bt8dCiKKbe_x000a_$3.00 + $0.45 (Shared Shipping) + $0.35 Tax = Total of $3.81"/>
    <s v="whatnot.com/order/7TdKSNvxiGa3Bt8dCiKKbe_x000a_$3.00 + $0.45 (Shared Shipping) + $0.35 Tax = Total of $3.81"/>
    <n v="4.51"/>
    <n v="0.45454545454545453"/>
    <n v="3.4545454545454546"/>
    <n v="0.35409090909090907"/>
    <n v="3.8086363636363636"/>
    <n v="1.42"/>
    <n v="-2.3886363636363637"/>
    <n v="1"/>
    <s v="2022 Panini Select Rookie Revolution"/>
    <s v="Chet Holmgren #18"/>
    <s v="."/>
  </r>
  <r>
    <s v="R"/>
    <x v="1"/>
    <d v="2026-05-04T00:00:00"/>
    <n v="159"/>
    <n v="4"/>
    <n v="0.3"/>
    <n v="0.45"/>
    <s v="Luka"/>
    <n v="4235113"/>
    <n v="411"/>
    <s v="https://www.whatnot.com/order/A2VyUVWvtd6f5zu7wQpMgK"/>
    <s v="whatnot.com/order/A2VyUVWvtd6f5zu7wQpMgK_x000a_$4.00 + $0.45 (Shared Shipping) + $0.46 Tax = Total of $4.91"/>
    <s v="whatnot.com/order/A2VyUVWvtd6f5zu7wQpMgK_x000a_$4.00 + $0.45 (Shared Shipping) + $0.46 Tax = Total of $4.91"/>
    <n v="4.75"/>
    <n v="0.45454545454545453"/>
    <n v="4.4545454545454541"/>
    <n v="0.45659090909090905"/>
    <n v="4.9111363636363627"/>
    <n v="1.27"/>
    <n v="-3.6411363636363627"/>
    <n v="1"/>
    <s v="2021 Panini Select"/>
    <s v="Luka Doncic [Blue Prizm] #12"/>
    <s v="."/>
  </r>
  <r>
    <s v="R"/>
    <x v="1"/>
    <d v="2026-05-04T00:00:00"/>
    <n v="223"/>
    <n v="4"/>
    <n v="2.96"/>
    <n v="0.71"/>
    <s v="Luka"/>
    <n v="4116797"/>
    <n v="397"/>
    <s v="https://www.whatnot.com/order/UfG2uFVzbc3XCQZDoAnZnQ"/>
    <s v="whatnot.com/order/UfG2uFVzbc3XCQZDoAnZnQ_x000a_$4.00 + $0.45 (Shared Shipping) + $0.46 Tax = Total of $4.91"/>
    <s v="whatnot.com/order/UfG2uFVzbc3XCQZDoAnZnQ_x000a_$4.00 + $0.45 (Shared Shipping) + $0.46 Tax = Total of $4.91"/>
    <n v="7.67"/>
    <n v="0.45454545454545453"/>
    <n v="4.4545454545454541"/>
    <n v="0.45659090909090905"/>
    <n v="4.9111363636363627"/>
    <n v="1.55"/>
    <n v="-3.3611363636363629"/>
    <n v="1"/>
    <s v="2021 Panini Donruss Optic Splash"/>
    <s v="Luka Doncic #4"/>
    <s v="."/>
  </r>
  <r>
    <s v="R"/>
    <x v="1"/>
    <d v="2026-05-04T00:00:00"/>
    <n v="233"/>
    <n v="3"/>
    <n v="0.45"/>
    <n v="0.36"/>
    <s v="Cade"/>
    <n v="3782640"/>
    <n v="328"/>
    <s v="https://www.whatnot.com/order/JieocTtxhoCCzfkGLnBz49"/>
    <s v="whatnot.com/order/JieocTtxhoCCzfkGLnBz49_x000a_$3.00 + $0.45 (Shared Shipping) + $0.35 Tax = Total of $3.81"/>
    <s v="whatnot.com/order/JieocTtxhoCCzfkGLnBz49_x000a_$3.00 + $0.45 (Shared Shipping) + $0.35 Tax = Total of $3.81"/>
    <n v="3.81"/>
    <n v="0.45454545454545453"/>
    <n v="3.4545454545454546"/>
    <n v="0.35409090909090907"/>
    <n v="3.8086363636363636"/>
    <n v="1.46"/>
    <n v="-2.3486363636363636"/>
    <n v="1"/>
    <s v="2021 Panini Prizm Emergent"/>
    <s v="Cade Cunningham #22"/>
    <s v="."/>
  </r>
  <r>
    <s v="R"/>
    <x v="1"/>
    <d v="2026-05-04T00:00:00"/>
    <n v="234"/>
    <n v="3"/>
    <n v="0"/>
    <n v="0.31"/>
    <s v="Luka"/>
    <n v="5289892"/>
    <n v="311"/>
    <s v="https://www.whatnot.com/order/YdoZr7RTzDToYz6PByf22R"/>
    <s v="whatnot.com/order/YdoZr7RTzDToYz6PByf22R_x000a_$3.00 + $0.45 (Shared Shipping) + $0.35 Tax = Total of $3.81"/>
    <s v="whatnot.com/order/YdoZr7RTzDToYz6PByf22R_x000a_$3.00 + $0.45 (Shared Shipping) + $0.35 Tax = Total of $3.81"/>
    <n v="3.31"/>
    <n v="0.45454545454545453"/>
    <n v="3.4545454545454546"/>
    <n v="0.35409090909090907"/>
    <n v="3.8086363636363636"/>
    <n v="1.86"/>
    <n v="-1.9486363636363635"/>
    <n v="1"/>
    <s v="2022 Panini Donruss Optic T Minus 3 2 1"/>
    <s v="Luka Doncic [Purple] #7"/>
    <s v="."/>
  </r>
  <r>
    <s v="R"/>
    <x v="1"/>
    <d v="2026-05-04T00:00:00"/>
    <n v="242"/>
    <n v="1"/>
    <n v="0"/>
    <n v="0.11"/>
    <s v="Gafford"/>
    <n v="11473930"/>
    <n v="134"/>
    <s v="https://www.whatnot.com/order/fsZrqS9c5o3n2dqHjHqttF"/>
    <s v="whatnot.com/order/fsZrqS9c5o3n2dqHjHqttF_x000a_$1.00 + $0.45 (Shared Shipping) + $0.15 Tax = Total of $1.60"/>
    <s v="whatnot.com/order/fsZrqS9c5o3n2dqHjHqttF_x000a_$1.00 + $0.45 (Shared Shipping) + $0.15 Tax = Total of $1.60"/>
    <n v="1.1100000000000001"/>
    <n v="0.45454545454545453"/>
    <n v="1.4545454545454546"/>
    <n v="0.14909090909090908"/>
    <n v="1.6036363636363637"/>
    <n v="4.01"/>
    <n v="2.4063636363636363"/>
    <n v="1"/>
    <s v="2025 Topps Chrome"/>
    <s v="Daniel Gafford [Purple Refractor] #78"/>
    <s v="."/>
  </r>
  <r>
    <s v="R"/>
    <x v="1"/>
    <d v="2026-05-04T00:00:00"/>
    <n v="276"/>
    <n v="1"/>
    <n v="0.2"/>
    <n v="0.12"/>
    <s v="Murray"/>
    <n v="5178537"/>
    <n v="394"/>
    <s v="https://www.whatnot.com/order/XWP5KdeeCdt8TKjdVmH5ek"/>
    <s v="whatnot.com/order/XWP5KdeeCdt8TKjdVmH5ek_x000a_$1.00 + $0.45 (Shared Shipping) + $0.15 Tax = Total of $1.60"/>
    <s v="whatnot.com/order/XWP5KdeeCdt8TKjdVmH5ek_x000a_$1.00 + $0.45 (Shared Shipping) + $0.15 Tax = Total of $1.60"/>
    <n v="1.3199999999999998"/>
    <n v="0.45454545454545453"/>
    <n v="1.4545454545454546"/>
    <n v="0.14909090909090908"/>
    <n v="1.6036363636363637"/>
    <n v="1.55"/>
    <n v="-5.3636363636363704E-2"/>
    <n v="1"/>
    <s v="2022 Panini Contenders Suite Shots"/>
    <s v="Jamal Murray #9"/>
    <s v="."/>
  </r>
  <r>
    <s v="R"/>
    <x v="1"/>
    <d v="2026-05-04T00:00:00"/>
    <n v="289"/>
    <n v="4"/>
    <n v="0"/>
    <n v="0.41"/>
    <s v="Luka"/>
    <n v="5463744"/>
    <n v="584"/>
    <s v="https://www.whatnot.com/order/hQVu9JLwFefwSJcu3QwY6E"/>
    <s v="whatnot.com/order/hQVu9JLwFefwSJcu3QwY6E_x000a_$4.00 + $0.45 (Shared Shipping) + $0.46 Tax = Total of $4.91"/>
    <s v="whatnot.com/order/hQVu9JLwFefwSJcu3QwY6E_x000a_$4.00 + $0.45 (Shared Shipping) + $0.46 Tax = Total of $4.91"/>
    <n v="4.41"/>
    <n v="0.45454545454545453"/>
    <n v="4.4545454545454541"/>
    <n v="0.45659090909090905"/>
    <n v="4.9111363636363627"/>
    <n v="0.62"/>
    <n v="-4.2911363636363626"/>
    <n v="1"/>
    <s v="2022 Panini Select"/>
    <s v="Luka Doncic #151"/>
    <s v="."/>
  </r>
  <r>
    <s v="R"/>
    <x v="1"/>
    <d v="2026-05-04T00:00:00"/>
    <n v="293"/>
    <n v="2"/>
    <n v="0"/>
    <n v="0.21"/>
    <s v="Jokic"/>
    <n v="10190248"/>
    <n v="443"/>
    <s v="https://www.whatnot.com/order/HWhpJLX6J4h4DZZVCaeVYr"/>
    <s v="whatnot.com/order/HWhpJLX6J4h4DZZVCaeVYr_x000a_$2.00 + $0.45 (Shared Shipping) + $0.25 Tax = Total of $2.71"/>
    <s v="whatnot.com/order/HWhpJLX6J4h4DZZVCaeVYr_x000a_$2.00 + $0.45 (Shared Shipping) + $0.25 Tax = Total of $2.71"/>
    <n v="2.21"/>
    <n v="0.45454545454545453"/>
    <n v="2.4545454545454546"/>
    <n v="0.25159090909090909"/>
    <n v="2.7061363636363636"/>
    <n v="1.47"/>
    <n v="-1.2361363636363636"/>
    <n v="1"/>
    <s v="2024 Panini Donruss Optic"/>
    <s v="Nikola Jokic [Hyper Pink] #100"/>
    <s v="."/>
  </r>
  <r>
    <s v="R"/>
    <x v="1"/>
    <d v="2026-05-04T00:00:00"/>
    <n v="302"/>
    <n v="5"/>
    <n v="0"/>
    <n v="0.52"/>
    <s v="Reaves"/>
    <n v="3727445"/>
    <n v="274"/>
    <s v="https://www.whatnot.com/order/o3mHoMSnpC2X8C3j6r4tiK"/>
    <s v="whatnot.com/order/o3mHoMSnpC2X8C3j6r4tiK_x000a_$5.00 + $0.45 (Shared Shipping) + $0.56 Tax = Total of $6.01"/>
    <s v="whatnot.com/order/o3mHoMSnpC2X8C3j6r4tiK_x000a_$5.00 + $0.45 (Shared Shipping) + $0.56 Tax = Total of $6.01"/>
    <n v="5.52"/>
    <n v="0.45454545454545453"/>
    <n v="5.4545454545454541"/>
    <n v="0.55909090909090897"/>
    <n v="6.0136363636363628"/>
    <n v="2.37"/>
    <n v="-3.6436363636363627"/>
    <n v="1"/>
    <s v="2021 Panini Prizm"/>
    <s v="Austin Reaves #165"/>
    <s v="."/>
  </r>
  <r>
    <s v="R"/>
    <x v="1"/>
    <d v="2026-05-04T00:00:00"/>
    <n v="352"/>
    <n v="5"/>
    <n v="0"/>
    <n v="0.52"/>
    <s v="Ant"/>
    <n v="3401118"/>
    <n v="290"/>
    <s v="https://www.whatnot.com/order/3bymbw4YA5kuEYFfvvyWw2"/>
    <s v="whatnot.com/order/3bymbw4YA5kuEYFfvvyWw2_x000a_$5.00 + $0.45 (Shared Shipping) + $0.56 Tax = Total of $6.01"/>
    <s v="whatnot.com/order/3bymbw4YA5kuEYFfvvyWw2_x000a_$5.00 + $0.45 (Shared Shipping) + $0.56 Tax = Total of $6.01"/>
    <n v="5.52"/>
    <n v="0.45454545454545453"/>
    <n v="5.4545454545454541"/>
    <n v="0.55909090909090897"/>
    <n v="6.0136363636363628"/>
    <n v="1.7"/>
    <n v="-4.3136363636363626"/>
    <n v="1"/>
    <s v="2020 Panini Prizm Emergent"/>
    <s v="Anthony Edwards #3"/>
    <s v="."/>
  </r>
  <r>
    <s v="R"/>
    <x v="2"/>
    <d v="2026-05-03T00:00:00"/>
    <n v="44"/>
    <n v="3"/>
    <n v="0.78"/>
    <n v="0.39"/>
    <s v="Luka"/>
    <n v="4166936"/>
    <n v="474"/>
    <s v="https://www.whatnot.com/order/gS3Pko5Lnk9cRAzYzXbJeF"/>
    <s v="whatnot.com/order/gS3Pko5Lnk9cRAzYzXbJeF_x000a_$3.00 + $0.36 (Shared Shipping) + $0.34 Tax = Total of $3.71"/>
    <s v="whatnot.com/order/gS3Pko5Lnk9cRAzYzXbJeF_x000a_$3.00 + $0.36 (Shared Shipping) + $0.34 Tax = Total of $3.71"/>
    <n v="4.17"/>
    <n v="0.36333333333333334"/>
    <n v="3.3633333333333333"/>
    <n v="0.34474166666666667"/>
    <n v="3.708075"/>
    <n v="1.3"/>
    <n v="-2.4080750000000002"/>
    <n v="1"/>
    <s v="2021 Panini Chronicles"/>
    <s v="Luka Doncic #304"/>
    <s v="."/>
  </r>
  <r>
    <s v="R"/>
    <x v="2"/>
    <d v="2026-05-03T00:00:00"/>
    <n v="47"/>
    <n v="1"/>
    <n v="0.31"/>
    <n v="0.15"/>
    <s v="Curry"/>
    <n v="10210235"/>
    <n v="278"/>
    <s v="https://www.whatnot.com/order/MBKbDgY5r4SpwfRrdpBamt"/>
    <s v="whatnot.com/order/MBKbDgY5r4SpwfRrdpBamt_x000a_$1.00 + $0.36 (Shared Shipping) + $0.14 Tax = Total of $1.50"/>
    <s v="whatnot.com/order/MBKbDgY5r4SpwfRrdpBamt_x000a_$1.00 + $0.36 (Shared Shipping) + $0.14 Tax = Total of $1.50"/>
    <n v="1.46"/>
    <n v="0.36333333333333334"/>
    <n v="1.3633333333333333"/>
    <n v="0.13974166666666665"/>
    <n v="1.5030749999999999"/>
    <n v="1.99"/>
    <n v="0.48692500000000005"/>
    <n v="1"/>
    <s v="2024 Panini Donruss Optic Express Lane"/>
    <s v="Stephen Curry [Holo] #13"/>
    <s v="."/>
  </r>
  <r>
    <s v="R"/>
    <x v="2"/>
    <d v="2026-05-03T00:00:00"/>
    <n v="48"/>
    <n v="1"/>
    <n v="0"/>
    <n v="0.11"/>
    <s v="Jokic"/>
    <n v="11496915"/>
    <n v="539"/>
    <s v="https://www.whatnot.com/order/cJNMnCPndL2PTYmXUShR4H"/>
    <s v="whatnot.com/order/cJNMnCPndL2PTYmXUShR4H_x000a_$1.00 + $0.36 (Shared Shipping) + $0.14 Tax = Total of $1.50"/>
    <s v="whatnot.com/order/cJNMnCPndL2PTYmXUShR4H_x000a_$1.00 + $0.36 (Shared Shipping) + $0.14 Tax = Total of $1.50"/>
    <n v="1.1100000000000001"/>
    <n v="0.36333333333333334"/>
    <n v="1.3633333333333333"/>
    <n v="0.13974166666666665"/>
    <n v="1.5030749999999999"/>
    <n v="0.99"/>
    <n v="-0.51307499999999995"/>
    <n v="1"/>
    <s v="2025 Topps Chrome Go Time"/>
    <s v="Nikola Jokic #GT-9"/>
    <s v="."/>
  </r>
  <r>
    <s v="R"/>
    <x v="3"/>
    <d v="2026-05-03T00:00:00"/>
    <n v="1326"/>
    <n v="6"/>
    <n v="1.39"/>
    <n v="0.76"/>
    <s v="Jokic"/>
    <n v="11829461"/>
    <n v="208"/>
    <s v="https://www.whatnot.com/order/Wurw4zw2wFBAE84zbwVyWp"/>
    <s v="whatnot.com/order/Wurw4zw2wFBAE84zbwVyWp_x000a_$6.00 + $2.48 (Shared Shipping) + $0.87 Tax = Total of $9.34"/>
    <s v="whatnot.com/order/Wurw4zw2wFBAE84zbwVyWp_x000a_$6.00 + $2.48 (Shared Shipping) + $0.87 Tax = Total of $9.34"/>
    <n v="8.15"/>
    <n v="2.4750000000000001"/>
    <n v="8.4749999999999996"/>
    <n v="0.86868749999999995"/>
    <n v="9.3436874999999997"/>
    <n v="2.4900000000000002"/>
    <n v="-6.8536874999999995"/>
    <n v="1"/>
    <s v="2025 Topps Match Attax"/>
    <s v="Nikola Jokic [Blue] #60"/>
    <s v="."/>
  </r>
  <r>
    <s v="R"/>
    <x v="3"/>
    <d v="2026-05-03T00:00:00"/>
    <n v="1352"/>
    <n v="8"/>
    <n v="3.56"/>
    <n v="1.18"/>
    <s v="Curry"/>
    <n v="11497213"/>
    <n v="337"/>
    <s v="https://www.whatnot.com/order/3hBZtxnc5D7aSBGh5GQwZ2"/>
    <s v="whatnot.com/order/3hBZtxnc5D7aSBGh5GQwZ2_x000a_$8.00 + $2.48 (Shared Shipping) + $1.07 Tax = Total of $11.55"/>
    <s v="whatnot.com/order/3hBZtxnc5D7aSBGh5GQwZ2_x000a_$8.00 + $2.48 (Shared Shipping) + $1.07 Tax = Total of $11.55"/>
    <n v="12.74"/>
    <n v="2.4750000000000001"/>
    <n v="10.475"/>
    <n v="1.0736874999999999"/>
    <n v="11.5486875"/>
    <n v="1.37"/>
    <n v="-10.178687499999999"/>
    <n v="1"/>
    <s v="2025 Topps Chrome Ball Of Duty"/>
    <s v="Stephen Curry #BD-9"/>
    <s v="."/>
  </r>
  <r>
    <s v="R"/>
    <x v="4"/>
    <d v="2026-05-04T00:00:00"/>
    <n v="216"/>
    <n v="4"/>
    <n v="0"/>
    <n v="0.41"/>
    <s v="Haliburton"/>
    <n v="2478471"/>
    <n v="128"/>
    <s v="https://www.whatnot.com/order/3L3ttnP3dWr4gppLFyVTfw"/>
    <s v="whatnot.com/order/3L3ttnP3dWr4gppLFyVTfw_x000a_$4.00 + $0.00 (Shared Shipping) + $0.41 Tax = Total of $4.41"/>
    <s v="whatnot.com/order/3L3ttnP3dWr4gppLFyVTfw_x000a_$4.00 + $0.00 (Shared Shipping) + $0.41 Tax = Total of $4.41"/>
    <n v="4.41"/>
    <n v="0"/>
    <n v="4"/>
    <n v="0.41"/>
    <n v="4.41"/>
    <n v="3.89"/>
    <n v="-0.52"/>
    <n v="1"/>
    <s v="2020 Panini Clearly Donruss"/>
    <s v="Tyrese Haliburton #75"/>
    <s v="."/>
  </r>
  <r>
    <s v="R"/>
    <x v="4"/>
    <d v="2026-05-04T00:00:00"/>
    <n v="222"/>
    <n v="4"/>
    <n v="0"/>
    <n v="0.41"/>
    <s v="Giannis"/>
    <n v="4838082"/>
    <n v="398"/>
    <s v="https://www.whatnot.com/order/iCNDrAZ6Wd9xsmW5GPkgEJ"/>
    <s v="whatnot.com/order/iCNDrAZ6Wd9xsmW5GPkgEJ_x000a_$4.00 + $0.00 (Shared Shipping) + $0.41 Tax = Total of $4.41"/>
    <s v="whatnot.com/order/iCNDrAZ6Wd9xsmW5GPkgEJ_x000a_$4.00 + $0.00 (Shared Shipping) + $0.41 Tax = Total of $4.41"/>
    <n v="4.41"/>
    <n v="0"/>
    <n v="4"/>
    <n v="0.41"/>
    <n v="4.41"/>
    <n v="1.54"/>
    <n v="-2.87"/>
    <n v="1"/>
    <s v="2022 Panini Donruss"/>
    <s v="Giannis Antetokounmpo [Green Laser] #53"/>
    <s v="."/>
  </r>
  <r>
    <s v="R"/>
    <x v="4"/>
    <d v="2026-05-04T00:00:00"/>
    <n v="235"/>
    <n v="6"/>
    <n v="0"/>
    <n v="0.62"/>
    <s v="Shai"/>
    <n v="4815724"/>
    <n v="239"/>
    <s v="https://www.whatnot.com/order/WpUhCqurDhocnQw9kQLniM"/>
    <s v="whatnot.com/order/WpUhCqurDhocnQw9kQLniM_x000a_$6.00 + $0.00 (Shared Shipping) + $0.62 Tax = Total of $6.62"/>
    <s v="whatnot.com/order/WpUhCqurDhocnQw9kQLniM_x000a_$6.00 + $0.00 (Shared Shipping) + $0.62 Tax = Total of $6.62"/>
    <n v="6.62"/>
    <n v="0"/>
    <n v="6"/>
    <n v="0.61499999999999999"/>
    <n v="6.6150000000000002"/>
    <n v="1.99"/>
    <n v="-4.625"/>
    <n v="1"/>
    <s v="2022 Panini Prizm Draft Picks"/>
    <s v="Shai Gilgeous Alexander [Silver] #43"/>
    <s v="."/>
  </r>
  <r>
    <s v="R"/>
    <x v="5"/>
    <d v="2026-05-05T00:00:00"/>
    <n v="7"/>
    <n v="3"/>
    <n v="4.55"/>
    <n v="0.78"/>
    <s v="Ohtani"/>
    <n v="11881353"/>
    <n v="288"/>
    <s v="https://www.whatnot.com/order/84EtWmjxZp84PtP5CNdWys"/>
    <s v="whatnot.com/order/84EtWmjxZp84PtP5CNdWys_x000a_$3.00 + $2.48 (Shared Shipping) + $0.56 Tax = Total of $6.04"/>
    <s v="whatnot.com/order/84EtWmjxZp84PtP5CNdWys_x000a_$3.00 + $2.48 (Shared Shipping) + $0.56 Tax = Total of $6.04"/>
    <n v="8.33"/>
    <n v="2.4750000000000001"/>
    <n v="5.4749999999999996"/>
    <n v="0.56118749999999995"/>
    <n v="6.0361874999999996"/>
    <n v="1"/>
    <n v="-5.0361874999999996"/>
    <n v="1"/>
    <s v="2026 Topps"/>
    <s v="Shohei Ohtani #200"/>
    <s v="."/>
  </r>
  <r>
    <s v="R"/>
    <x v="5"/>
    <d v="2026-05-05T00:00:00"/>
    <n v="10"/>
    <n v="3"/>
    <n v="0.4"/>
    <n v="0.36"/>
    <s v="Embiid"/>
    <n v="131835"/>
    <n v="125"/>
    <s v="https://www.whatnot.com/order/jhwwvPX5xZkZWVs8CGhFXe"/>
    <s v="whatnot.com/order/jhwwvPX5xZkZWVs8CGhFXe_x000a_$3.00 + $2.48 (Shared Shipping) + $0.56 Tax = Total of $6.04"/>
    <s v="whatnot.com/order/jhwwvPX5xZkZWVs8CGhFXe_x000a_$3.00 + $2.48 (Shared Shipping) + $0.56 Tax = Total of $6.04"/>
    <n v="3.76"/>
    <n v="2.4750000000000001"/>
    <n v="5.4749999999999996"/>
    <n v="0.56118749999999995"/>
    <n v="6.0361874999999996"/>
    <n v="5.56"/>
    <n v="-0.47618749999999999"/>
    <n v="1"/>
    <s v="2014 Panini Hoops"/>
    <s v="Joel Embiid #263"/>
    <s v="."/>
  </r>
  <r>
    <s v="R"/>
    <x v="6"/>
    <d v="2026-05-06T00:00:00"/>
    <n v="93"/>
    <n v="1"/>
    <n v="1.0900000000000001"/>
    <n v="0.22"/>
    <s v="Wade"/>
    <m/>
    <s v=""/>
    <s v="https://www.whatnot.com/order/ZQa92YACdaqMGpqFzdMcVG"/>
    <s v="whatnot.com/order/ZQa92YACdaqMGpqFzdMcVG_x000a_$1.00 + $1.09 (Shared Shipping) + $0.21 Tax = Total of $2.30"/>
    <s v="whatnot.com/order/ZQa92YACdaqMGpqFzdMcVG_x000a_$1.00 + $1.09 (Shared Shipping) + $0.21 Tax = Total of $2.30"/>
    <n v="2.31"/>
    <n v="1.0900000000000001"/>
    <n v="2.09"/>
    <n v="0.21422499999999997"/>
    <n v="2.3042249999999997"/>
    <e v="#DIV/0!"/>
    <n v="0"/>
    <n v="0"/>
    <e v="#N/A"/>
    <n v="0"/>
    <s v="Not Listed"/>
  </r>
  <r>
    <s v="R"/>
    <x v="7"/>
    <d v="2026-05-06T00:00:00"/>
    <n v="45"/>
    <n v="5"/>
    <n v="4.3499999999999996"/>
    <n v="0.97"/>
    <s v="Reaves"/>
    <n v="8776006"/>
    <n v="253"/>
    <s v="https://www.whatnot.com/order/9ki7HURGVDFpQYLubozunU"/>
    <s v="whatnot.com/order/9ki7HURGVDFpQYLubozunU_x000a_$5.00 + $0.21 (Shared Shipping) + $0.53 Tax = Total of $5.74"/>
    <s v="whatnot.com/order/9ki7HURGVDFpQYLubozunU_x000a_$5.00 + $0.21 (Shared Shipping) + $0.53 Tax = Total of $5.74"/>
    <n v="10.32"/>
    <n v="0.20714285714285713"/>
    <n v="5.2071428571428573"/>
    <n v="0.53373214285714288"/>
    <n v="5.740875"/>
    <n v="2.13"/>
    <n v="-3.6108750000000001"/>
    <n v="1"/>
    <s v="2024 Panini Donruss"/>
    <s v="Austin Reaves [Storm] #163"/>
    <s v="."/>
  </r>
  <r>
    <s v="R"/>
    <x v="7"/>
    <d v="2026-05-06T00:00:00"/>
    <n v="109"/>
    <n v="15"/>
    <n v="0"/>
    <n v="1.54"/>
    <s v="Jokic"/>
    <n v="95721"/>
    <n v="51082129"/>
    <s v="https://www.whatnot.com/order/27RrZ5UcQbAp2yynBpazpE"/>
    <s v="whatnot.com/order/27RrZ5UcQbAp2yynBpazpE_x000a_$15.00 + $0.21 (Shared Shipping) + $1.56 Tax = Total of $16.77"/>
    <s v="whatnot.com/order/27RrZ5UcQbAp2yynBpazpE_x000a_$15.00 + $0.21 (Shared Shipping) + $1.56 Tax = Total of $16.77"/>
    <n v="16.54"/>
    <n v="0.20714285714285713"/>
    <n v="15.207142857142857"/>
    <n v="1.5587321428571428"/>
    <n v="16.765875000000001"/>
    <n v="19.52"/>
    <n v="2.7541249999999984"/>
    <n v="1"/>
    <s v="2019 Panini Prizm"/>
    <s v="Nikola Jokic [Ruby Wave Prizm] #84"/>
    <s v="."/>
  </r>
  <r>
    <s v="R"/>
    <x v="7"/>
    <d v="2026-05-06T00:00:00"/>
    <s v="Givvy 4"/>
    <n v="0"/>
    <n v="0"/>
    <n v="0"/>
    <s v="James"/>
    <n v="9781694"/>
    <n v="335"/>
    <s v="https://www.whatnot.com/order/9Nw32iaBQX4B786bgpSBCs"/>
    <s v="whatnot.com/order/9Nw32iaBQX4B786bgpSBCs_x000a_$0.00 + $0.21 (Shared Shipping) + $0.02 Tax = Total of $0.23"/>
    <s v="whatnot.com/order/9Nw32iaBQX4B786bgpSBCs_x000a_$0.00 + $0.21 (Shared Shipping) + $0.00 Tax = Total of $0.21"/>
    <n v="0"/>
    <n v="0.20714285714285713"/>
    <n v="0.20714285714285713"/>
    <n v="0"/>
    <n v="0.20714285714285713"/>
    <n v="1.68"/>
    <n v="1.4728571428571429"/>
    <n v="1"/>
    <s v="2024 Panini Select"/>
    <s v="LeBron James [Blue Prizm] #54"/>
    <s v="Verify Parallel - LeBron James [Blue Prizm] #54 - 2024 Panini Select"/>
  </r>
  <r>
    <s v="R"/>
    <x v="7"/>
    <d v="2026-05-06T00:00:00"/>
    <s v="Givvy 4"/>
    <n v="0"/>
    <n v="0"/>
    <n v="0"/>
    <s v="Brown"/>
    <n v="10198347"/>
    <n v="537"/>
    <s v="https://www.whatnot.com/order/9Nw32iaBQX4B786bgpSBCs"/>
    <s v="whatnot.com/order/9Nw32iaBQX4B786bgpSBCs_x000a_$0.00 + $0.21 (Shared Shipping) + $0.02 Tax = Total of $0.23"/>
    <s v="whatnot.com/order/9Nw32iaBQX4B786bgpSBCs_x000a_$0.00 + $0.21 (Shared Shipping) + $0.00 Tax = Total of $0.21"/>
    <n v="0"/>
    <n v="0.20714285714285713"/>
    <n v="0.20714285714285713"/>
    <n v="0"/>
    <n v="0.20714285714285713"/>
    <n v="1"/>
    <n v="0.79285714285714293"/>
    <n v="1"/>
    <s v="2024 Panini Donruss Optic"/>
    <s v="Jaylen Brown [Purple] #206"/>
    <s v="."/>
  </r>
  <r>
    <s v="R"/>
    <x v="7"/>
    <d v="2026-05-06T00:00:00"/>
    <s v="Givvy 4"/>
    <n v="0"/>
    <n v="0"/>
    <n v="0"/>
    <s v="Sheppard"/>
    <n v="9782911"/>
    <n v="298"/>
    <s v="https://www.whatnot.com/order/9Nw32iaBQX4B786bgpSBCs"/>
    <s v="whatnot.com/order/9Nw32iaBQX4B786bgpSBCs_x000a_$0.00 + $0.21 (Shared Shipping) + $0.02 Tax = Total of $0.23"/>
    <s v="whatnot.com/order/9Nw32iaBQX4B786bgpSBCs_x000a_$0.00 + $0.21 (Shared Shipping) + $0.00 Tax = Total of $0.21"/>
    <n v="0"/>
    <n v="0.20714285714285713"/>
    <n v="0.20714285714285713"/>
    <n v="0"/>
    <n v="0.20714285714285713"/>
    <n v="1.82"/>
    <n v="1.612857142857143"/>
    <n v="1"/>
    <s v="2024 Panini Select"/>
    <s v="Reed Sheppard [Blue Cracked Ice Prizm] #68"/>
    <s v="."/>
  </r>
  <r>
    <s v="R"/>
    <x v="7"/>
    <d v="2026-05-06T00:00:00"/>
    <s v="Givvy 4"/>
    <n v="0"/>
    <n v="0"/>
    <n v="0"/>
    <s v="Curry"/>
    <n v="9265999"/>
    <n v="377"/>
    <s v="https://www.whatnot.com/order/9Nw32iaBQX4B786bgpSBCs"/>
    <s v="whatnot.com/order/9Nw32iaBQX4B786bgpSBCs_x000a_$0.00 + $0.21 (Shared Shipping) + $0.02 Tax = Total of $0.23"/>
    <s v="whatnot.com/order/9Nw32iaBQX4B786bgpSBCs_x000a_$0.00 + $0.21 (Shared Shipping) + $0.00 Tax = Total of $0.21"/>
    <n v="0"/>
    <n v="0.20714285714285713"/>
    <n v="0.20714285714285713"/>
    <n v="0"/>
    <n v="0.20714285714285713"/>
    <n v="1.71"/>
    <n v="1.5028571428571429"/>
    <n v="1"/>
    <s v="2024 Panini Revolution Hardwood Legacy"/>
    <s v="Stephen Curry #3"/>
    <s v="Verify Parallel - Stephen Curry #3 - 2024 Panini Revolution Hardwood Legac"/>
  </r>
  <r>
    <s v="R"/>
    <x v="7"/>
    <d v="2026-05-06T00:00:00"/>
    <n v="125"/>
    <n v="2.36"/>
    <n v="0"/>
    <n v="0.24"/>
    <s v="Luka"/>
    <n v="8406896"/>
    <n v="515"/>
    <s v="https://www.whatnot.com/order/N3ommW2GZtgbdFUhrqPhaC"/>
    <s v="whatnot.com/order/N3ommW2GZtgbdFUhrqPhaC_x000a_$2.36 + $0.21 (Shared Shipping) + $0.26 Tax = Total of $2.83"/>
    <s v="whatnot.com/order/N3ommW2GZtgbdFUhrqPhaC_x000a_$2.36 + $0.21 (Shared Shipping) + $0.26 Tax = Total of $2.83"/>
    <n v="2.5999999999999996"/>
    <n v="0.20714285714285713"/>
    <n v="2.5671428571428572"/>
    <n v="0.26313214285714287"/>
    <n v="2.8302749999999999"/>
    <n v="1.02"/>
    <n v="-1.8102749999999999"/>
    <n v="1"/>
    <s v="2024 Panini NBA Hoops Frequent Flyers"/>
    <s v="Luka Doncic #3"/>
    <s v="."/>
  </r>
  <r>
    <s v="R"/>
    <x v="7"/>
    <d v="2026-05-06T00:00:00"/>
    <n v="125"/>
    <n v="2.33"/>
    <n v="0"/>
    <n v="0.24"/>
    <s v="Luka"/>
    <n v="8537640"/>
    <n v="361"/>
    <s v="https://www.whatnot.com/order/N3ommW2GZtgbdFUhrqPhaC"/>
    <s v="whatnot.com/order/N3ommW2GZtgbdFUhrqPhaC_x000a_$2.33 + $0.21 (Shared Shipping) + $0.26 Tax = Total of $2.80"/>
    <s v="whatnot.com/order/N3ommW2GZtgbdFUhrqPhaC_x000a_$2.33 + $0.21 (Shared Shipping) + $0.26 Tax = Total of $2.80"/>
    <n v="2.5700000000000003"/>
    <n v="0.20714285714285713"/>
    <n v="2.5371428571428574"/>
    <n v="0.26005714285714288"/>
    <n v="2.7972000000000001"/>
    <n v="1.71"/>
    <n v="-1.0872000000000002"/>
    <n v="1"/>
    <s v="2024 Panini Prizm"/>
    <s v="Luka Doncic #89"/>
    <s v="."/>
  </r>
  <r>
    <s v="R"/>
    <x v="7"/>
    <d v="2026-05-06T00:00:00"/>
    <n v="125"/>
    <n v="2.33"/>
    <n v="0"/>
    <n v="0.24"/>
    <s v="Luka"/>
    <n v="2948779"/>
    <n v="365"/>
    <s v="https://www.whatnot.com/order/N3ommW2GZtgbdFUhrqPhaC"/>
    <s v="whatnot.com/order/N3ommW2GZtgbdFUhrqPhaC_x000a_$2.33 + $0.21 (Shared Shipping) + $0.26 Tax = Total of $2.80"/>
    <s v="whatnot.com/order/N3ommW2GZtgbdFUhrqPhaC_x000a_$2.33 + $0.21 (Shared Shipping) + $0.26 Tax = Total of $2.80"/>
    <n v="2.5700000000000003"/>
    <n v="0.20714285714285713"/>
    <n v="2.5371428571428574"/>
    <n v="0.26005714285714288"/>
    <n v="2.7972000000000001"/>
    <n v="1.74"/>
    <n v="-1.0572000000000001"/>
    <n v="1"/>
    <s v="2020 Panini Chronicles"/>
    <s v="Luka Doncic [Pink] #228"/>
    <s v="."/>
  </r>
  <r>
    <s v="R"/>
    <x v="7"/>
    <d v="2026-05-06T00:00:00"/>
    <n v="125"/>
    <n v="2.33"/>
    <n v="0"/>
    <n v="0.24"/>
    <s v="Luka"/>
    <n v="6834778"/>
    <n v="312"/>
    <s v="https://www.whatnot.com/order/N3ommW2GZtgbdFUhrqPhaC"/>
    <s v="whatnot.com/order/N3ommW2GZtgbdFUhrqPhaC_x000a_$2.33 + $0.21 (Shared Shipping) + $0.26 Tax = Total of $2.80"/>
    <s v="whatnot.com/order/N3ommW2GZtgbdFUhrqPhaC_x000a_$2.33 + $0.21 (Shared Shipping) + $0.26 Tax = Total of $2.80"/>
    <n v="2.5700000000000003"/>
    <n v="0.20714285714285713"/>
    <n v="2.5371428571428574"/>
    <n v="0.26005714285714288"/>
    <n v="2.7972000000000001"/>
    <n v="2.0499999999999998"/>
    <n v="-0.74720000000000031"/>
    <n v="1"/>
    <s v="2023 Donruss Optic Express Lane"/>
    <s v="Luka Doncic  [Purple] #13"/>
    <s v="Verify Parallel"/>
  </r>
  <r>
    <s v="R"/>
    <x v="7"/>
    <d v="2026-05-06T00:00:00"/>
    <n v="125"/>
    <n v="2.33"/>
    <n v="0"/>
    <n v="0.24"/>
    <s v="Luka"/>
    <n v="2946119"/>
    <n v="281"/>
    <s v="https://www.whatnot.com/order/N3ommW2GZtgbdFUhrqPhaC"/>
    <s v="whatnot.com/order/N3ommW2GZtgbdFUhrqPhaC_x000a_$2.33 + $0.21 (Shared Shipping) + $0.26 Tax = Total of $2.80"/>
    <s v="whatnot.com/order/N3ommW2GZtgbdFUhrqPhaC_x000a_$2.33 + $0.21 (Shared Shipping) + $0.26 Tax = Total of $2.80"/>
    <n v="2.5700000000000003"/>
    <n v="0.20714285714285713"/>
    <n v="2.5371428571428574"/>
    <n v="0.26005714285714288"/>
    <n v="2.7972000000000001"/>
    <n v="1.99"/>
    <n v="-0.80720000000000014"/>
    <n v="1"/>
    <s v="2020 Panini Chronicles"/>
    <s v="Luka Doncic #519"/>
    <s v="."/>
  </r>
  <r>
    <s v="R"/>
    <x v="7"/>
    <d v="2026-05-06T00:00:00"/>
    <n v="125"/>
    <n v="2.33"/>
    <n v="0"/>
    <n v="0.24"/>
    <s v="Luka"/>
    <n v="11360390"/>
    <n v="599"/>
    <s v="https://www.whatnot.com/order/N3ommW2GZtgbdFUhrqPhaC"/>
    <s v="whatnot.com/order/N3ommW2GZtgbdFUhrqPhaC_x000a_$2.33 + $0.21 (Shared Shipping) + $0.26 Tax = Total of $2.80"/>
    <s v="whatnot.com/order/N3ommW2GZtgbdFUhrqPhaC_x000a_$2.33 + $0.21 (Shared Shipping) + $0.26 Tax = Total of $2.80"/>
    <n v="2.5700000000000003"/>
    <n v="0.20714285714285713"/>
    <n v="2.5371428571428574"/>
    <n v="0.26005714285714288"/>
    <n v="2.7972000000000001"/>
    <n v="0"/>
    <n v="-2.7972000000000001"/>
    <n v="1"/>
    <s v="2020 Panini Chronicles Hometown Heroes Rookie Autographs"/>
    <s v="Luka Doncic #554"/>
    <s v="."/>
  </r>
  <r>
    <s v="R"/>
    <x v="7"/>
    <d v="2026-05-06T00:00:00"/>
    <n v="125"/>
    <n v="2.33"/>
    <n v="0"/>
    <n v="0.24"/>
    <s v="Luka"/>
    <n v="5001342"/>
    <n v="362"/>
    <s v="https://www.whatnot.com/order/N3ommW2GZtgbdFUhrqPhaC"/>
    <s v="whatnot.com/order/N3ommW2GZtgbdFUhrqPhaC_x000a_$2.33 + $0.21 (Shared Shipping) + $0.26 Tax = Total of $2.80"/>
    <s v="whatnot.com/order/N3ommW2GZtgbdFUhrqPhaC_x000a_$2.33 + $0.21 (Shared Shipping) + $0.26 Tax = Total of $2.80"/>
    <n v="2.5700000000000003"/>
    <n v="0.20714285714285713"/>
    <n v="2.5371428571428574"/>
    <n v="0.26005714285714288"/>
    <n v="2.7972000000000001"/>
    <n v="1.67"/>
    <n v="-1.1272000000000002"/>
    <n v="1"/>
    <s v="2022 Panini Donruss Magicians"/>
    <s v="Luka Doncic #2"/>
    <s v="."/>
  </r>
  <r>
    <s v="R"/>
    <x v="7"/>
    <d v="2026-05-06T00:00:00"/>
    <n v="125"/>
    <n v="2.33"/>
    <n v="0"/>
    <n v="0.24"/>
    <s v="Luka"/>
    <s v="N/A"/>
    <s v=""/>
    <s v="https://www.whatnot.com/order/N3ommW2GZtgbdFUhrqPhaC"/>
    <s v="whatnot.com/order/N3ommW2GZtgbdFUhrqPhaC_x000a_$2.33 + $0.21 (Shared Shipping) + $0.26 Tax = Total of $2.80"/>
    <s v="whatnot.com/order/N3ommW2GZtgbdFUhrqPhaC_x000a_$2.33 + $0.21 (Shared Shipping) + $0.26 Tax = Total of $2.80"/>
    <n v="2.5700000000000003"/>
    <n v="0.20714285714285713"/>
    <n v="2.5371428571428574"/>
    <n v="0.26005714285714288"/>
    <n v="2.7972000000000001"/>
    <e v="#DIV/0!"/>
    <n v="0"/>
    <n v="0"/>
    <e v="#N/A"/>
    <e v="#N/A"/>
    <s v="Not Listed"/>
  </r>
  <r>
    <s v="R"/>
    <x v="7"/>
    <d v="2026-05-06T00:00:00"/>
    <n v="125"/>
    <n v="2.33"/>
    <n v="0"/>
    <n v="0.24"/>
    <s v="Luka"/>
    <n v="6284400"/>
    <n v="436"/>
    <s v="https://www.whatnot.com/order/N3ommW2GZtgbdFUhrqPhaC"/>
    <s v="whatnot.com/order/N3ommW2GZtgbdFUhrqPhaC_x000a_$2.33 + $0.21 (Shared Shipping) + $0.26 Tax = Total of $2.80"/>
    <s v="whatnot.com/order/N3ommW2GZtgbdFUhrqPhaC_x000a_$2.33 + $0.21 (Shared Shipping) + $0.26 Tax = Total of $2.80"/>
    <n v="2.5700000000000003"/>
    <n v="0.20714285714285713"/>
    <n v="2.5371428571428574"/>
    <n v="0.26005714285714288"/>
    <n v="2.7972000000000001"/>
    <n v="1.21"/>
    <n v="-1.5872000000000002"/>
    <n v="1"/>
    <s v="2023 Panini Donruss"/>
    <s v="Luka Doncic #141"/>
    <s v="."/>
  </r>
  <r>
    <s v="R"/>
    <x v="7"/>
    <d v="2026-05-06T00:00:00"/>
    <n v="126"/>
    <n v="2.5"/>
    <n v="0"/>
    <n v="0.26"/>
    <s v="Luka"/>
    <n v="6422084"/>
    <n v="387"/>
    <s v="https://www.whatnot.com/order/8DwoNWn73teh8obUuAY5eP"/>
    <s v="whatnot.com/order/8DwoNWn73teh8obUuAY5eP_x000a_$2.50 + $0.21 (Shared Shipping) + $0.28 Tax = Total of $2.98"/>
    <s v="whatnot.com/order/8DwoNWn73teh8obUuAY5eP_x000a_$2.50 + $0.21 (Shared Shipping) + $0.28 Tax = Total of $2.98"/>
    <n v="2.76"/>
    <n v="0.20714285714285713"/>
    <n v="2.7071428571428573"/>
    <n v="0.27748214285714284"/>
    <n v="2.9846250000000003"/>
    <n v="1.58"/>
    <n v="-1.4046250000000002"/>
    <n v="1"/>
    <s v="2023 Panini Prizm Global Reach"/>
    <s v="Luka Doncic #1"/>
    <s v="."/>
  </r>
  <r>
    <s v="R"/>
    <x v="7"/>
    <d v="2026-05-06T00:00:00"/>
    <n v="126"/>
    <n v="2.5"/>
    <n v="0"/>
    <n v="0.26"/>
    <s v="Luka"/>
    <n v="9265985"/>
    <n v="378"/>
    <s v="https://www.whatnot.com/order/8DwoNWn73teh8obUuAY5eP"/>
    <s v="whatnot.com/order/8DwoNWn73teh8obUuAY5eP_x000a_$2.50 + $0.21 (Shared Shipping) + $0.28 Tax = Total of $2.98"/>
    <s v="whatnot.com/order/8DwoNWn73teh8obUuAY5eP_x000a_$2.50 + $0.21 (Shared Shipping) + $0.28 Tax = Total of $2.98"/>
    <n v="2.76"/>
    <n v="0.20714285714285713"/>
    <n v="2.7071428571428573"/>
    <n v="0.27748214285714284"/>
    <n v="2.9846250000000003"/>
    <n v="1.69"/>
    <n v="-1.2946250000000004"/>
    <n v="1"/>
    <s v="2024 Panini Revolution Hardwood Legacy"/>
    <s v="Luka Doncic #1"/>
    <s v="."/>
  </r>
  <r>
    <s v="R"/>
    <x v="7"/>
    <d v="2026-05-06T00:00:00"/>
    <n v="126"/>
    <n v="2.5"/>
    <n v="0"/>
    <n v="0.26"/>
    <s v="Luka"/>
    <n v="10339925"/>
    <n v="216"/>
    <s v="https://www.whatnot.com/order/8DwoNWn73teh8obUuAY5eP"/>
    <s v="whatnot.com/order/8DwoNWn73teh8obUuAY5eP_x000a_$2.50 + $0.21 (Shared Shipping) + $0.28 Tax = Total of $2.98"/>
    <s v="whatnot.com/order/8DwoNWn73teh8obUuAY5eP_x000a_$2.50 + $0.21 (Shared Shipping) + $0.28 Tax = Total of $2.98"/>
    <n v="2.76"/>
    <n v="0.20714285714285713"/>
    <n v="2.7071428571428573"/>
    <n v="0.27748214285714284"/>
    <n v="2.9846250000000003"/>
    <n v="2.3199999999999998"/>
    <n v="-0.66462500000000047"/>
    <n v="1"/>
    <s v="2024 Panini Mosaic Elevate"/>
    <s v="Luka Doncic [Mosaic] #16"/>
    <s v="9959212 or 10339925 whats the difference"/>
  </r>
  <r>
    <s v="R"/>
    <x v="7"/>
    <d v="2026-05-06T00:00:00"/>
    <n v="126"/>
    <n v="2.5"/>
    <n v="0"/>
    <n v="0.26"/>
    <s v="Luka"/>
    <n v="6713723"/>
    <n v="323"/>
    <s v="https://www.whatnot.com/order/8DwoNWn73teh8obUuAY5eP"/>
    <s v="whatnot.com/order/8DwoNWn73teh8obUuAY5eP_x000a_$2.50 + $0.21 (Shared Shipping) + $0.28 Tax = Total of $2.98"/>
    <s v="whatnot.com/order/8DwoNWn73teh8obUuAY5eP_x000a_$2.50 + $0.21 (Shared Shipping) + $0.28 Tax = Total of $2.98"/>
    <n v="2.76"/>
    <n v="0.20714285714285713"/>
    <n v="2.7071428571428573"/>
    <n v="0.27748214285714284"/>
    <n v="2.9846250000000003"/>
    <n v="1.35"/>
    <n v="-1.6346250000000002"/>
    <n v="1"/>
    <s v="2023 Panini Select Thunder Lane"/>
    <s v="Luka Doncic #3"/>
    <s v="."/>
  </r>
  <r>
    <s v="R"/>
    <x v="7"/>
    <d v="2026-05-06T00:00:00"/>
    <n v="126"/>
    <n v="2.5"/>
    <n v="0"/>
    <n v="0.25"/>
    <s v="Luka"/>
    <n v="8560255"/>
    <n v="393"/>
    <s v="https://www.whatnot.com/order/8DwoNWn73teh8obUuAY5eP"/>
    <s v="whatnot.com/order/8DwoNWn73teh8obUuAY5eP_x000a_$2.50 + $0.21 (Shared Shipping) + $0.28 Tax = Total of $2.98"/>
    <s v="whatnot.com/order/8DwoNWn73teh8obUuAY5eP_x000a_$2.50 + $0.21 (Shared Shipping) + $0.28 Tax = Total of $2.98"/>
    <n v="2.75"/>
    <n v="0.20714285714285713"/>
    <n v="2.7071428571428573"/>
    <n v="0.27748214285714284"/>
    <n v="2.9846250000000003"/>
    <n v="1.44"/>
    <n v="-1.5446250000000004"/>
    <n v="1"/>
    <s v="2024 Panini Prizm Deep Space"/>
    <s v="Luka Doncic #4"/>
    <s v="."/>
  </r>
  <r>
    <s v="R"/>
    <x v="7"/>
    <d v="2026-05-06T00:00:00"/>
    <n v="126"/>
    <n v="2.5"/>
    <n v="0"/>
    <n v="0.25"/>
    <s v="Luka"/>
    <n v="3727503"/>
    <n v="396"/>
    <s v="https://www.whatnot.com/order/8DwoNWn73teh8obUuAY5eP"/>
    <s v="whatnot.com/order/8DwoNWn73teh8obUuAY5eP_x000a_$2.50 + $0.21 (Shared Shipping) + $0.28 Tax = Total of $2.98"/>
    <s v="whatnot.com/order/8DwoNWn73teh8obUuAY5eP_x000a_$2.50 + $0.21 (Shared Shipping) + $0.28 Tax = Total of $2.98"/>
    <n v="2.75"/>
    <n v="0.20714285714285713"/>
    <n v="2.7071428571428573"/>
    <n v="0.27748214285714284"/>
    <n v="2.9846250000000003"/>
    <n v="1.47"/>
    <n v="-1.5146250000000003"/>
    <n v="1"/>
    <s v="2021 Panini Prizm"/>
    <s v="Luka Doncic #223"/>
    <s v="."/>
  </r>
  <r>
    <s v="R"/>
    <x v="8"/>
    <d v="2026-05-07T00:00:00"/>
    <s v="Givvy 2"/>
    <n v="0"/>
    <n v="0"/>
    <n v="0"/>
    <s v="McMahon"/>
    <n v="12627605"/>
    <n v="426"/>
    <s v="https://www.whatnot.com/order/ezSKfFW6zDG5UWaRKJYAXA"/>
    <s v="whatnot.com/order/ezSKfFW6zDG5UWaRKJYAXA_x000a_$0.00 + $0.00 (Shared Shipping) + $0.00 Tax = Total of $0.00"/>
    <s v="whatnot.com/order/ezSKfFW6zDG5UWaRKJYAXA_x000a_$0.00 + $0.00 (Shared Shipping) + $0.00 Tax = Total of $0.00"/>
    <n v="0"/>
    <n v="0"/>
    <n v="0"/>
    <n v="0"/>
    <n v="0"/>
    <n v="1.5"/>
    <n v="1.5"/>
    <n v="1"/>
    <s v="2025 Bowman Prospects"/>
    <s v="Cotie McMahon #BPP-30"/>
    <s v="."/>
  </r>
  <r>
    <s v="R"/>
    <x v="8"/>
    <d v="2026-05-07T00:00:00"/>
    <s v="Givvy 10"/>
    <n v="0"/>
    <n v="0"/>
    <n v="0"/>
    <s v="Salaun"/>
    <n v="10818673"/>
    <n v="567"/>
    <s v="https://www.whatnot.com/order/Xz3tx8zp8BHqHykj7qkN3x"/>
    <s v="whatnot.com/order/Xz3tx8zp8BHqHykj7qkN3x_x000a_$0.00 + $0.00 (Shared Shipping) + $0.00 Tax = Total of $0.00"/>
    <s v="whatnot.com/order/Xz3tx8zp8BHqHykj7qkN3x_x000a_$0.00 + $0.00 (Shared Shipping) + $0.00 Tax = Total of $0.00"/>
    <n v="0"/>
    <n v="0"/>
    <n v="0"/>
    <n v="0"/>
    <n v="0"/>
    <n v="0.99"/>
    <n v="0.99"/>
    <n v="1"/>
    <s v="2025 Topps"/>
    <s v="Tidjane Salaun #71"/>
    <s v="."/>
  </r>
  <r>
    <s v="R"/>
    <x v="9"/>
    <d v="2026-05-08T00:00:00"/>
    <n v="6"/>
    <n v="1"/>
    <n v="1.39"/>
    <n v="0.25"/>
    <s v="Luka"/>
    <n v="2857292"/>
    <n v="110"/>
    <s v="https://www.whatnot.com/order/THjJHwGpnJ2cNFaSnvcckW"/>
    <s v="whatnot.com/order/THjJHwGpnJ2cNFaSnvcckW_x000a_$1.00 + $1.00 (Shared Shipping) + $0.21 Tax = Total of $2.21"/>
    <s v="whatnot.com/order/THjJHwGpnJ2cNFaSnvcckW_x000a_$1.00 + $1.00 (Shared Shipping) + $0.21 Tax = Total of $2.21"/>
    <n v="2.6399999999999997"/>
    <n v="1"/>
    <n v="2"/>
    <n v="0.20499999999999999"/>
    <n v="2.2050000000000001"/>
    <n v="5.87"/>
    <n v="3.665"/>
    <n v="1"/>
    <s v="2019 Panini Chronicles"/>
    <s v="Luka Doncic [Teal] #15"/>
    <s v="."/>
  </r>
  <r>
    <s v="R"/>
    <x v="9"/>
    <d v="2026-05-08T00:00:00"/>
    <n v="7"/>
    <n v="1"/>
    <n v="3.36"/>
    <n v="0.46"/>
    <s v="Jordan"/>
    <s v="N/A"/>
    <s v=""/>
    <s v="https://www.whatnot.com/order/EifBu6qeaD4paxGVjbK2N2"/>
    <s v="whatnot.com/order/EifBu6qeaD4paxGVjbK2N2_x000a_$1.00 + $1.00 (Shared Shipping) + $0.21 Tax = Total of $2.21"/>
    <s v="whatnot.com/order/EifBu6qeaD4paxGVjbK2N2_x000a_$1.00 + $1.00 (Shared Shipping) + $0.21 Tax = Total of $2.21"/>
    <n v="4.8199999999999994"/>
    <n v="1"/>
    <n v="2"/>
    <n v="0.20499999999999999"/>
    <n v="2.2050000000000001"/>
    <e v="#DIV/0!"/>
    <n v="0"/>
    <n v="0"/>
    <e v="#N/A"/>
    <e v="#N/A"/>
    <s v="Not Listed"/>
  </r>
  <r>
    <s v="R"/>
    <x v="9"/>
    <d v="2026-05-08T00:00:00"/>
    <n v="9"/>
    <n v="2"/>
    <n v="0.25"/>
    <n v="0.24"/>
    <s v="Flagg"/>
    <n v="12613839"/>
    <n v="79"/>
    <s v="https://www.whatnot.com/order/jUyUBmgt9rDM2xSirWQMVK"/>
    <s v="whatnot.com/order/jUyUBmgt9rDM2xSirWQMVK_x000a_$2.00 + $1.00 (Shared Shipping) + $0.31 Tax = Total of $3.31"/>
    <s v="whatnot.com/order/jUyUBmgt9rDM2xSirWQMVK_x000a_$2.00 + $1.00 (Shared Shipping) + $0.31 Tax = Total of $3.31"/>
    <n v="2.4900000000000002"/>
    <n v="1"/>
    <n v="3"/>
    <n v="0.3075"/>
    <n v="3.3075000000000001"/>
    <n v="3.71"/>
    <n v="0.40249999999999986"/>
    <n v="2"/>
    <s v="2025 Bowman"/>
    <s v="Cooper Flagg #1"/>
    <s v="."/>
  </r>
  <r>
    <s v="R"/>
    <x v="9"/>
    <d v="2026-05-08T00:00:00"/>
    <n v="10"/>
    <n v="1"/>
    <n v="0"/>
    <n v="0.11"/>
    <s v="Morant"/>
    <n v="156688"/>
    <n v="209"/>
    <s v="https://www.whatnot.com/order/o8pD2uRJ2uJBZu72TvBaqn"/>
    <s v="whatnot.com/order/o8pD2uRJ2uJBZu72TvBaqn_x000a_$1.00 + $1.00 (Shared Shipping) + $0.21 Tax = Total of $2.21"/>
    <s v="whatnot.com/order/o8pD2uRJ2uJBZu72TvBaqn_x000a_$1.00 + $1.00 (Shared Shipping) + $0.21 Tax = Total of $2.21"/>
    <n v="1.1100000000000001"/>
    <n v="1"/>
    <n v="2"/>
    <n v="0.20499999999999999"/>
    <n v="2.2050000000000001"/>
    <n v="2"/>
    <n v="-0.20500000000000007"/>
    <n v="1"/>
    <s v="2019 Panini Chronicles"/>
    <s v="JA Morant #168"/>
    <s v="."/>
  </r>
  <r>
    <s v="R"/>
    <x v="9"/>
    <d v="2026-05-08T00:00:00"/>
    <n v="24"/>
    <n v="2"/>
    <n v="0"/>
    <n v="0.21"/>
    <s v="Cunningham"/>
    <n v="11474841"/>
    <n v="235"/>
    <s v="https://www.whatnot.com/order/V5Gh7hYUvoJshqsMYA2fjj"/>
    <s v="whatnot.com/order/V5Gh7hYUvoJshqsMYA2fjj_x000a_$2.00 + $1.00 (Shared Shipping) + $0.31 Tax = Total of $3.31"/>
    <s v="whatnot.com/order/V5Gh7hYUvoJshqsMYA2fjj_x000a_$2.00 + $1.00 (Shared Shipping) + $0.31 Tax = Total of $3.31"/>
    <n v="2.21"/>
    <n v="1"/>
    <n v="3"/>
    <n v="0.3075"/>
    <n v="3.3075000000000001"/>
    <n v="2.0099999999999998"/>
    <n v="-1.2975000000000003"/>
    <n v="1"/>
    <s v="2025 Topps Chrome"/>
    <s v="Cade Cunningham [Refractor] #88"/>
    <s v="."/>
  </r>
  <r>
    <s v="R"/>
    <x v="10"/>
    <d v="2026-05-07T00:00:00"/>
    <s v="Givvy 3"/>
    <n v="0"/>
    <n v="0"/>
    <n v="0"/>
    <s v="Kobe"/>
    <n v="145531"/>
    <n v="66"/>
    <s v="https://www.whatnot.com/order/PPztzz2oNPCFrGQKEtGeKP"/>
    <s v="whatnot.com/order/PPztzz2oNPCFrGQKEtGeKP_x000a_$0.00 + $0.00 (Shared Shipping) + $0.00 Tax = Total of $0.00"/>
    <s v="whatnot.com/order/PPztzz2oNPCFrGQKEtGeKP_x000a_$0.00 + $0.00 (Shared Shipping) + $0.00 Tax = Total of $0.00"/>
    <n v="0"/>
    <n v="0"/>
    <n v="0"/>
    <n v="0"/>
    <n v="0"/>
    <n v="5.2"/>
    <n v="5.2"/>
    <n v="1"/>
    <s v="2003 SP Authentic"/>
    <s v="Kobe Bryant #35"/>
    <s v="."/>
  </r>
  <r>
    <s v="R"/>
    <x v="11"/>
    <d v="2026-05-07T00:00:00"/>
    <n v="1"/>
    <n v="1"/>
    <n v="1.39"/>
    <n v="0.25"/>
    <s v="Reaves"/>
    <n v="8395765"/>
    <n v="420"/>
    <s v="https://www.whatnot.com/order/CyF3nZr4GRuqeEQwgYCVcq"/>
    <s v="whatnot.com/order/CyF3nZr4GRuqeEQwgYCVcq_x000a_$1.00 + $1.39 (Shared Shipping) + $0.24 Tax = Total of $2.63"/>
    <s v="whatnot.com/order/CyF3nZr4GRuqeEQwgYCVcq_x000a_$1.00 + $1.39 (Shared Shipping) + $0.24 Tax = Total of $2.63"/>
    <n v="2.6399999999999997"/>
    <n v="1.39"/>
    <n v="2.3899999999999997"/>
    <n v="0.24497499999999994"/>
    <n v="2.6349749999999998"/>
    <n v="1.5"/>
    <n v="-1.1349749999999998"/>
    <n v="1"/>
    <s v="2024 Panini NBA Hoops"/>
    <s v="Austin Reaves [Winter] #138"/>
    <s v="Premium?"/>
  </r>
  <r>
    <s v="R"/>
    <x v="12"/>
    <d v="2026-05-08T00:00:00"/>
    <s v="Givvy 3"/>
    <n v="0"/>
    <n v="0"/>
    <n v="0"/>
    <s v="Parrish"/>
    <n v="8151713"/>
    <n v="310"/>
    <s v="https://www.whatnot.com/order/mjPJ8grwnTa5xjehNNp2Qq"/>
    <s v="whatnot.com/order/mjPJ8grwnTa5xjehNNp2Qq_x000a_$0.00 + $1.72 (Shared Shipping) + $0.18 Tax = Total of $1.90"/>
    <s v="whatnot.com/order/mjPJ8grwnTa5xjehNNp2Qq_x000a_$0.00 + $1.72 (Shared Shipping) + $0.00 Tax = Total of $1.72"/>
    <n v="0"/>
    <n v="1.72"/>
    <n v="1.72"/>
    <n v="0"/>
    <n v="1.72"/>
    <n v="1.89"/>
    <n v="0.16999999999999993"/>
    <n v="1"/>
    <s v="2023 Topps Cosmic Chrome"/>
    <s v="Robert Parish #140"/>
    <s v="."/>
  </r>
  <r>
    <s v="R"/>
    <x v="12"/>
    <d v="2026-05-08T00:00:00"/>
    <n v="10"/>
    <n v="3"/>
    <n v="3.77"/>
    <n v="0.71"/>
    <s v="Culver"/>
    <n v="2102671"/>
    <n v="178"/>
    <s v="https://www.whatnot.com/order/76LD29BivfBZrNXYeJq5xV"/>
    <s v="whatnot.com/order/76LD29BivfBZrNXYeJq5xV_x000a_$3.00 + $1.72 (Shared Shipping) + $0.48 Tax = Total of $5.20"/>
    <s v="whatnot.com/order/76LD29BivfBZrNXYeJq5xV_x000a_$3.00 + $1.72 (Shared Shipping) + $0.48 Tax = Total of $5.20"/>
    <n v="7.4799999999999995"/>
    <n v="1.72"/>
    <n v="4.72"/>
    <n v="0.48379999999999995"/>
    <n v="5.2037999999999993"/>
    <n v="2.17"/>
    <n v="-3.0337999999999994"/>
    <n v="1"/>
    <s v="2019 Panini Revolution Rookie Autographs"/>
    <s v="Jarrett Culver #JCV"/>
    <s v="."/>
  </r>
  <r>
    <s v="R"/>
    <x v="12"/>
    <d v="2026-05-08T00:00:00"/>
    <n v="2"/>
    <n v="3"/>
    <n v="1.39"/>
    <n v="0.45"/>
    <s v="Irving"/>
    <n v="4343792"/>
    <n v="486"/>
    <s v="https://www.whatnot.com/order/4QyCs9xsuozDF4z5kAMs7r"/>
    <s v="whatnot.com/order/4QyCs9xsuozDF4z5kAMs7r_x000a_$3.00 + $1.72 (Shared Shipping) + $0.48 Tax = Total of $5.20"/>
    <s v="whatnot.com/order/4QyCs9xsuozDF4z5kAMs7r_x000a_$3.00 + $1.72 (Shared Shipping) + $0.48 Tax = Total of $5.20"/>
    <n v="4.84"/>
    <n v="1.72"/>
    <n v="4.72"/>
    <n v="0.48379999999999995"/>
    <n v="5.2037999999999993"/>
    <n v="1.25"/>
    <n v="-3.9537999999999993"/>
    <n v="1"/>
    <s v="2022 Panini Chronicles Draft Picks Revolution"/>
    <s v="Kyrie Irving #63"/>
    <s v="."/>
  </r>
  <r>
    <s v="R"/>
    <x v="13"/>
    <d v="2026-05-08T00:00:00"/>
    <n v="1"/>
    <n v="1.6666666666666667"/>
    <n v="1.0233333333333334"/>
    <n v="0.27555555555555555"/>
    <s v="Wembanyama"/>
    <n v="12615262"/>
    <n v="414"/>
    <s v="https://www.whatnot.com/order/7eozouSEnosHtokHHfAAYH"/>
    <s v="whatnot.com/order/7eozouSEnosHtokHHfAAYH_x000a_$1.67 + $1.02 (Shared Shipping) + $0.28 Tax = Total of $2.97"/>
    <s v="whatnot.com/order/7eozouSEnosHtokHHfAAYH_x000a_$1.67 + $1.02 (Shared Shipping) + $0.28 Tax = Total of $2.97"/>
    <n v="2.9655555555555559"/>
    <n v="1.0233333333333334"/>
    <n v="2.6900000000000004"/>
    <n v="0.275725"/>
    <n v="2.9657250000000004"/>
    <n v="1.35"/>
    <n v="-1.6157250000000003"/>
    <n v="2"/>
    <s v="2025 Bowman"/>
    <s v="Victor Wembanyama #143"/>
    <s v="."/>
  </r>
  <r>
    <s v="R"/>
    <x v="13"/>
    <d v="2026-05-08T00:00:00"/>
    <n v="1"/>
    <n v="1.6666666666666667"/>
    <n v="1.0233333333333334"/>
    <n v="0.27555555555555555"/>
    <s v="Jokic"/>
    <n v="12643617"/>
    <n v="455"/>
    <s v="https://www.whatnot.com/order/7eozouSEnosHtokHHfAAYH"/>
    <s v="whatnot.com/order/7eozouSEnosHtokHHfAAYH_x000a_$1.67 + $1.02 (Shared Shipping) + $0.28 Tax = Total of $2.97"/>
    <s v="whatnot.com/order/7eozouSEnosHtokHHfAAYH_x000a_$1.67 + $1.02 (Shared Shipping) + $0.28 Tax = Total of $2.97"/>
    <n v="2.9655555555555559"/>
    <n v="1.0233333333333334"/>
    <n v="2.6900000000000004"/>
    <n v="0.275725"/>
    <n v="2.9657250000000004"/>
    <n v="1.25"/>
    <n v="-1.7157250000000004"/>
    <n v="1"/>
    <s v="2025 Bowman Young Kings"/>
    <s v="Nikola Jokic #YK-6"/>
    <s v="."/>
  </r>
  <r>
    <s v="R"/>
    <x v="13"/>
    <d v="2026-05-08T00:00:00"/>
    <n v="1"/>
    <n v="1.6666666666666667"/>
    <n v="1.0233333333333334"/>
    <n v="0.27555555555555555"/>
    <s v="Jokic"/>
    <n v="2892569"/>
    <n v="177"/>
    <s v="https://www.whatnot.com/order/7eozouSEnosHtokHHfAAYH"/>
    <s v="whatnot.com/order/7eozouSEnosHtokHHfAAYH_x000a_$1.67 + $1.02 (Shared Shipping) + $0.28 Tax = Total of $2.97"/>
    <s v="whatnot.com/order/7eozouSEnosHtokHHfAAYH_x000a_$1.67 + $1.02 (Shared Shipping) + $0.28 Tax = Total of $2.97"/>
    <n v="2.9655555555555559"/>
    <n v="1.0233333333333334"/>
    <n v="2.6900000000000004"/>
    <n v="0.275725"/>
    <n v="2.9657250000000004"/>
    <n v="3"/>
    <n v="3.4274999999999611E-2"/>
    <n v="1"/>
    <s v="2019 Panini Hoops Lights Camera Action"/>
    <s v="Nikola Jokic [Holo] #28"/>
    <s v="Not sure which parallel it is or if premium or not"/>
  </r>
  <r>
    <s v="R"/>
    <x v="13"/>
    <d v="2026-05-08T00:00:00"/>
    <n v="1"/>
    <n v="1.6666666666666667"/>
    <n v="1.0233333333333334"/>
    <n v="0.27555555555555555"/>
    <s v="Wembanyama"/>
    <n v="9778816"/>
    <n v="83"/>
    <s v="https://www.whatnot.com/order/7eozouSEnosHtokHHfAAYH"/>
    <s v="whatnot.com/order/7eozouSEnosHtokHHfAAYH_x000a_$1.67 + $1.02 (Shared Shipping) + $0.28 Tax = Total of $2.97"/>
    <s v="whatnot.com/order/7eozouSEnosHtokHHfAAYH_x000a_$1.67 + $1.02 (Shared Shipping) + $0.28 Tax = Total of $2.97"/>
    <n v="2.9655555555555559"/>
    <n v="1.0233333333333334"/>
    <n v="2.6900000000000004"/>
    <n v="0.275725"/>
    <n v="2.9657250000000004"/>
    <n v="42.54"/>
    <n v="39.574275"/>
    <n v="1"/>
    <s v="2024 Panini Select"/>
    <s v="Victor Wembanyama [Orange Cracked Ice Prizm] #9"/>
    <s v="."/>
  </r>
  <r>
    <s v="R"/>
    <x v="13"/>
    <d v="2026-05-08T00:00:00"/>
    <n v="1"/>
    <n v="1.6666666666666667"/>
    <n v="1.0233333333333334"/>
    <n v="0.27555555555555555"/>
    <s v="Shai"/>
    <n v="2963876"/>
    <n v="381"/>
    <s v="https://www.whatnot.com/order/7eozouSEnosHtokHHfAAYH"/>
    <s v="whatnot.com/order/7eozouSEnosHtokHHfAAYH_x000a_$1.67 + $1.02 (Shared Shipping) + $0.28 Tax = Total of $2.97"/>
    <s v="whatnot.com/order/7eozouSEnosHtokHHfAAYH_x000a_$1.67 + $1.02 (Shared Shipping) + $0.28 Tax = Total of $2.97"/>
    <n v="2.9655555555555559"/>
    <n v="1.0233333333333334"/>
    <n v="2.6900000000000004"/>
    <n v="0.275725"/>
    <n v="2.9657250000000004"/>
    <n v="1.79"/>
    <n v="-1.1757250000000004"/>
    <n v="1"/>
    <s v="2020 Panini Illusions"/>
    <s v="Shai Gilgeous-Alexander #35"/>
    <s v="."/>
  </r>
  <r>
    <s v="R"/>
    <x v="13"/>
    <d v="2026-05-08T00:00:00"/>
    <n v="1"/>
    <n v="1.6666666666666667"/>
    <n v="1.0233333333333334"/>
    <n v="0.27555555555555555"/>
    <s v="Shai"/>
    <n v="3727518"/>
    <n v="363"/>
    <s v="https://www.whatnot.com/order/7eozouSEnosHtokHHfAAYH"/>
    <s v="whatnot.com/order/7eozouSEnosHtokHHfAAYH_x000a_$1.67 + $1.02 (Shared Shipping) + $0.28 Tax = Total of $2.97"/>
    <s v="whatnot.com/order/7eozouSEnosHtokHHfAAYH_x000a_$1.67 + $1.02 (Shared Shipping) + $0.28 Tax = Total of $2.97"/>
    <n v="2.9655555555555559"/>
    <n v="1.0233333333333334"/>
    <n v="2.6900000000000004"/>
    <n v="0.275725"/>
    <n v="2.9657250000000004"/>
    <n v="1.47"/>
    <n v="-1.4957250000000004"/>
    <n v="1"/>
    <s v="2021 Panini Prizm"/>
    <s v="Shai Gilgeous Alexander #238"/>
    <s v="."/>
  </r>
  <r>
    <s v="R"/>
    <x v="13"/>
    <d v="2026-05-08T00:00:00"/>
    <n v="1"/>
    <n v="1.6666666666666667"/>
    <n v="1.0233333333333334"/>
    <n v="0.27555555555555555"/>
    <s v="Luka"/>
    <n v="9960699"/>
    <n v="156"/>
    <s v="https://www.whatnot.com/order/7eozouSEnosHtokHHfAAYH"/>
    <s v="whatnot.com/order/7eozouSEnosHtokHHfAAYH_x000a_$1.67 + $1.02 (Shared Shipping) + $0.28 Tax = Total of $2.97"/>
    <s v="whatnot.com/order/7eozouSEnosHtokHHfAAYH_x000a_$1.67 + $1.02 (Shared Shipping) + $0.28 Tax = Total of $2.97"/>
    <n v="2.9655555555555559"/>
    <n v="1.0233333333333334"/>
    <n v="2.6900000000000004"/>
    <n v="0.275725"/>
    <n v="2.9657250000000004"/>
    <n v="3.11"/>
    <n v="0.14427499999999949"/>
    <n v="2"/>
    <s v="2024 Panini Mosaic Epic Performers"/>
    <s v="Luka Doncic [Green] #10"/>
    <s v="."/>
  </r>
  <r>
    <s v="R"/>
    <x v="13"/>
    <d v="2026-05-08T00:00:00"/>
    <n v="1"/>
    <n v="1.6666666666666667"/>
    <n v="1.0233333333333334"/>
    <n v="0.27555555555555555"/>
    <s v="James"/>
    <n v="2945720"/>
    <n v="467"/>
    <s v="https://www.whatnot.com/order/7eozouSEnosHtokHHfAAYH"/>
    <s v="whatnot.com/order/7eozouSEnosHtokHHfAAYH_x000a_$1.67 + $1.02 (Shared Shipping) + $0.28 Tax = Total of $2.97"/>
    <s v="whatnot.com/order/7eozouSEnosHtokHHfAAYH_x000a_$1.67 + $1.02 (Shared Shipping) + $0.28 Tax = Total of $2.97"/>
    <n v="2.9655555555555559"/>
    <n v="1.0233333333333334"/>
    <n v="2.6900000000000004"/>
    <n v="0.275725"/>
    <n v="2.9657250000000004"/>
    <n v="1.06"/>
    <n v="-1.9057250000000003"/>
    <n v="1"/>
    <s v="2020 Panini Chronicles"/>
    <s v="LeBron James #118"/>
    <s v="."/>
  </r>
  <r>
    <s v="R"/>
    <x v="13"/>
    <d v="2026-05-08T00:00:00"/>
    <n v="1"/>
    <n v="1.6666666666666667"/>
    <n v="1.0233333333333334"/>
    <n v="0.27555555555555555"/>
    <s v="Curry"/>
    <n v="9943175"/>
    <n v="322"/>
    <s v="https://www.whatnot.com/order/7eozouSEnosHtokHHfAAYH"/>
    <s v="whatnot.com/order/7eozouSEnosHtokHHfAAYH_x000a_$1.67 + $1.02 (Shared Shipping) + $0.28 Tax = Total of $2.97"/>
    <s v="whatnot.com/order/7eozouSEnosHtokHHfAAYH_x000a_$1.67 + $1.02 (Shared Shipping) + $0.28 Tax = Total of $2.97"/>
    <n v="2.9655555555555559"/>
    <n v="1.0233333333333334"/>
    <n v="2.6900000000000004"/>
    <n v="0.275725"/>
    <n v="2.9657250000000004"/>
    <n v="1.64"/>
    <n v="-1.3257250000000005"/>
    <n v="1"/>
    <s v="2024 Panini Mosaic"/>
    <s v="Stephen Curry #163"/>
    <s v="."/>
  </r>
  <r>
    <s v="R"/>
    <x v="14"/>
    <d v="2026-05-08T00:00:00"/>
    <s v="Givvy 25"/>
    <n v="0"/>
    <n v="0"/>
    <n v="0"/>
    <s v="Fox"/>
    <n v="7094582"/>
    <n v="105"/>
    <s v="https://www.whatnot.com/order/m4fEeiDTAEFP5LnXvHdGVx"/>
    <s v="whatnot.com/order/m4fEeiDTAEFP5LnXvHdGVx_x000a_$0.00 + $0.00 (Shared Shipping) + $0.00 Tax = Total of $0.00"/>
    <s v="whatnot.com/order/m4fEeiDTAEFP5LnXvHdGVx_x000a_$0.00 + $0.00 (Shared Shipping) + $0.00 Tax = Total of $0.00"/>
    <n v="0"/>
    <n v="0"/>
    <n v="0"/>
    <n v="0"/>
    <n v="0"/>
    <n v="1.88"/>
    <n v="1.88"/>
    <n v="1"/>
    <s v="2019 Panini Hoops Premium Stock Lights Camera Action"/>
    <s v="De'Aaron Fox #3"/>
    <s v="."/>
  </r>
  <r>
    <s v="R"/>
    <x v="15"/>
    <d v="2026-05-10T00:00:00"/>
    <n v="2"/>
    <n v="4"/>
    <n v="0.78"/>
    <n v="0.49"/>
    <s v="Flagg"/>
    <n v="10819468"/>
    <n v="129"/>
    <s v="https://www.whatnot.com/order/WKa7ntNswTBEf2VahSBtgB"/>
    <s v="whatnot.com/order/WKa7ntNswTBEf2VahSBtgB_x000a_$4.00 + $0.55 (Shared Shipping) + $0.47 Tax = Total of $5.01"/>
    <s v="whatnot.com/order/WKa7ntNswTBEf2VahSBtgB_x000a_$4.00 + $0.55 (Shared Shipping) + $0.47 Tax = Total of $5.01"/>
    <n v="5.2700000000000005"/>
    <n v="0.54500000000000004"/>
    <n v="4.5449999999999999"/>
    <n v="0.46586249999999996"/>
    <n v="5.0108625"/>
    <n v="4.88"/>
    <n v="-0.1308625000000001"/>
    <n v="1"/>
    <s v="2025 Topps"/>
    <s v="Cooper Flagg #201"/>
    <s v="."/>
  </r>
  <r>
    <s v="R"/>
    <x v="15"/>
    <d v="2026-05-10T00:00:00"/>
    <n v="11"/>
    <n v="1"/>
    <n v="0.31"/>
    <n v="0.15"/>
    <s v="Luka"/>
    <n v="9259985"/>
    <n v="542"/>
    <s v="https://www.whatnot.com/order/RBy2pvRpcvEutM74HSJXng"/>
    <s v="whatnot.com/order/RBy2pvRpcvEutM74HSJXng_x000a_$1.00 + $0.55 (Shared Shipping) + $0.16 Tax = Total of $1.70"/>
    <s v="whatnot.com/order/RBy2pvRpcvEutM74HSJXng_x000a_$1.00 + $0.55 (Shared Shipping) + $0.16 Tax = Total of $1.70"/>
    <n v="1.46"/>
    <n v="0.54500000000000004"/>
    <n v="1.5449999999999999"/>
    <n v="0.15836249999999999"/>
    <n v="1.7033624999999999"/>
    <n v="1"/>
    <n v="-0.70336249999999989"/>
    <n v="1"/>
    <s v="2024 Panini Revolution"/>
    <s v="Luka Doncic #13"/>
    <s v="."/>
  </r>
  <r>
    <s v="R"/>
    <x v="16"/>
    <d v="2026-05-11T00:00:00"/>
    <n v="27"/>
    <n v="1"/>
    <n v="0.78"/>
    <n v="0.19"/>
    <s v="Luka"/>
    <n v="2884706"/>
    <n v="228"/>
    <s v="https://www.whatnot.com/order/BgoaXMcouJPo8C7yxmzWdd"/>
    <s v="whatnot.com/order/BgoaXMcouJPo8C7yxmzWdd_x000a_$1.00 + $0.78 (Shared Shipping) + $0.18 Tax = Total of $1.96"/>
    <s v="whatnot.com/order/BgoaXMcouJPo8C7yxmzWdd_x000a_$1.00 + $0.78 (Shared Shipping) + $0.18 Tax = Total of $1.96"/>
    <n v="1.97"/>
    <n v="0.78"/>
    <n v="1.78"/>
    <n v="0.18245"/>
    <n v="1.96245"/>
    <n v="2.25"/>
    <n v="0.28754999999999997"/>
    <n v="1"/>
    <s v="2019 Panini Donruss Franchise Features"/>
    <s v="Luka Doncic #29"/>
    <s v="."/>
  </r>
  <r>
    <s v="R"/>
    <x v="17"/>
    <d v="2026-05-11T00:00:00"/>
    <s v="Givvy"/>
    <n v="0"/>
    <n v="0"/>
    <n v="0"/>
    <s v="Raynaud"/>
    <n v="11486782"/>
    <n v="532"/>
    <s v="https://www.whatnot.com/order/kPmzHw359b76wtiBHv2d7E"/>
    <s v="whatnot.com/order/kPmzHw359b76wtiBHv2d7E_x000a_$0.00 + $0.00 (Shared Shipping) + $0.00 Tax = Total of $0.00"/>
    <s v="whatnot.com/order/kPmzHw359b76wtiBHv2d7E_x000a_$0.00 + $0.00 (Shared Shipping) + $0.00 Tax = Total of $0.00"/>
    <n v="0"/>
    <n v="0"/>
    <n v="0"/>
    <n v="0"/>
    <n v="0"/>
    <n v="1"/>
    <n v="1"/>
    <n v="1"/>
    <s v="2025 Topps Chrome"/>
    <s v="Maxime Raynaud #293"/>
    <s v="."/>
  </r>
  <r>
    <s v="R"/>
    <x v="18"/>
    <d v="2026-05-11T00:00:00"/>
    <n v="427"/>
    <n v="2"/>
    <n v="4.29"/>
    <n v="0.66"/>
    <s v="Williams"/>
    <n v="92496"/>
    <n v="152"/>
    <s v="https://www.whatnot.com/order/RtJrQKBCiEPUi9krGFqsyU"/>
    <s v="whatnot.com/order/RtJrQKBCiEPUi9krGFqsyU_x000a_$2.00 + $4.29 (Shared Shipping) + $0.64 Tax = Total of $6.93"/>
    <s v="whatnot.com/order/RtJrQKBCiEPUi9krGFqsyU_x000a_$2.00 + $4.29 (Shared Shipping) + $0.64 Tax = Total of $6.93"/>
    <n v="6.95"/>
    <n v="4.29"/>
    <n v="6.29"/>
    <n v="0.64472499999999999"/>
    <n v="6.9347250000000003"/>
    <n v="3.28"/>
    <n v="-3.6547250000000004"/>
    <n v="1"/>
    <s v="1998 Fleer Brilliants"/>
    <s v="Jason Williams #107"/>
    <s v="."/>
  </r>
  <r>
    <s v="R"/>
    <x v="19"/>
    <d v="2026-05-12T00:00:00"/>
    <n v="83"/>
    <n v="1"/>
    <n v="0.78"/>
    <n v="0.19"/>
    <s v="Luka"/>
    <n v="95654"/>
    <n v="320"/>
    <s v="https://www.whatnot.com/order/LzxCN3kkWJX8nCqy8qr5nU"/>
    <s v="whatnot.com/order/LzxCN3kkWJX8nCqy8qr5nU_x000a_$1.00 + $0.55 (Shared Shipping) + $0.16 Tax = Total of $1.70"/>
    <s v="whatnot.com/order/LzxCN3kkWJX8nCqy8qr5nU_x000a_$1.00 + $0.55 (Shared Shipping) + $0.16 Tax = Total of $1.70"/>
    <n v="1.97"/>
    <n v="0.54500000000000004"/>
    <n v="1.5449999999999999"/>
    <n v="0.15836249999999999"/>
    <n v="1.7033624999999999"/>
    <n v="1.9"/>
    <n v="0.19663750000000002"/>
    <n v="1"/>
    <s v="2019 Panini Prizm"/>
    <s v="Luka Doncic #75"/>
    <s v="."/>
  </r>
  <r>
    <s v="R"/>
    <x v="19"/>
    <d v="2026-05-12T00:00:00"/>
    <n v="84"/>
    <n v="2"/>
    <n v="0.31"/>
    <n v="0.25"/>
    <s v="Luka"/>
    <n v="8846235"/>
    <n v="215"/>
    <s v="https://www.whatnot.com/order/Qz7U5ppnESxTUaQq9NtVok"/>
    <s v="whatnot.com/order/Qz7U5ppnESxTUaQq9NtVok_x000a_$2.00 + $0.55 (Shared Shipping) + $0.26 Tax = Total of $2.81"/>
    <s v="whatnot.com/order/Qz7U5ppnESxTUaQq9NtVok_x000a_$2.00 + $0.55 (Shared Shipping) + $0.26 Tax = Total of $2.81"/>
    <n v="2.56"/>
    <n v="0.54500000000000004"/>
    <n v="2.5449999999999999"/>
    <n v="0.2608625"/>
    <n v="2.8058624999999999"/>
    <n v="3.02"/>
    <n v="0.21413750000000009"/>
    <n v="1"/>
    <s v="2024 Panini Prizm"/>
    <s v="Luka Doncic [Green] #89"/>
    <s v="."/>
  </r>
  <r>
    <s v="R"/>
    <x v="20"/>
    <d v="2026-05-12T00:00:00"/>
    <n v="163"/>
    <n v="2"/>
    <n v="0.78"/>
    <n v="0.28999999999999998"/>
    <s v="Luka"/>
    <n v="3114681"/>
    <n v="304"/>
    <s v="https://www.whatnot.com/order/AFcBHwTXfggkzDpK3hRwdb"/>
    <s v="whatnot.com/order/AFcBHwTXfggkzDpK3hRwdb_x000a_$2.00 + $0.36 (Shared Shipping) + $0.24 Tax = Total of $2.61"/>
    <s v="whatnot.com/order/AFcBHwTXfggkzDpK3hRwdb_x000a_$2.00 + $0.36 (Shared Shipping) + $0.24 Tax = Total of $2.61"/>
    <n v="3.0700000000000003"/>
    <n v="0.36333333333333334"/>
    <n v="2.3633333333333333"/>
    <n v="0.24224166666666666"/>
    <n v="2.605575"/>
    <n v="1.49"/>
    <n v="-1.115575"/>
    <n v="1"/>
    <s v="2021 Panini Hoops"/>
    <s v="Luka Doncic [Purple] #62"/>
    <s v="."/>
  </r>
  <r>
    <s v="R"/>
    <x v="20"/>
    <d v="2026-05-12T00:00:00"/>
    <n v="166"/>
    <n v="2"/>
    <n v="0.31"/>
    <n v="0.25"/>
    <s v="Luka"/>
    <n v="2967050"/>
    <n v="176"/>
    <s v="https://www.whatnot.com/order/QTaAU7BuEKWFVBSztLHVZt"/>
    <s v="whatnot.com/order/QTaAU7BuEKWFVBSztLHVZt_x000a_$2.00 + $0.36 (Shared Shipping) + $0.24 Tax = Total of $2.61"/>
    <s v="whatnot.com/order/QTaAU7BuEKWFVBSztLHVZt_x000a_$2.00 + $0.36 (Shared Shipping) + $0.24 Tax = Total of $2.61"/>
    <n v="2.56"/>
    <n v="0.36333333333333334"/>
    <n v="2.3633333333333333"/>
    <n v="0.24224166666666666"/>
    <n v="2.605575"/>
    <n v="3"/>
    <n v="0.39442500000000003"/>
    <n v="1"/>
    <s v="2020 Panini Illusions"/>
    <s v="Luka Doncic [Sapphire] #43"/>
    <s v="."/>
  </r>
  <r>
    <s v="R"/>
    <x v="20"/>
    <d v="2026-05-12T00:00:00"/>
    <n v="167"/>
    <n v="2"/>
    <n v="0"/>
    <n v="0.21"/>
    <s v="Morant"/>
    <n v="12104444"/>
    <n v="489"/>
    <s v="https://www.whatnot.com/order/MwfykcrBkKSMi8nZ7VXmSm"/>
    <s v="whatnot.com/order/MwfykcrBkKSMi8nZ7VXmSm_x000a_$2.00 + $0.36 (Shared Shipping) + $0.24 Tax = Total of $2.61"/>
    <s v="whatnot.com/order/MwfykcrBkKSMi8nZ7VXmSm_x000a_$2.00 + $0.36 (Shared Shipping) + $0.24 Tax = Total of $2.61"/>
    <n v="2.21"/>
    <n v="0.36333333333333334"/>
    <n v="2.3633333333333333"/>
    <n v="0.24224166666666666"/>
    <n v="2.605575"/>
    <n v="1.53"/>
    <n v="-1.0755749999999999"/>
    <n v="1"/>
    <s v="2025 Topps Finest"/>
    <s v="Ja Morant [Oil Spill Refractor] #93"/>
    <s v="Confirm if it is refractor"/>
  </r>
  <r>
    <s v="R"/>
    <x v="21"/>
    <d v="2026-05-12T00:00:00"/>
    <s v="Givvy"/>
    <n v="0"/>
    <n v="0"/>
    <n v="0"/>
    <s v="N/A"/>
    <s v="N/A"/>
    <s v="N/A-5"/>
    <s v="https://www.whatnot.com/order/6ARC4WVoNn7Q6k5D2EzpXQ"/>
    <s v="whatnot.com/order/6ARC4WVoNn7Q6k5D2EzpXQ_x000a_$0.00 + $0.00 (Shared Shipping) + $0.00 Tax = Total of $0.00"/>
    <s v="whatnot.com/order/6ARC4WVoNn7Q6k5D2EzpXQ_x000a_$0.00 + $0.00 (Shared Shipping) + $0.00 Tax = Total of $0.00"/>
    <n v="0"/>
    <n v="0"/>
    <n v="0"/>
    <n v="0"/>
    <n v="0"/>
    <e v="#DIV/0!"/>
    <n v="0"/>
    <n v="0"/>
    <e v="#N/A"/>
    <e v="#N/A"/>
    <s v="."/>
  </r>
  <r>
    <s v="R"/>
    <x v="22"/>
    <d v="2026-05-12T00:00:00"/>
    <n v="115"/>
    <n v="2"/>
    <n v="1.0900000000000001"/>
    <n v="0.32"/>
    <s v="Jokic"/>
    <n v="8388520"/>
    <n v="50"/>
    <s v="https://www.whatnot.com/order/RykinryybXh9vCb6txwXKc"/>
    <s v="whatnot.com/order/RykinryybXh9vCb6txwXKc_x000a_$2.00 + $0.74 (Shared Shipping) + $0.28 Tax = Total of $3.02"/>
    <s v="whatnot.com/order/RykinryybXh9vCb6txwXKc_x000a_$2.00 + $0.74 (Shared Shipping) + $0.28 Tax = Total of $3.02"/>
    <n v="3.4099999999999997"/>
    <n v="0.73875000000000002"/>
    <n v="2.73875"/>
    <n v="0.28072187500000001"/>
    <n v="3.0194718749999998"/>
    <n v="5.8"/>
    <n v="2.780528125"/>
    <n v="1"/>
    <s v="2024 Panini NBA Hoops"/>
    <s v="Nikola Jokic [Silver] #12"/>
    <s v="Card added was numbered"/>
  </r>
  <r>
    <s v="R"/>
    <x v="22"/>
    <d v="2026-05-12T00:00:00"/>
    <n v="121"/>
    <n v="2"/>
    <n v="0.3"/>
    <n v="0.25"/>
    <s v="Luka"/>
    <n v="9259984"/>
    <n v="241"/>
    <s v="https://www.whatnot.com/order/5scJ87fFG7iaQkajYWq4bV"/>
    <s v="whatnot.com/order/5scJ87fFG7iaQkajYWq4bV_x000a_$2.00 + $0.74 (Shared Shipping) + $0.28 Tax = Total of $3.02"/>
    <s v="whatnot.com/order/5scJ87fFG7iaQkajYWq4bV_x000a_$2.00 + $0.74 (Shared Shipping) + $0.28 Tax = Total of $3.02"/>
    <n v="2.5499999999999998"/>
    <n v="0.73875000000000002"/>
    <n v="2.73875"/>
    <n v="0.28072187500000001"/>
    <n v="3.0194718749999998"/>
    <n v="1.88"/>
    <n v="-1.1394718749999999"/>
    <n v="1"/>
    <s v="2024 Panini Revolution"/>
    <s v="Luka Doncic [Astro] #13"/>
    <s v="."/>
  </r>
  <r>
    <s v="R"/>
    <x v="22"/>
    <d v="2026-05-12T00:00:00"/>
    <n v="127"/>
    <n v="2"/>
    <n v="3.56"/>
    <n v="0.56999999999999995"/>
    <s v="Irving"/>
    <n v="6355545"/>
    <n v="348"/>
    <s v="https://www.whatnot.com/order/U4wUV4wsrmJG4Ko5kpcCWo"/>
    <s v="whatnot.com/order/U4wUV4wsrmJG4Ko5kpcCWo_x000a_$2.00 + $0.74 (Shared Shipping) + $0.28 Tax = Total of $3.02"/>
    <s v="whatnot.com/order/U4wUV4wsrmJG4Ko5kpcCWo_x000a_$2.00 + $0.74 (Shared Shipping) + $0.28 Tax = Total of $3.02"/>
    <n v="6.1300000000000008"/>
    <n v="0.73875000000000002"/>
    <n v="2.73875"/>
    <n v="0.28072187500000001"/>
    <n v="3.0194718749999998"/>
    <n v="1.5"/>
    <n v="-1.5194718749999998"/>
    <n v="1"/>
    <s v="2023 Panini Prizm"/>
    <s v="Kyrie Irving [Orange Ice] #22"/>
    <s v="."/>
  </r>
  <r>
    <s v="R"/>
    <x v="22"/>
    <d v="2026-05-12T00:00:00"/>
    <n v="133"/>
    <n v="2"/>
    <n v="0"/>
    <n v="0.21"/>
    <s v="Brunson"/>
    <n v="2965943"/>
    <n v="382"/>
    <s v="https://www.whatnot.com/order/6AEw6dYtHHV2b8pbZH8HLX"/>
    <s v="whatnot.com/order/6AEw6dYtHHV2b8pbZH8HLX_x000a_$2.00 + $0.74 (Shared Shipping) + $0.28 Tax = Total of $3.02"/>
    <s v="whatnot.com/order/6AEw6dYtHHV2b8pbZH8HLX_x000a_$2.00 + $0.74 (Shared Shipping) + $0.28 Tax = Total of $3.02"/>
    <n v="2.21"/>
    <n v="0.73875000000000002"/>
    <n v="2.73875"/>
    <n v="0.28072187500000001"/>
    <n v="3.0194718749999998"/>
    <n v="1.35"/>
    <n v="-1.6694718749999997"/>
    <n v="1"/>
    <s v="2020 Panini Illusions"/>
    <s v="Jalen Brunson [Emerald] #125"/>
    <s v="Streamer said it was Green, which is out of 5, I am guessing it is actually Emerald (Common) or a teal out of 75"/>
  </r>
  <r>
    <s v="R"/>
    <x v="22"/>
    <d v="2026-05-12T00:00:00"/>
    <n v="134"/>
    <n v="2"/>
    <n v="0"/>
    <n v="0.21"/>
    <s v="Irving"/>
    <n v="5468137"/>
    <n v="534"/>
    <s v="https://www.whatnot.com/order/6aFhbaxuXeTPJA8aZNx5Bj"/>
    <s v="whatnot.com/order/6aFhbaxuXeTPJA8aZNx5Bj_x000a_$2.00 + $0.74 (Shared Shipping) + $0.28 Tax = Total of $3.02"/>
    <s v="whatnot.com/order/6aFhbaxuXeTPJA8aZNx5Bj_x000a_$2.00 + $0.74 (Shared Shipping) + $0.28 Tax = Total of $3.02"/>
    <n v="2.21"/>
    <n v="0.73875000000000002"/>
    <n v="2.73875"/>
    <n v="0.28072187500000001"/>
    <n v="3.0194718749999998"/>
    <n v="1.04"/>
    <n v="-1.9794718749999998"/>
    <n v="1"/>
    <s v="2022 Panini Select"/>
    <s v="Kyrie Irving [Blue Ice] #130"/>
    <s v="."/>
  </r>
  <r>
    <s v="R"/>
    <x v="22"/>
    <d v="2026-05-12T00:00:00"/>
    <n v="148"/>
    <n v="2"/>
    <n v="0.96"/>
    <n v="0.31"/>
    <s v="Maxey"/>
    <n v="10192986"/>
    <n v="549"/>
    <s v="https://www.whatnot.com/order/apudhfkcpm8mjfcciD2gPJ"/>
    <s v="whatnot.com/order/apudhfkcpm8mjfcciD2gPJ_x000a_$2.00 + $0.74 (Shared Shipping) + $0.28 Tax = Total of $3.02"/>
    <s v="whatnot.com/order/apudhfkcpm8mjfcciD2gPJ_x000a_$2.00 + $0.74 (Shared Shipping) + $0.28 Tax = Total of $3.02"/>
    <n v="3.27"/>
    <n v="0.73875000000000002"/>
    <n v="2.73875"/>
    <n v="0.28072187500000001"/>
    <n v="3.0194718749999998"/>
    <n v="1"/>
    <n v="-2.0194718749999998"/>
    <n v="1"/>
    <s v="2024 Panini Donruss Optic"/>
    <s v="Tyrese Maxey [Holo] #135"/>
    <s v="Silver not listed so I chose Holo"/>
  </r>
  <r>
    <s v="R"/>
    <x v="22"/>
    <d v="2026-05-12T00:00:00"/>
    <n v="153"/>
    <n v="2"/>
    <n v="0"/>
    <n v="0.21"/>
    <s v="Nowitzki"/>
    <n v="11484094"/>
    <n v="479"/>
    <s v="https://www.whatnot.com/order/3HUXgbQpXQ3HpVzdfDiwuW"/>
    <s v="whatnot.com/order/3HUXgbQpXQ3HpVzdfDiwuW_x000a_$2.00 + $0.74 (Shared Shipping) + $0.28 Tax = Total of $3.02"/>
    <s v="whatnot.com/order/3HUXgbQpXQ3HpVzdfDiwuW_x000a_$2.00 + $0.74 (Shared Shipping) + $0.28 Tax = Total of $3.02"/>
    <n v="2.21"/>
    <n v="0.73875000000000002"/>
    <n v="2.73875"/>
    <n v="0.28072187500000001"/>
    <n v="3.0194718749999998"/>
    <n v="1.5"/>
    <n v="-1.5194718749999998"/>
    <n v="2"/>
    <s v="2025 Topps Chrome"/>
    <s v="Dirk Nowitzki [Refractor] #246"/>
    <s v="."/>
  </r>
  <r>
    <s v="R"/>
    <x v="22"/>
    <d v="2026-05-12T00:00:00"/>
    <n v="165"/>
    <n v="3"/>
    <n v="0"/>
    <n v="0.31"/>
    <s v="Shai"/>
    <n v="10193263"/>
    <n v="316"/>
    <s v="https://www.whatnot.com/order/YSnqxDb4AmM3M6XH7veFMz"/>
    <s v="whatnot.com/order/YSnqxDb4AmM3M6XH7veFMz_x000a_$3.00 + $0.74 (Shared Shipping) + $0.38 Tax = Total of $4.12"/>
    <s v="whatnot.com/order/YSnqxDb4AmM3M6XH7veFMz_x000a_$3.00 + $0.74 (Shared Shipping) + $0.38 Tax = Total of $4.12"/>
    <n v="3.31"/>
    <n v="0.73875000000000002"/>
    <n v="3.73875"/>
    <n v="0.38322187499999999"/>
    <n v="4.1219718749999998"/>
    <n v="1.97"/>
    <n v="-2.1519718750000001"/>
    <n v="1"/>
    <s v="2024 Panini Donruss Optic"/>
    <s v="Shai Gilgeous-Alexander [Hyper Pink] #127"/>
    <s v="."/>
  </r>
  <r>
    <s v="R"/>
    <x v="23"/>
    <d v="2026-05-12T00:00:00"/>
    <n v="58"/>
    <n v="2"/>
    <n v="1.0900000000000001"/>
    <n v="0.32"/>
    <s v="McDaniels"/>
    <n v="8013967"/>
    <n v="222"/>
    <s v="https://www.whatnot.com/order/6GpfoWGnD4i8UVt4E9YZb3"/>
    <s v="whatnot.com/order/6GpfoWGnD4i8UVt4E9YZb3_x000a_$2.00 + $1.09 (Shared Shipping) + $0.32 Tax = Total of $3.41"/>
    <s v="whatnot.com/order/6GpfoWGnD4i8UVt4E9YZb3_x000a_$2.00 + $1.09 (Shared Shipping) + $0.32 Tax = Total of $3.41"/>
    <n v="3.4099999999999997"/>
    <n v="1.0900000000000001"/>
    <n v="3.09"/>
    <n v="0.31672499999999998"/>
    <n v="3.4067249999999998"/>
    <n v="2.81"/>
    <n v="-0.59672499999999973"/>
    <n v="1"/>
    <s v="2020 Panini Prizm Emergent"/>
    <s v="Jaden McDaniels [Silver Prizm] #10"/>
    <s v="."/>
  </r>
  <r>
    <s v="R"/>
    <x v="24"/>
    <d v="2026-05-13T00:00:00"/>
    <n v="44"/>
    <n v="2"/>
    <n v="0.78"/>
    <n v="0.28999999999999998"/>
    <s v="Morant"/>
    <n v="156855"/>
    <n v="233"/>
    <s v="https://www.whatnot.com/order/dxXz2Jyt4MAZh5PgRPhA2e"/>
    <s v="whatnot.com/order/dxXz2Jyt4MAZh5PgRPhA2e_x000a_$2.00 + $0.63 (Shared Shipping) + $0.27 Tax = Total of $2.90"/>
    <s v="whatnot.com/order/dxXz2Jyt4MAZh5PgRPhA2e_x000a_$2.00 + $0.63 (Shared Shipping) + $0.27 Tax = Total of $2.90"/>
    <n v="3.0700000000000003"/>
    <n v="0.6272727272727272"/>
    <n v="2.627272727272727"/>
    <n v="0.2692954545454545"/>
    <n v="2.8965681818181817"/>
    <n v="2.2200000000000002"/>
    <n v="-0.67656818181818146"/>
    <n v="1"/>
    <s v="2019 Panini Chronicles"/>
    <s v="JA Morant [Silver] #580"/>
    <s v="."/>
  </r>
  <r>
    <s v="R"/>
    <x v="24"/>
    <d v="2026-05-13T00:00:00"/>
    <n v="46"/>
    <n v="2"/>
    <n v="0.31"/>
    <n v="0.25"/>
    <s v="Luka"/>
    <n v="9960699"/>
    <n v="155"/>
    <s v="https://www.whatnot.com/order/3YdoTRkTxViD7gGBZ6h9iY"/>
    <s v="whatnot.com/order/3YdoTRkTxViD7gGBZ6h9iY_x000a_$2.00 + $0.63 (Shared Shipping) + $0.27 Tax = Total of $2.90"/>
    <s v="whatnot.com/order/3YdoTRkTxViD7gGBZ6h9iY_x000a_$2.00 + $0.63 (Shared Shipping) + $0.27 Tax = Total of $2.90"/>
    <n v="2.56"/>
    <n v="0.6272727272727272"/>
    <n v="2.627272727272727"/>
    <n v="0.2692954545454545"/>
    <n v="2.8965681818181817"/>
    <n v="3.11"/>
    <n v="0.21343181818181822"/>
    <n v="2"/>
    <s v="2024 Panini Mosaic Epic Performers"/>
    <s v="Luka Doncic [Green] #10"/>
    <s v="."/>
  </r>
  <r>
    <s v="R"/>
    <x v="24"/>
    <d v="2026-05-13T00:00:00"/>
    <n v="26"/>
    <n v="5"/>
    <n v="4.3899999999999997"/>
    <n v="0.98"/>
    <s v="Wembanyama"/>
    <n v="6059234"/>
    <n v="107"/>
    <s v="https://www.whatnot.com/order/5kGXwUf5RaGgQF2EFmu4H9"/>
    <s v="whatnot.com/order/5kGXwUf5RaGgQF2EFmu4H9_x000a_$5.00 + $0.63 (Shared Shipping) + $0.58 Tax = Total of $6.20"/>
    <s v="whatnot.com/order/5kGXwUf5RaGgQF2EFmu4H9_x000a_$5.00 + $0.63 (Shared Shipping) + $0.58 Tax = Total of $6.20"/>
    <n v="10.370000000000001"/>
    <n v="0.6272727272727272"/>
    <n v="5.627272727272727"/>
    <n v="0.57679545454545444"/>
    <n v="6.2040681818181813"/>
    <n v="6.96"/>
    <n v="0.75593181818181865"/>
    <n v="1"/>
    <s v="2023 Panini Hoops"/>
    <s v="Victor Wembanyama #277"/>
    <s v="."/>
  </r>
  <r>
    <s v="R"/>
    <x v="24"/>
    <d v="2026-05-13T00:00:00"/>
    <n v="61"/>
    <n v="3"/>
    <n v="0"/>
    <n v="0.31"/>
    <s v="Shannon"/>
    <n v="8555315"/>
    <n v="308"/>
    <s v="https://www.whatnot.com/order/NiQA8q5w6tCKyhf9dhniXs"/>
    <s v="whatnot.com/order/NiQA8q5w6tCKyhf9dhniXs_x000a_$3.00 + $0.63 (Shared Shipping) + $0.37 Tax = Total of $4.00"/>
    <s v="whatnot.com/order/NiQA8q5w6tCKyhf9dhniXs_x000a_$3.00 + $0.63 (Shared Shipping) + $0.37 Tax = Total of $4.00"/>
    <n v="3.31"/>
    <n v="0.6272727272727272"/>
    <n v="3.627272727272727"/>
    <n v="0.37179545454545448"/>
    <n v="3.9990681818181812"/>
    <n v="1.75"/>
    <n v="-2.2490681818181812"/>
    <n v="1"/>
    <s v="2024 Panini Prizm"/>
    <s v="Terrence Shannon Jr. [Pink Ice] #224"/>
    <s v="."/>
  </r>
  <r>
    <s v="R"/>
    <x v="24"/>
    <d v="2026-05-13T00:00:00"/>
    <n v="65"/>
    <n v="4"/>
    <n v="0"/>
    <n v="0.21"/>
    <s v="Nowitzki"/>
    <n v="10819755"/>
    <n v="338"/>
    <s v="https://www.whatnot.com/order/j2EYygrNpCqyDssAM2UmwS"/>
    <s v="whatnot.com/order/j2EYygrNpCqyDssAM2UmwS_x000a_$4.00 + $0.63 (Shared Shipping) + $0.47 Tax = Total of $5.10"/>
    <s v="whatnot.com/order/j2EYygrNpCqyDssAM2UmwS_x000a_$4.00 + $0.63 (Shared Shipping) + $0.47 Tax = Total of $5.10"/>
    <n v="4.21"/>
    <n v="0.6272727272727272"/>
    <n v="4.627272727272727"/>
    <n v="0.47429545454545446"/>
    <n v="5.1015681818181813"/>
    <n v="1.73"/>
    <n v="-3.3715681818181813"/>
    <n v="1"/>
    <s v="2025 Topps"/>
    <s v="Dirk Nowitzki [Blackout] #252"/>
    <s v="."/>
  </r>
  <r>
    <s v="R"/>
    <x v="24"/>
    <d v="2026-05-13T00:00:00"/>
    <n v="67"/>
    <n v="2"/>
    <n v="0"/>
    <n v="0.21"/>
    <s v="Luka"/>
    <n v="10199082"/>
    <n v="246"/>
    <s v="https://www.whatnot.com/order/RzUW8ZqubfD3RCjL2VoBop"/>
    <s v="whatnot.com/order/RzUW8ZqubfD3RCjL2VoBop_x000a_$2.00 + $0.63 (Shared Shipping) + $0.27 Tax = Total of $2.90"/>
    <s v="whatnot.com/order/RzUW8ZqubfD3RCjL2VoBop_x000a_$2.00 + $0.63 (Shared Shipping) + $0.27 Tax = Total of $2.90"/>
    <n v="2.21"/>
    <n v="0.6272727272727272"/>
    <n v="2.627272727272727"/>
    <n v="0.2692954545454545"/>
    <n v="2.8965681818181817"/>
    <n v="2.04"/>
    <n v="-0.85656818181818162"/>
    <n v="1"/>
    <s v="2024 Panini Donruss Optic"/>
    <s v="Luka Doncic [Green Seismic] #214"/>
    <s v="."/>
  </r>
  <r>
    <s v="R"/>
    <x v="24"/>
    <d v="2026-05-13T00:00:00"/>
    <n v="68"/>
    <n v="2"/>
    <n v="0"/>
    <n v="0.21"/>
    <s v="Shai"/>
    <n v="6822796"/>
    <n v="370"/>
    <s v="https://www.whatnot.com/order/dXNnRDYZ4XQd5syXTuJfHb"/>
    <s v="whatnot.com/order/dXNnRDYZ4XQd5syXTuJfHb_x000a_$2.00 + $0.63 (Shared Shipping) + $0.27 Tax = Total of $2.90"/>
    <s v="whatnot.com/order/dXNnRDYZ4XQd5syXTuJfHb_x000a_$2.00 + $0.63 (Shared Shipping) + $0.27 Tax = Total of $2.90"/>
    <n v="2.21"/>
    <n v="0.6272727272727272"/>
    <n v="2.627272727272727"/>
    <n v="0.2692954545454545"/>
    <n v="2.8965681818181817"/>
    <n v="1.54"/>
    <n v="-1.3565681818181816"/>
    <n v="1"/>
    <s v="2023 Panini Donruss Optic"/>
    <s v="Shai Gilgeous-Alexander [Hyper Pink] #104"/>
    <s v="."/>
  </r>
  <r>
    <s v="R"/>
    <x v="24"/>
    <d v="2026-05-13T00:00:00"/>
    <s v="Givvy 19"/>
    <n v="0"/>
    <n v="0"/>
    <n v="0"/>
    <s v="Lively"/>
    <n v="9779919"/>
    <n v="556"/>
    <s v="https://www.whatnot.com/order/4LCZQZfaVVhJG2pKsSRhXY"/>
    <s v="whatnot.com/order/4LCZQZfaVVhJG2pKsSRhXY_x000a_$0.00 + $0.63 (Shared Shipping) + $0.06 Tax = Total of $0.69"/>
    <s v="whatnot.com/order/4LCZQZfaVVhJG2pKsSRhXY_x000a_$0.00 + $0.63 (Shared Shipping) + $0.00 Tax = Total of $0.63"/>
    <n v="0"/>
    <n v="0.6272727272727272"/>
    <n v="0.6272727272727272"/>
    <n v="0"/>
    <n v="0.6272727272727272"/>
    <n v="0.99"/>
    <n v="0.36272727272727279"/>
    <n v="1"/>
    <s v="2024 Panini Select"/>
    <s v="Dereck Lively II [Green White Purple Prizm] #26"/>
    <s v="."/>
  </r>
  <r>
    <s v="R"/>
    <x v="24"/>
    <d v="2026-05-13T00:00:00"/>
    <s v="Givvy 20"/>
    <n v="0"/>
    <n v="0"/>
    <n v="0"/>
    <s v="Bridges"/>
    <n v="9936923"/>
    <n v="230"/>
    <s v="https://www.whatnot.com/order/MyYjybCzWUdYQZ5Nmcqzid"/>
    <s v="whatnot.com/order/MyYjybCzWUdYQZ5Nmcqzid_x000a_$0.00 + $0.63 (Shared Shipping) + $0.06 Tax = Total of $0.69"/>
    <s v="whatnot.com/order/MyYjybCzWUdYQZ5Nmcqzid_x000a_$0.00 + $0.63 (Shared Shipping) + $0.00 Tax = Total of $0.63"/>
    <n v="0"/>
    <n v="0.6272727272727272"/>
    <n v="0.6272727272727272"/>
    <n v="0"/>
    <n v="0.6272727272727272"/>
    <n v="2.23"/>
    <n v="1.6027272727272728"/>
    <n v="1"/>
    <s v="2024 Panini Mosaic"/>
    <s v="Miles Bridges [Reactive Blue] #67"/>
    <s v="."/>
  </r>
  <r>
    <s v="R"/>
    <x v="24"/>
    <d v="2026-05-13T00:00:00"/>
    <n v="74"/>
    <n v="2"/>
    <n v="0"/>
    <n v="0.21"/>
    <s v="Luka"/>
    <n v="10024204"/>
    <n v="240"/>
    <s v="https://www.whatnot.com/order/X5K6umEJWi23LicF99oSTD"/>
    <s v="whatnot.com/order/X5K6umEJWi23LicF99oSTD_x000a_$2.00 + $0.63 (Shared Shipping) + $0.27 Tax = Total of $2.90"/>
    <s v="whatnot.com/order/X5K6umEJWi23LicF99oSTD_x000a_$2.00 + $0.63 (Shared Shipping) + $0.27 Tax = Total of $2.90"/>
    <n v="2.21"/>
    <n v="0.6272727272727272"/>
    <n v="2.627272727272727"/>
    <n v="0.2692954545454545"/>
    <n v="2.8965681818181817"/>
    <n v="2.08"/>
    <n v="-0.81656818181818158"/>
    <n v="1"/>
    <s v="2024 Panini Select"/>
    <s v="Luka Doncic [Green White Purple Prizm] #141"/>
    <s v="."/>
  </r>
  <r>
    <s v="R"/>
    <x v="24"/>
    <d v="2026-05-13T00:00:00"/>
    <n v="78"/>
    <n v="3"/>
    <n v="1.42"/>
    <n v="0.45"/>
    <s v="Mitchell"/>
    <n v="120495"/>
    <n v="113"/>
    <s v="https://www.whatnot.com/order/iKMuPET2uvNEWaxZSPrWvT"/>
    <s v="whatnot.com/order/iKMuPET2uvNEWaxZSPrWvT_x000a_$3.00 + $0.63 (Shared Shipping) + $0.37 Tax = Total of $4.00"/>
    <s v="whatnot.com/order/iKMuPET2uvNEWaxZSPrWvT_x000a_$3.00 + $0.63 (Shared Shipping) + $0.37 Tax = Total of $4.00"/>
    <n v="4.87"/>
    <n v="0.6272727272727272"/>
    <n v="3.627272727272727"/>
    <n v="0.37179545454545448"/>
    <n v="3.9990681818181812"/>
    <n v="4.3499999999999996"/>
    <n v="0.3509318181818184"/>
    <n v="1"/>
    <s v="2017 Panini Donruss Optic"/>
    <s v="Donovan Mitchell [Red and Yellow] #188"/>
    <s v="."/>
  </r>
  <r>
    <s v="R"/>
    <x v="25"/>
    <d v="2026-05-14T00:00:00"/>
    <n v="79"/>
    <n v="2"/>
    <n v="0.78"/>
    <n v="0.28999999999999998"/>
    <s v="Shai"/>
    <n v="10210719"/>
    <n v="332"/>
    <s v="https://www.whatnot.com/order/eYoXvD5HkSQiYCAdyKw6ww"/>
    <s v="whatnot.com/order/eYoXvD5HkSQiYCAdyKw6ww_x000a_$2.00 + $0.23 (Shared Shipping) + $0.23 Tax = Total of $2.46"/>
    <s v="whatnot.com/order/eYoXvD5HkSQiYCAdyKw6ww_x000a_$2.00 + $0.23 (Shared Shipping) + $0.23 Tax = Total of $2.46"/>
    <n v="3.0700000000000003"/>
    <n v="0.23166666666666669"/>
    <n v="2.2316666666666665"/>
    <n v="0.22874583333333329"/>
    <n v="2.4604124999999999"/>
    <n v="1.63"/>
    <n v="-0.8304125"/>
    <n v="1"/>
    <s v="2024 Panini Donruss Optic My House"/>
    <s v="Shai Gilgeous-Alexander #6"/>
    <s v="."/>
  </r>
  <r>
    <s v="R"/>
    <x v="25"/>
    <d v="2026-05-14T00:00:00"/>
    <n v="97"/>
    <n v="2"/>
    <n v="0.31"/>
    <n v="0.25"/>
    <s v="Jackson"/>
    <n v="11145114"/>
    <n v="609"/>
    <s v="https://www.whatnot.com/order/moNYfWFRzgHft49zVDK7Ba"/>
    <s v="whatnot.com/order/moNYfWFRzgHft49zVDK7Ba_x000a_$2.00 + $0.23 (Shared Shipping) + $0.23 Tax = Total of $2.46"/>
    <s v="whatnot.com/order/moNYfWFRzgHft49zVDK7Ba_x000a_$2.00 + $0.23 (Shared Shipping) + $0.23 Tax = Total of $2.46"/>
    <n v="2.56"/>
    <n v="0.23166666666666669"/>
    <n v="2.2316666666666665"/>
    <n v="0.22874583333333329"/>
    <n v="2.4604124999999999"/>
    <n v="0"/>
    <n v="-2.4604124999999999"/>
    <n v="1"/>
    <s v="2025 Panini Phoenix"/>
    <s v="Lamar Jackson [Green Hyper] #144"/>
    <s v="."/>
  </r>
  <r>
    <s v="R"/>
    <x v="25"/>
    <d v="2026-05-14T00:00:00"/>
    <n v="101"/>
    <n v="1"/>
    <n v="0"/>
    <n v="0.11"/>
    <s v="Burrow"/>
    <n v="12520986"/>
    <n v="205"/>
    <s v="https://www.whatnot.com/order/3GyMAAaJhKT35PtSFFmp7M"/>
    <s v="whatnot.com/order/3GyMAAaJhKT35PtSFFmp7M_x000a_$1.00 + $0.23 (Shared Shipping) + $0.13 Tax = Total of $1.36"/>
    <s v="whatnot.com/order/3GyMAAaJhKT35PtSFFmp7M_x000a_$1.00 + $0.23 (Shared Shipping) + $0.13 Tax = Total of $1.36"/>
    <n v="1.1100000000000001"/>
    <n v="0.23166666666666669"/>
    <n v="1.2316666666666667"/>
    <n v="0.12624583333333333"/>
    <n v="1.3579125000000001"/>
    <n v="2.38"/>
    <n v="1.0220874999999998"/>
    <n v="1"/>
    <s v="2025 Topps Chrome"/>
    <s v="Joe Burrow [Pulsar Refractor] #61"/>
    <s v="."/>
  </r>
  <r>
    <s v="R"/>
    <x v="25"/>
    <d v="2026-05-14T00:00:00"/>
    <n v="115"/>
    <n v="1"/>
    <n v="0.3"/>
    <n v="0.15"/>
    <s v="Wembanyama"/>
    <n v="12615262"/>
    <n v="419"/>
    <s v="https://www.whatnot.com/order/jrU4Q7xp5yH4tmGayj7YpY"/>
    <s v="whatnot.com/order/jrU4Q7xp5yH4tmGayj7YpY_x000a_$1.00 + $0.23 (Shared Shipping) + $0.13 Tax = Total of $1.36"/>
    <s v="whatnot.com/order/jrU4Q7xp5yH4tmGayj7YpY_x000a_$1.00 + $0.23 (Shared Shipping) + $0.13 Tax = Total of $1.36"/>
    <n v="1.45"/>
    <n v="0.23166666666666669"/>
    <n v="1.2316666666666667"/>
    <n v="0.12624583333333333"/>
    <n v="1.3579125000000001"/>
    <n v="1.35"/>
    <n v="-7.912499999999989E-3"/>
    <n v="2"/>
    <s v="2025 Bowman"/>
    <s v="Victor Wembanyama #143"/>
    <s v="."/>
  </r>
  <r>
    <s v="R"/>
    <x v="25"/>
    <d v="2026-05-14T00:00:00"/>
    <n v="117"/>
    <n v="0.5"/>
    <n v="0"/>
    <n v="0.06"/>
    <s v="Luka"/>
    <n v="12622531"/>
    <n v="269"/>
    <s v="https://www.whatnot.com/order/QmxKqJw97MkWL4F4CV22QD"/>
    <s v="whatnot.com/order/QmxKqJw97MkWL4F4CV22QD_x000a_$0.50 + $0.23 (Shared Shipping) + $0.07 Tax = Total of $0.81"/>
    <s v="whatnot.com/order/QmxKqJw97MkWL4F4CV22QD_x000a_$0.50 + $0.23 (Shared Shipping) + $0.07 Tax = Total of $0.81"/>
    <n v="0.56000000000000005"/>
    <n v="0.23166666666666669"/>
    <n v="0.73166666666666669"/>
    <n v="7.4995833333333331E-2"/>
    <n v="0.80666250000000006"/>
    <n v="1.99"/>
    <n v="1.1833374999999999"/>
    <n v="2"/>
    <s v="2025 Bowman Chrome"/>
    <s v="Luka DoncÌŒic #BCV-123"/>
    <s v="."/>
  </r>
  <r>
    <s v="R"/>
    <x v="25"/>
    <d v="2026-05-14T00:00:00"/>
    <n v="117"/>
    <n v="0.5"/>
    <n v="0"/>
    <n v="0.05"/>
    <s v="Luka"/>
    <n v="12622531"/>
    <n v="277"/>
    <s v="https://www.whatnot.com/order/QmxKqJw97MkWL4F4CV22QD"/>
    <s v="whatnot.com/order/QmxKqJw97MkWL4F4CV22QD_x000a_$0.50 + $0.23 (Shared Shipping) + $0.07 Tax = Total of $0.81"/>
    <s v="whatnot.com/order/QmxKqJw97MkWL4F4CV22QD_x000a_$0.50 + $0.23 (Shared Shipping) + $0.07 Tax = Total of $0.81"/>
    <n v="0.55000000000000004"/>
    <n v="0.23166666666666669"/>
    <n v="0.73166666666666669"/>
    <n v="7.4995833333333331E-2"/>
    <n v="0.80666250000000006"/>
    <n v="1.99"/>
    <n v="1.1833374999999999"/>
    <n v="2"/>
    <s v="2025 Bowman Chrome"/>
    <s v="Luka DoncÌŒic #BCV-123"/>
    <s v="."/>
  </r>
  <r>
    <s v="R"/>
    <x v="26"/>
    <d v="2026-05-14T00:00:00"/>
    <n v="9"/>
    <n v="10"/>
    <n v="4.3499999999999996"/>
    <n v="1.48"/>
    <s v="Maxey"/>
    <n v="10482574"/>
    <n v="28"/>
    <s v="https://www.whatnot.com/order/RkyA6Bkpg2Bd9SGH2hZzTu"/>
    <s v="whatnot.com/order/RkyA6Bkpg2Bd9SGH2hZzTu_x000a_$10.00 + $4.35 (Shared Shipping) + $1.47 Tax = Total of $15.82"/>
    <s v="whatnot.com/order/RkyA6Bkpg2Bd9SGH2hZzTu_x000a_$10.00 + $4.35 (Shared Shipping) + $1.47 Tax = Total of $15.82"/>
    <n v="15.83"/>
    <n v="4.3499999999999996"/>
    <n v="14.35"/>
    <n v="1.4708749999999999"/>
    <n v="15.820874999999999"/>
    <n v="11.4"/>
    <n v="-4.4208749999999988"/>
    <n v="1"/>
    <s v="2024 Panini Obsidian Equinox"/>
    <s v="Tyrese Maxey [Electric Etch Orange Flood] #20"/>
    <s v="."/>
  </r>
  <r>
    <s v="R"/>
    <x v="27"/>
    <d v="2026-05-14T00:00:00"/>
    <n v="2"/>
    <n v="1"/>
    <n v="0.31"/>
    <n v="0.15"/>
    <s v="Luka"/>
    <n v="6292612"/>
    <n v="498"/>
    <s v="https://www.whatnot.com/order/m7u6JPnkRPdg3KPtvFYypQ"/>
    <s v="whatnot.com/order/m7u6JPnkRPdg3KPtvFYypQ_x000a_$1.00 + $0.14 (Shared Shipping) + $0.12 Tax = Total of $1.25"/>
    <s v="whatnot.com/order/m7u6JPnkRPdg3KPtvFYypQ_x000a_$1.00 + $0.14 (Shared Shipping) + $0.12 Tax = Total of $1.25"/>
    <n v="1.46"/>
    <n v="0.13625000000000001"/>
    <n v="1.13625"/>
    <n v="0.11646562499999999"/>
    <n v="1.252715625"/>
    <n v="1.23"/>
    <n v="-2.2715625000000017E-2"/>
    <n v="1"/>
    <s v="2023 Panini Donruss Bomb Squad"/>
    <s v="Luka Doncic #3"/>
    <s v="."/>
  </r>
  <r>
    <s v="R"/>
    <x v="27"/>
    <d v="2026-05-14T00:00:00"/>
    <n v="3"/>
    <n v="0.17"/>
    <n v="0.13"/>
    <n v="0.04"/>
    <s v="Luka"/>
    <n v="8771795"/>
    <n v="415"/>
    <s v="https://www.whatnot.com/order/CcgKgfJ5nvryvvKXiQFRF3"/>
    <s v="whatnot.com/order/CcgKgfJ5nvryvvKXiQFRF3_x000a_$0.17 + $0.14 (Shared Shipping) + $0.03 Tax = Total of $0.34"/>
    <s v="whatnot.com/order/CcgKgfJ5nvryvvKXiQFRF3_x000a_$0.17 + $0.14 (Shared Shipping) + $0.03 Tax = Total of $0.34"/>
    <n v="0.34"/>
    <n v="0.13625000000000001"/>
    <n v="0.30625000000000002"/>
    <n v="3.1390624999999998E-2"/>
    <n v="0.33764062500000003"/>
    <n v="1.4"/>
    <n v="1.0623593749999998"/>
    <n v="4"/>
    <s v="2024 Panini Donruss"/>
    <s v="Luka Doncic #82"/>
    <s v="."/>
  </r>
  <r>
    <s v="R"/>
    <x v="27"/>
    <d v="2026-05-14T00:00:00"/>
    <n v="3"/>
    <n v="0.17"/>
    <n v="0.13"/>
    <n v="0.03"/>
    <s v="Luka"/>
    <n v="8771795"/>
    <n v="416"/>
    <s v="https://www.whatnot.com/order/CcgKgfJ5nvryvvKXiQFRF3"/>
    <s v="whatnot.com/order/CcgKgfJ5nvryvvKXiQFRF3_x000a_$0.17 + $0.14 (Shared Shipping) + $0.03 Tax = Total of $0.34"/>
    <s v="whatnot.com/order/CcgKgfJ5nvryvvKXiQFRF3_x000a_$0.17 + $0.14 (Shared Shipping) + $0.03 Tax = Total of $0.34"/>
    <n v="0.33000000000000007"/>
    <n v="0.13625000000000001"/>
    <n v="0.30625000000000002"/>
    <n v="3.1390624999999998E-2"/>
    <n v="0.33764062500000003"/>
    <n v="1.4"/>
    <n v="1.0623593749999998"/>
    <n v="4"/>
    <s v="2024 Panini Donruss"/>
    <s v="Luka Doncic #82"/>
    <s v="."/>
  </r>
  <r>
    <s v="R"/>
    <x v="27"/>
    <d v="2026-05-14T00:00:00"/>
    <n v="3"/>
    <n v="0.17"/>
    <n v="0.13"/>
    <n v="0.03"/>
    <s v="Luka"/>
    <n v="8771795"/>
    <n v="418"/>
    <s v="https://www.whatnot.com/order/CcgKgfJ5nvryvvKXiQFRF3"/>
    <s v="whatnot.com/order/CcgKgfJ5nvryvvKXiQFRF3_x000a_$0.17 + $0.14 (Shared Shipping) + $0.03 Tax = Total of $0.34"/>
    <s v="whatnot.com/order/CcgKgfJ5nvryvvKXiQFRF3_x000a_$0.17 + $0.14 (Shared Shipping) + $0.03 Tax = Total of $0.34"/>
    <n v="0.33000000000000007"/>
    <n v="0.13625000000000001"/>
    <n v="0.30625000000000002"/>
    <n v="3.1390624999999998E-2"/>
    <n v="0.33764062500000003"/>
    <n v="1.4"/>
    <n v="1.0623593749999998"/>
    <n v="4"/>
    <s v="2024 Panini Donruss"/>
    <s v="Luka Doncic #82"/>
    <s v="."/>
  </r>
  <r>
    <s v="R"/>
    <x v="27"/>
    <d v="2026-05-14T00:00:00"/>
    <n v="3"/>
    <n v="0.17"/>
    <n v="0.13"/>
    <n v="0.03"/>
    <s v="Luka"/>
    <n v="8771795"/>
    <n v="423"/>
    <s v="https://www.whatnot.com/order/CcgKgfJ5nvryvvKXiQFRF3"/>
    <s v="whatnot.com/order/CcgKgfJ5nvryvvKXiQFRF3_x000a_$0.17 + $0.14 (Shared Shipping) + $0.03 Tax = Total of $0.34"/>
    <s v="whatnot.com/order/CcgKgfJ5nvryvvKXiQFRF3_x000a_$0.17 + $0.14 (Shared Shipping) + $0.03 Tax = Total of $0.34"/>
    <n v="0.33000000000000007"/>
    <n v="0.13625000000000001"/>
    <n v="0.30625000000000002"/>
    <n v="3.1390624999999998E-2"/>
    <n v="0.33764062500000003"/>
    <n v="1.4"/>
    <n v="1.0623593749999998"/>
    <n v="4"/>
    <s v="2024 Panini Donruss"/>
    <s v="Luka Doncic #82"/>
    <s v="."/>
  </r>
  <r>
    <s v="R"/>
    <x v="27"/>
    <d v="2026-05-14T00:00:00"/>
    <n v="3"/>
    <n v="0.16"/>
    <n v="0.13"/>
    <n v="0.03"/>
    <s v="Luka"/>
    <n v="8394422"/>
    <n v="417"/>
    <s v="https://www.whatnot.com/order/CcgKgfJ5nvryvvKXiQFRF3"/>
    <s v="whatnot.com/order/CcgKgfJ5nvryvvKXiQFRF3_x000a_$0.16 + $0.14 (Shared Shipping) + $0.03 Tax = Total of $0.33"/>
    <s v="whatnot.com/order/CcgKgfJ5nvryvvKXiQFRF3_x000a_$0.16 + $0.14 (Shared Shipping) + $0.03 Tax = Total of $0.33"/>
    <n v="0.32000000000000006"/>
    <n v="0.13625000000000001"/>
    <n v="0.29625000000000001"/>
    <n v="3.0365625E-2"/>
    <n v="0.32661562500000002"/>
    <n v="1.42"/>
    <n v="1.0933843749999999"/>
    <n v="2"/>
    <s v="2024 Panini NBA Hoops"/>
    <s v="Luka Doncic #115"/>
    <s v="."/>
  </r>
  <r>
    <s v="R"/>
    <x v="27"/>
    <d v="2026-05-14T00:00:00"/>
    <n v="3"/>
    <n v="0.16"/>
    <n v="0.13"/>
    <n v="0.03"/>
    <s v="Luka"/>
    <n v="10121893"/>
    <n v="318"/>
    <s v="https://www.whatnot.com/order/CcgKgfJ5nvryvvKXiQFRF3"/>
    <s v="whatnot.com/order/CcgKgfJ5nvryvvKXiQFRF3_x000a_$0.16 + $0.14 (Shared Shipping) + $0.03 Tax = Total of $0.33"/>
    <s v="whatnot.com/order/CcgKgfJ5nvryvvKXiQFRF3_x000a_$0.16 + $0.14 (Shared Shipping) + $0.03 Tax = Total of $0.33"/>
    <n v="0.32000000000000006"/>
    <n v="0.13625000000000001"/>
    <n v="0.29625000000000001"/>
    <n v="3.0365625E-2"/>
    <n v="0.32661562500000002"/>
    <n v="1.85"/>
    <n v="1.523384375"/>
    <n v="1"/>
    <s v="2024 Panini Haunted Hoops"/>
    <s v="Luka Doncic #134"/>
    <s v="."/>
  </r>
  <r>
    <s v="R"/>
    <x v="27"/>
    <d v="2026-05-14T00:00:00"/>
    <n v="4"/>
    <n v="2"/>
    <n v="0"/>
    <n v="0.21"/>
    <s v="Luka"/>
    <n v="10122943"/>
    <n v="207"/>
    <s v="https://www.whatnot.com/order/NKDpWFDEF9zthvWQGx6hjv"/>
    <s v="whatnot.com/order/NKDpWFDEF9zthvWQGx6hjv_x000a_$2.00 + $0.14 (Shared Shipping) + $0.22 Tax = Total of $2.36"/>
    <s v="whatnot.com/order/NKDpWFDEF9zthvWQGx6hjv_x000a_$2.00 + $0.14 (Shared Shipping) + $0.22 Tax = Total of $2.36"/>
    <n v="2.21"/>
    <n v="0.13625000000000001"/>
    <n v="2.13625"/>
    <n v="0.218965625"/>
    <n v="2.355215625"/>
    <n v="2.0099999999999998"/>
    <n v="-0.34521562500000025"/>
    <n v="1"/>
    <s v="2024 Panini Haunted Hoops"/>
    <s v="Luka Doncic [Slime] #281"/>
    <s v="."/>
  </r>
  <r>
    <s v="R"/>
    <x v="28"/>
    <d v="2026-05-14T00:00:00"/>
    <s v="Givvy 9"/>
    <n v="0"/>
    <n v="0"/>
    <n v="0"/>
    <s v="Sorber"/>
    <n v="12102811"/>
    <n v="538"/>
    <s v="https://www.whatnot.com/order/b7cw23wZQThBVqdCqhgC7j"/>
    <s v="whatnot.com/order/b7cw23wZQThBVqdCqhgC7j_x000a_$0.00 + $0.00 (Shared Shipping) + $0.00 Tax = Total of $0.00"/>
    <s v="whatnot.com/order/b7cw23wZQThBVqdCqhgC7j_x000a_$0.00 + $0.00 (Shared Shipping) + $0.00 Tax = Total of $0.00"/>
    <n v="0"/>
    <n v="0"/>
    <n v="0"/>
    <n v="0"/>
    <n v="0"/>
    <n v="1"/>
    <n v="1"/>
    <n v="1"/>
    <s v="2025 Topps Finest"/>
    <s v="Thomas Sorber #15"/>
    <s v="."/>
  </r>
  <r>
    <s v="R"/>
    <x v="1"/>
    <d v="2026-05-14T00:00:00"/>
    <n v="68"/>
    <n v="1"/>
    <n v="4.3499999999999996"/>
    <n v="0.56000000000000005"/>
    <s v="Irving"/>
    <n v="3834726"/>
    <n v="272"/>
    <s v="https://www.whatnot.com/order/atV5mnNpi29X79RWUk3egh"/>
    <s v="whatnot.com/order/atV5mnNpi29X79RWUk3egh_x000a_$1.00 + $2.18 (Shared Shipping) + $0.33 Tax = Total of $3.50"/>
    <s v="whatnot.com/order/atV5mnNpi29X79RWUk3egh_x000a_$1.00 + $2.18 (Shared Shipping) + $0.33 Tax = Total of $3.50"/>
    <n v="5.91"/>
    <n v="2.1749999999999998"/>
    <n v="3.1749999999999998"/>
    <n v="0.32543749999999994"/>
    <n v="3.5004374999999999"/>
    <n v="1.99"/>
    <n v="-1.5104374999999999"/>
    <n v="1"/>
    <s v="2020 Panini Donruss Optic My House"/>
    <s v="Kyrie Irving [Holo] #8"/>
    <s v="."/>
  </r>
  <r>
    <s v="R"/>
    <x v="1"/>
    <d v="2026-05-14T00:00:00"/>
    <n v="82"/>
    <n v="1"/>
    <n v="0"/>
    <n v="0.11"/>
    <s v="Shai"/>
    <n v="4110760"/>
    <n v="247"/>
    <s v="https://www.whatnot.com/order/ERNzPGDtKT3NBd3m26uHUb"/>
    <s v="whatnot.com/order/ERNzPGDtKT3NBd3m26uHUb_x000a_$1.00 + $2.18 (Shared Shipping) + $0.33 Tax = Total of $3.50"/>
    <s v="whatnot.com/order/ERNzPGDtKT3NBd3m26uHUb_x000a_$1.00 + $2.18 (Shared Shipping) + $0.33 Tax = Total of $3.50"/>
    <n v="1.1100000000000001"/>
    <n v="2.1749999999999998"/>
    <n v="3.1749999999999998"/>
    <n v="0.32543749999999994"/>
    <n v="3.5004374999999999"/>
    <n v="2.08"/>
    <n v="-1.4204374999999998"/>
    <n v="1"/>
    <s v="2021 Panini Donruss Optic"/>
    <s v="Shai Gilgeous Alexander [Holo] #147"/>
    <s v="Silver Parallel not listed"/>
  </r>
  <r>
    <s v="R"/>
    <x v="14"/>
    <d v="2026-05-14T00:00:00"/>
    <n v="23"/>
    <n v="0"/>
    <n v="0"/>
    <n v="0"/>
    <s v="Dick"/>
    <s v="N/A"/>
    <s v="N/A-6"/>
    <s v="https://www.whatnot.com/order/247xYh6aYVcwWApNwxFJY9"/>
    <s v="whatnot.com/order/247xYh6aYVcwWApNwxFJY9_x000a_$0.00 + $0.00 (Shared Shipping) + $0.00 Tax = Total of $0.00"/>
    <s v="whatnot.com/order/247xYh6aYVcwWApNwxFJY9_x000a_$0.00 + $0.00 (Shared Shipping) + $0.00 Tax = Total of $0.00"/>
    <n v="0"/>
    <n v="0"/>
    <n v="0"/>
    <n v="0"/>
    <n v="0"/>
    <e v="#DIV/0!"/>
    <n v="0"/>
    <n v="0"/>
    <e v="#N/A"/>
    <e v="#N/A"/>
    <s v="."/>
  </r>
  <r>
    <s v="R"/>
    <x v="29"/>
    <d v="2026-05-15T00:00:00"/>
    <n v="43"/>
    <n v="1"/>
    <n v="0.78"/>
    <n v="0.19"/>
    <s v="Morant"/>
    <n v="11909420"/>
    <n v="275"/>
    <s v="https://www.whatnot.com/order/mnN4d6f44iDgHmgaGRqhz9"/>
    <s v="whatnot.com/order/mnN4d6f44iDgHmgaGRqhz9_x000a_$1.00 + $0.35 (Shared Shipping) + $0.14 Tax = Total of $1.48"/>
    <s v="whatnot.com/order/mnN4d6f44iDgHmgaGRqhz9_x000a_$1.00 + $0.35 (Shared Shipping) + $0.14 Tax = Total of $1.48"/>
    <n v="1.97"/>
    <n v="0.3453846153846154"/>
    <n v="1.3453846153846154"/>
    <n v="0.13790192307692306"/>
    <n v="1.4832865384615386"/>
    <n v="1.99"/>
    <n v="0.50671346153846142"/>
    <n v="1"/>
    <s v="2025 Topps Match Attax In Motion"/>
    <s v="Ja Morant #KI-JM"/>
    <s v="."/>
  </r>
  <r>
    <s v="R"/>
    <x v="29"/>
    <d v="2026-05-15T00:00:00"/>
    <s v="Givvy 12"/>
    <n v="0"/>
    <n v="0"/>
    <n v="0"/>
    <s v="Kyrie"/>
    <n v="11830171"/>
    <n v="404"/>
    <s v="https://www.whatnot.com/order/am68o5TGkfds6VHNQLbuH7"/>
    <s v="whatnot.com/order/am68o5TGkfds6VHNQLbuH7_x000a_$0.00 + $0.35 (Shared Shipping) + $0.04 Tax = Total of $0.38"/>
    <s v="whatnot.com/order/am68o5TGkfds6VHNQLbuH7_x000a_$0.00 + $0.35 (Shared Shipping) + $0.00 Tax = Total of $0.35"/>
    <n v="0"/>
    <n v="0.3453846153846154"/>
    <n v="0.3453846153846154"/>
    <n v="0"/>
    <n v="0.3453846153846154"/>
    <n v="1.99"/>
    <n v="1.6446153846153846"/>
    <n v="1"/>
    <s v="2025 Topps Match Attax 100 Club"/>
    <s v="Kyrie Irving #100C-KI"/>
    <s v="."/>
  </r>
  <r>
    <s v="R"/>
    <x v="29"/>
    <d v="2026-05-15T00:00:00"/>
    <n v="45"/>
    <n v="1"/>
    <n v="0"/>
    <n v="0.11"/>
    <s v="Mitchell"/>
    <n v="120468"/>
    <n v="130"/>
    <s v="https://www.whatnot.com/order/jsA2rRdn9VNgmytpu33ezw"/>
    <s v="whatnot.com/order/jsA2rRdn9VNgmytpu33ezw_x000a_$1.00 + $0.35 (Shared Shipping) + $0.14 Tax = Total of $1.48"/>
    <s v="whatnot.com/order/jsA2rRdn9VNgmytpu33ezw_x000a_$1.00 + $0.35 (Shared Shipping) + $0.14 Tax = Total of $1.48"/>
    <n v="1.1100000000000001"/>
    <n v="0.3453846153846154"/>
    <n v="1.3453846153846154"/>
    <n v="0.13790192307692306"/>
    <n v="1.4832865384615386"/>
    <n v="3.97"/>
    <n v="2.4867134615384616"/>
    <n v="1"/>
    <s v="2017 Panini Donruss Optic"/>
    <s v="Donovan Mitchell #188"/>
    <s v="."/>
  </r>
  <r>
    <s v="R"/>
    <x v="29"/>
    <d v="2026-05-15T00:00:00"/>
    <n v="46"/>
    <n v="1"/>
    <n v="0.3"/>
    <n v="0.15"/>
    <s v="Shai"/>
    <n v="11909462"/>
    <n v="58"/>
    <s v="https://www.whatnot.com/order/XsHDMZLVpnSHsbkfHPdiii"/>
    <s v="whatnot.com/order/XsHDMZLVpnSHsbkfHPdiii_x000a_$1.00 + $0.35 (Shared Shipping) + $0.14 Tax = Total of $1.48"/>
    <s v="whatnot.com/order/XsHDMZLVpnSHsbkfHPdiii_x000a_$1.00 + $0.35 (Shared Shipping) + $0.14 Tax = Total of $1.48"/>
    <n v="1.45"/>
    <n v="0.3453846153846154"/>
    <n v="1.3453846153846154"/>
    <n v="0.13790192307692306"/>
    <n v="1.4832865384615386"/>
    <n v="2.0099999999999998"/>
    <n v="0.52671346153846121"/>
    <n v="3"/>
    <s v="2025 Topps Match Attax Scoring Hero"/>
    <s v="Shai Gilgeous-Alexander #SH-SG"/>
    <s v="."/>
  </r>
  <r>
    <s v="M"/>
    <x v="29"/>
    <d v="2026-05-15T00:00:00"/>
    <n v="47"/>
    <n v="1"/>
    <n v="0"/>
    <n v="0.11"/>
    <s v="Castle"/>
    <n v="12950314"/>
    <n v="339"/>
    <s v="https://www.whatnot.com/order/95MtnSosyaYoiaS3Fs9P9f"/>
    <s v="whatnot.com/order/95MtnSosyaYoiaS3Fs9P9f_x000a_$1.00 + $0.35 (Shared Shipping) + $0.14 Tax = Total of $1.48"/>
    <s v="whatnot.com/order/95MtnSosyaYoiaS3Fs9P9f_x000a_$1.00 + $0.35 (Shared Shipping) + $0.14 Tax = Total of $1.48"/>
    <n v="1.1100000000000001"/>
    <n v="0.3453846153846154"/>
    <n v="1.3453846153846154"/>
    <n v="0.13790192307692306"/>
    <n v="1.4832865384615386"/>
    <n v="1.41"/>
    <n v="-7.3286538461538653E-2"/>
    <n v="1"/>
    <s v="2025 Topps NBA Hoops"/>
    <s v="Stephon Castle #47"/>
    <s v="."/>
  </r>
  <r>
    <s v="R"/>
    <x v="29"/>
    <d v="2026-05-15T00:00:00"/>
    <n v="51"/>
    <n v="1"/>
    <n v="2.96"/>
    <n v="0.41"/>
    <s v="Nowitzki"/>
    <n v="11484094"/>
    <n v="475"/>
    <s v="https://www.whatnot.com/order/Gposmhs3UPw2tTSYYRaxZp"/>
    <s v="whatnot.com/order/Gposmhs3UPw2tTSYYRaxZp_x000a_$1.00 + $0.35 (Shared Shipping) + $0.14 Tax = Total of $1.48"/>
    <s v="whatnot.com/order/Gposmhs3UPw2tTSYYRaxZp_x000a_$1.00 + $0.35 (Shared Shipping) + $0.14 Tax = Total of $1.48"/>
    <n v="4.37"/>
    <n v="0.3453846153846154"/>
    <n v="1.3453846153846154"/>
    <n v="0.13790192307692306"/>
    <n v="1.4832865384615386"/>
    <n v="1.5"/>
    <n v="1.6713461538461427E-2"/>
    <n v="2"/>
    <s v="2025 Topps Chrome"/>
    <s v="Dirk Nowitzki [Refractor] #246"/>
    <s v="."/>
  </r>
  <r>
    <s v="R"/>
    <x v="29"/>
    <d v="2026-05-15T00:00:00"/>
    <n v="9"/>
    <n v="8"/>
    <n v="0.45"/>
    <n v="0.87"/>
    <s v="Flagg"/>
    <n v="11830197"/>
    <n v="67"/>
    <s v="https://www.whatnot.com/order/UWospfHLJBJCwjKMbMJrJc"/>
    <s v="whatnot.com/order/UWospfHLJBJCwjKMbMJrJc_x000a_$8.00 + $0.35 (Shared Shipping) + $0.86 Tax = Total of $9.20"/>
    <s v="whatnot.com/order/UWospfHLJBJCwjKMbMJrJc_x000a_$8.00 + $0.35 (Shared Shipping) + $0.86 Tax = Total of $9.20"/>
    <n v="9.3199999999999985"/>
    <n v="0.3453846153846154"/>
    <n v="8.3453846153846154"/>
    <n v="0.85540192307692298"/>
    <n v="9.2007865384615393"/>
    <n v="10.99"/>
    <n v="1.7892134615384609"/>
    <n v="2"/>
    <s v="2025 Topps Match Attax Breakthrough Baller"/>
    <s v="Cooper Flagg #BB-CF"/>
    <s v="."/>
  </r>
  <r>
    <s v="R"/>
    <x v="29"/>
    <d v="2026-05-15T00:00:00"/>
    <n v="8"/>
    <n v="5"/>
    <n v="0"/>
    <n v="0.52"/>
    <s v="Wembanyama"/>
    <n v="11909426"/>
    <n v="30"/>
    <s v="https://www.whatnot.com/order/YizRVYJABNSdo22iZwgKNb"/>
    <s v="whatnot.com/order/YizRVYJABNSdo22iZwgKNb_x000a_$5.00 + $0.35 (Shared Shipping) + $0.55 Tax = Total of $5.89"/>
    <s v="whatnot.com/order/YizRVYJABNSdo22iZwgKNb_x000a_$5.00 + $0.35 (Shared Shipping) + $0.55 Tax = Total of $5.89"/>
    <n v="5.52"/>
    <n v="0.3453846153846154"/>
    <n v="5.3453846153846154"/>
    <n v="0.54790192307692309"/>
    <n v="5.8932865384615383"/>
    <n v="10.97"/>
    <n v="5.0767134615384624"/>
    <n v="1"/>
    <s v="2025 Topps Match Attax In Motion"/>
    <s v="Victor Wembanyama #KI-VW"/>
    <s v="."/>
  </r>
  <r>
    <s v="R"/>
    <x v="29"/>
    <d v="2026-05-15T00:00:00"/>
    <n v="57"/>
    <n v="1"/>
    <n v="0"/>
    <n v="0.11"/>
    <s v="Green"/>
    <n v="12952668"/>
    <n v="610"/>
    <s v="https://www.whatnot.com/order/A7skqPgdXNgH85B2zYMLjL"/>
    <s v="whatnot.com/order/A7skqPgdXNgH85B2zYMLjL_x000a_$1.00 + $0.35 (Shared Shipping) + $0.14 Tax = Total of $1.48"/>
    <s v="whatnot.com/order/A7skqPgdXNgH85B2zYMLjL_x000a_$1.00 + $0.35 (Shared Shipping) + $0.14 Tax = Total of $1.48"/>
    <n v="1.1100000000000001"/>
    <n v="0.3453846153846154"/>
    <n v="1.3453846153846154"/>
    <n v="0.13790192307692306"/>
    <n v="1.4832865384615386"/>
    <n v="0"/>
    <n v="-1.4832865384615386"/>
    <n v="1"/>
    <s v="2025 Topps NBA Hoops"/>
    <s v="Draymond Green [Rainbow Red Orange] #120"/>
    <s v="."/>
  </r>
  <r>
    <s v="R"/>
    <x v="29"/>
    <d v="2026-05-15T00:00:00"/>
    <n v="61"/>
    <n v="3"/>
    <n v="0"/>
    <n v="0.31"/>
    <s v="Shai"/>
    <n v="11830175"/>
    <n v="191"/>
    <s v="https://www.whatnot.com/order/Gzx3x3hroNb5oYG2Go9M4M"/>
    <s v="whatnot.com/order/Gzx3x3hroNb5oYG2Go9M4M_x000a_$3.00 + $0.35 (Shared Shipping) + $0.34 Tax = Total of $3.69"/>
    <s v="whatnot.com/order/Gzx3x3hroNb5oYG2Go9M4M_x000a_$3.00 + $0.35 (Shared Shipping) + $0.34 Tax = Total of $3.69"/>
    <n v="3.31"/>
    <n v="0.3453846153846154"/>
    <n v="3.3453846153846154"/>
    <n v="0.34290192307692308"/>
    <n v="3.6882865384615386"/>
    <n v="2.4900000000000002"/>
    <n v="-1.1982865384615384"/>
    <n v="1"/>
    <s v="2025 Topps Match Attax 100 Club"/>
    <s v="Shai Gilgeous-Alexander #100C-SG"/>
    <s v="."/>
  </r>
  <r>
    <s v="R"/>
    <x v="29"/>
    <d v="2026-05-15T00:00:00"/>
    <n v="64"/>
    <n v="1"/>
    <n v="0"/>
    <n v="0.11"/>
    <s v="Mitchell"/>
    <n v="10697652"/>
    <n v="165"/>
    <s v="https://www.whatnot.com/order/LWb3sBpSSuKkKt2ouhdoxo"/>
    <s v="whatnot.com/order/LWb3sBpSSuKkKt2ouhdoxo_x000a_$1.00 + $0.35 (Shared Shipping) + $0.14 Tax = Total of $1.48"/>
    <s v="whatnot.com/order/LWb3sBpSSuKkKt2ouhdoxo_x000a_$1.00 + $0.35 (Shared Shipping) + $0.14 Tax = Total of $1.48"/>
    <n v="1.1100000000000001"/>
    <n v="0.3453846153846154"/>
    <n v="1.3453846153846154"/>
    <n v="0.13790192307692306"/>
    <n v="1.4832865384615386"/>
    <n v="3.25"/>
    <n v="1.7667134615384614"/>
    <n v="1"/>
    <s v="2024 Panini Prizm Black"/>
    <s v="Donovan Mitchell [Hyper] #49"/>
    <s v="."/>
  </r>
  <r>
    <s v="R"/>
    <x v="29"/>
    <d v="2026-05-15T00:00:00"/>
    <n v="67"/>
    <n v="1"/>
    <n v="0"/>
    <n v="0.11"/>
    <s v="Adebayo"/>
    <n v="11589448"/>
    <n v="341"/>
    <s v="https://www.whatnot.com/order/2TyjnBKs5xc9uWHYUQd9fu"/>
    <s v="whatnot.com/order/2TyjnBKs5xc9uWHYUQd9fu_x000a_$1.00 + $0.35 (Shared Shipping) + $0.14 Tax = Total of $1.48"/>
    <s v="whatnot.com/order/2TyjnBKs5xc9uWHYUQd9fu_x000a_$1.00 + $0.35 (Shared Shipping) + $0.14 Tax = Total of $1.48"/>
    <n v="1.1100000000000001"/>
    <n v="0.3453846153846154"/>
    <n v="1.3453846153846154"/>
    <n v="0.13790192307692306"/>
    <n v="1.4832865384615386"/>
    <n v="1.75"/>
    <n v="0.26671346153846143"/>
    <n v="1"/>
    <s v="2025 Topps Chrome Ball Of Duty"/>
    <s v="Bam Adebayo [Refractor] #BD-15"/>
    <s v="."/>
  </r>
  <r>
    <s v="R"/>
    <x v="29"/>
    <d v="2026-05-15T00:00:00"/>
    <n v="69"/>
    <n v="4"/>
    <n v="0"/>
    <n v="0.41"/>
    <s v="Wembanyama"/>
    <n v="11909415"/>
    <n v="52"/>
    <s v="https://www.whatnot.com/order/jYo3VKPfAkNfdoPWbkE8fv"/>
    <s v="whatnot.com/order/jYo3VKPfAkNfdoPWbkE8fv_x000a_$4.00 + $0.35 (Shared Shipping) + $0.45 Tax = Total of $4.79"/>
    <s v="whatnot.com/order/jYo3VKPfAkNfdoPWbkE8fv_x000a_$4.00 + $0.35 (Shared Shipping) + $0.45 Tax = Total of $4.79"/>
    <n v="4.41"/>
    <n v="0.3453846153846154"/>
    <n v="4.3453846153846154"/>
    <n v="0.44540192307692306"/>
    <n v="4.7907865384615382"/>
    <n v="7"/>
    <n v="2.2092134615384618"/>
    <n v="4"/>
    <s v="2025 Topps Match Attax Hot Prospects"/>
    <s v="Victor Wembanyama #HP-VW"/>
    <s v="."/>
  </r>
  <r>
    <s v="R"/>
    <x v="30"/>
    <d v="2026-05-15T00:00:00"/>
    <s v="Givvy 3"/>
    <n v="0"/>
    <n v="0"/>
    <n v="0"/>
    <s v="Rodman"/>
    <n v="2193671"/>
    <n v="383"/>
    <s v="https://www.whatnot.com/order/bjbSDowQ8rwtKXCHzkacVp"/>
    <s v="whatnot.com/order/bjbSDowQ8rwtKXCHzkacVp_x000a_$0.00 + $1.36 (Shared Shipping) + $0.14 Tax = Total of $1.50"/>
    <s v="whatnot.com/order/bjbSDowQ8rwtKXCHzkacVp_x000a_$0.00 + $1.36 (Shared Shipping) + $0.00 Tax = Total of $1.36"/>
    <n v="0"/>
    <n v="1.36"/>
    <n v="1.36"/>
    <n v="0"/>
    <n v="1.36"/>
    <n v="1.61"/>
    <n v="0.25"/>
    <n v="1"/>
    <s v="1994 Upper Deck"/>
    <s v="Dennis Rodman #279"/>
    <s v="."/>
  </r>
  <r>
    <s v="R"/>
    <x v="30"/>
    <d v="2026-05-15T00:00:00"/>
    <n v="25"/>
    <n v="3"/>
    <n v="0.61"/>
    <n v="0.37"/>
    <s v="Luka"/>
    <n v="8560406"/>
    <n v="454"/>
    <s v="https://www.whatnot.com/order/YAUQiahE9jPotBCmxaNkUS"/>
    <s v="whatnot.com/order/YAUQiahE9jPotBCmxaNkUS_x000a_$3.00 + $1.36 (Shared Shipping) + $0.45 Tax = Total of $4.81"/>
    <s v="whatnot.com/order/YAUQiahE9jPotBCmxaNkUS_x000a_$3.00 + $1.36 (Shared Shipping) + $0.45 Tax = Total of $4.81"/>
    <n v="3.98"/>
    <n v="1.36"/>
    <n v="4.3600000000000003"/>
    <n v="0.44690000000000002"/>
    <n v="4.8069000000000006"/>
    <n v="1.39"/>
    <n v="-3.4169000000000009"/>
    <n v="2"/>
    <s v="2024 Panini Prizm Dominance"/>
    <s v="Luka Doncic #12"/>
    <s v="."/>
  </r>
  <r>
    <s v="R"/>
    <x v="30"/>
    <d v="2026-05-15T00:00:00"/>
    <n v="37"/>
    <n v="6"/>
    <n v="3.47"/>
    <n v="0.98"/>
    <s v="Mahomes"/>
    <n v="9514806"/>
    <n v="194"/>
    <s v="https://www.whatnot.com/order/5UjjnZwur4KMPeFJnGd5wv"/>
    <s v="whatnot.com/order/5UjjnZwur4KMPeFJnGd5wv_x000a_$6.00 + $1.36 (Shared Shipping) + $0.75 Tax = Total of $8.11"/>
    <s v="whatnot.com/order/5UjjnZwur4KMPeFJnGd5wv_x000a_$6.00 + $1.36 (Shared Shipping) + $0.75 Tax = Total of $8.11"/>
    <n v="10.450000000000001"/>
    <n v="1.36"/>
    <n v="7.36"/>
    <n v="0.75439999999999996"/>
    <n v="8.1143999999999998"/>
    <n v="3.05"/>
    <n v="-5.0644"/>
    <n v="1"/>
    <s v="2024 Panini Select"/>
    <s v="Patrick Mahomes II [Red Yellow Prizm Shock] #120"/>
    <s v="."/>
  </r>
  <r>
    <s v="R"/>
    <x v="31"/>
    <d v="2026-05-16T00:00:00"/>
    <n v="5"/>
    <n v="1.5"/>
    <n v="2.2749999999999999"/>
    <n v="0.39"/>
    <s v="Luka"/>
    <n v="7511275"/>
    <n v="225"/>
    <s v="https://www.whatnot.com/order/5X36yCiHaJsMeN64D6uPLA"/>
    <s v="whatnot.com/order/5X36yCiHaJsMeN64D6uPLA_x000a_$1.50 + $2.28 (Shared Shipping) + $0.39 Tax = Total of $4.16"/>
    <s v="whatnot.com/order/5X36yCiHaJsMeN64D6uPLA_x000a_$1.50 + $2.28 (Shared Shipping) + $0.39 Tax = Total of $4.16"/>
    <n v="4.165"/>
    <n v="2.2749999999999999"/>
    <n v="3.7749999999999999"/>
    <n v="0.38693749999999999"/>
    <n v="4.1619374999999996"/>
    <n v="2.25"/>
    <n v="-1.9119374999999996"/>
    <n v="1"/>
    <s v="2023 Panini Phoenix Fade To Black"/>
    <s v="Luka Doncic [Red Ice] #18"/>
    <s v="."/>
  </r>
  <r>
    <s v="R"/>
    <x v="31"/>
    <d v="2026-05-16T00:00:00"/>
    <n v="5"/>
    <n v="1.5"/>
    <n v="2.2749999999999999"/>
    <n v="0.39"/>
    <s v="Luka"/>
    <n v="8560406"/>
    <n v="456"/>
    <s v="https://www.whatnot.com/order/5X36yCiHaJsMeN64D6uPLA"/>
    <s v="whatnot.com/order/5X36yCiHaJsMeN64D6uPLA_x000a_$1.50 + $2.28 (Shared Shipping) + $0.39 Tax = Total of $4.16"/>
    <s v="whatnot.com/order/5X36yCiHaJsMeN64D6uPLA_x000a_$1.50 + $2.28 (Shared Shipping) + $0.39 Tax = Total of $4.16"/>
    <n v="4.165"/>
    <n v="2.2749999999999999"/>
    <n v="3.7749999999999999"/>
    <n v="0.38693749999999999"/>
    <n v="4.1619374999999996"/>
    <n v="1.39"/>
    <n v="-2.7719374999999999"/>
    <n v="2"/>
    <s v="2024 Panini Prizm Dominance"/>
    <s v="Luka Doncic #12"/>
    <s v="."/>
  </r>
  <r>
    <s v="R"/>
    <x v="32"/>
    <d v="2026-05-16T00:00:00"/>
    <n v="70"/>
    <n v="1"/>
    <n v="0.7"/>
    <n v="0.18"/>
    <s v="Shai"/>
    <n v="10212324"/>
    <n v="533"/>
    <s v="https://www.whatnot.com/order/BxpSgRamxcouLJ5UoJeEaP"/>
    <s v="whatnot.com/order/BxpSgRamxcouLJ5UoJeEaP_x000a_$1.00 + $1.20 (Shared Shipping) + $0.23 Tax = Total of $2.43"/>
    <s v="whatnot.com/order/BxpSgRamxcouLJ5UoJeEaP_x000a_$1.00 + $1.20 (Shared Shipping) + $0.23 Tax = Total of $2.43"/>
    <n v="1.88"/>
    <n v="1.2"/>
    <n v="2.2000000000000002"/>
    <n v="0.22550000000000001"/>
    <n v="2.4255"/>
    <n v="1.25"/>
    <n v="-1.1755"/>
    <n v="1"/>
    <s v="2024 Panini Donruss Optic Splash"/>
    <s v="Shai Gilgeous-Alexander #6"/>
    <s v="."/>
  </r>
  <r>
    <s v="R"/>
    <x v="32"/>
    <d v="2026-05-16T00:00:00"/>
    <n v="70"/>
    <n v="1"/>
    <n v="0.69"/>
    <n v="0.17"/>
    <s v="Shai"/>
    <n v="9259816"/>
    <n v="496"/>
    <s v="https://www.whatnot.com/order/BxpSgRamxcouLJ5UoJeEaP"/>
    <s v="whatnot.com/order/BxpSgRamxcouLJ5UoJeEaP_x000a_$1.00 + $1.20 (Shared Shipping) + $0.23 Tax = Total of $2.43"/>
    <s v="whatnot.com/order/BxpSgRamxcouLJ5UoJeEaP_x000a_$1.00 + $1.20 (Shared Shipping) + $0.23 Tax = Total of $2.43"/>
    <n v="1.8599999999999999"/>
    <n v="1.2"/>
    <n v="2.2000000000000002"/>
    <n v="0.22550000000000001"/>
    <n v="2.4255"/>
    <n v="1.21"/>
    <n v="-1.2155"/>
    <n v="2"/>
    <s v="2024 Panini Revolution"/>
    <s v="Shai Gilgeous-Alexander #8"/>
    <s v="."/>
  </r>
  <r>
    <s v="R"/>
    <x v="32"/>
    <d v="2026-05-16T00:00:00"/>
    <n v="94"/>
    <n v="1.5"/>
    <n v="1.71"/>
    <n v="0.33"/>
    <s v="Tatum"/>
    <n v="7296808"/>
    <n v="148"/>
    <s v="https://www.whatnot.com/order/9ER4Qs3djKVVj6qwbLpnAt"/>
    <s v="whatnot.com/order/9ER4Qs3djKVVj6qwbLpnAt_x000a_$1.50 + $1.20 (Shared Shipping) + $0.28 Tax = Total of $2.98"/>
    <s v="whatnot.com/order/9ER4Qs3djKVVj6qwbLpnAt_x000a_$1.50 + $1.20 (Shared Shipping) + $0.28 Tax = Total of $2.98"/>
    <n v="3.54"/>
    <n v="1.2"/>
    <n v="2.7"/>
    <n v="0.27675"/>
    <n v="2.97675"/>
    <n v="3.9"/>
    <n v="0.9232499999999999"/>
    <n v="1"/>
    <s v="2023 Topps Chrome"/>
    <s v="Jayson Tatum [Orange Basketball Refractor] #164"/>
    <s v="."/>
  </r>
  <r>
    <s v="R"/>
    <x v="32"/>
    <d v="2026-05-16T00:00:00"/>
    <n v="94"/>
    <n v="1.5"/>
    <n v="1.7"/>
    <n v="0.33"/>
    <s v="Tatum"/>
    <n v="6014501"/>
    <n v="314"/>
    <s v="https://www.whatnot.com/order/9ER4Qs3djKVVj6qwbLpnAt"/>
    <s v="whatnot.com/order/9ER4Qs3djKVVj6qwbLpnAt_x000a_$1.50 + $1.20 (Shared Shipping) + $0.28 Tax = Total of $2.98"/>
    <s v="whatnot.com/order/9ER4Qs3djKVVj6qwbLpnAt_x000a_$1.50 + $1.20 (Shared Shipping) + $0.28 Tax = Total of $2.98"/>
    <n v="3.5300000000000002"/>
    <n v="1.2"/>
    <n v="2.7"/>
    <n v="0.27675"/>
    <n v="2.97675"/>
    <n v="1.85"/>
    <n v="-1.1267499999999999"/>
    <n v="1"/>
    <s v="2023 Panini Prizm Draft Picks"/>
    <s v="Jayson Tatum [Red Ice] #51"/>
    <s v="."/>
  </r>
  <r>
    <s v="R"/>
    <x v="33"/>
    <d v="2026-05-17T00:00:00"/>
    <s v="Givvy 4"/>
    <n v="0"/>
    <n v="0"/>
    <n v="0"/>
    <s v="Edwards"/>
    <n v="358012"/>
    <n v="334"/>
    <s v="https://www.whatnot.com/order/TYnJSjGYYq23Mb9UWhC6Xk"/>
    <s v="whatnot.com/order/TYnJSjGYYq23Mb9UWhC6Xk_x000a_$0.00 + $0.78 (Shared Shipping) + $0.08 Tax = Total of $0.86"/>
    <s v="whatnot.com/order/TYnJSjGYYq23Mb9UWhC6Xk_x000a_$0.00 + $0.78 (Shared Shipping) + $0.00 Tax = Total of $0.78"/>
    <n v="0"/>
    <n v="0.77666666666666673"/>
    <n v="0.77666666666666673"/>
    <n v="0"/>
    <n v="0.77666666666666673"/>
    <n v="1.62"/>
    <n v="0.84333333333333338"/>
    <n v="1"/>
    <s v="2020 Panini Prizm Draft Picks"/>
    <s v="Anthony Edwards #81"/>
    <s v="."/>
  </r>
  <r>
    <s v="R"/>
    <x v="33"/>
    <d v="2026-05-17T00:00:00"/>
    <n v="68"/>
    <n v="3"/>
    <n v="0"/>
    <n v="0.31"/>
    <s v="Luka"/>
    <n v="4116083"/>
    <n v="305"/>
    <s v="https://www.whatnot.com/order/V4B7eTMpR47RKMGyDdYHuc"/>
    <s v="whatnot.com/order/V4B7eTMpR47RKMGyDdYHuc_x000a_$3.00 + $0.78 (Shared Shipping) + $0.39 Tax = Total of $4.16"/>
    <s v="whatnot.com/order/V4B7eTMpR47RKMGyDdYHuc_x000a_$3.00 + $0.78 (Shared Shipping) + $0.39 Tax = Total of $4.16"/>
    <n v="3.31"/>
    <n v="0.77666666666666673"/>
    <n v="3.7766666666666668"/>
    <n v="0.38710833333333333"/>
    <n v="4.1637750000000002"/>
    <n v="1.88"/>
    <n v="-2.2837750000000003"/>
    <n v="1"/>
    <s v="2021 Panini Donruss Optic Express Lane"/>
    <s v="Luka Doncic [Holo] #7"/>
    <s v="."/>
  </r>
  <r>
    <s v="R"/>
    <x v="33"/>
    <d v="2026-05-17T00:00:00"/>
    <n v="78"/>
    <n v="3"/>
    <n v="0.4"/>
    <n v="0.36"/>
    <s v="Banchero"/>
    <n v="10842357"/>
    <n v="131"/>
    <s v="https://www.whatnot.com/order/nf6DKG4X4BE3RvCtyQDywr"/>
    <s v="whatnot.com/order/nf6DKG4X4BE3RvCtyQDywr_x000a_$3.00 + $0.78 (Shared Shipping) + $0.39 Tax = Total of $4.16"/>
    <s v="whatnot.com/order/nf6DKG4X4BE3RvCtyQDywr_x000a_$3.00 + $0.78 (Shared Shipping) + $0.39 Tax = Total of $4.16"/>
    <n v="3.76"/>
    <n v="0.77666666666666673"/>
    <n v="3.7766666666666668"/>
    <n v="0.38710833333333333"/>
    <n v="4.1637750000000002"/>
    <n v="4.2"/>
    <n v="3.6224999999999952E-2"/>
    <n v="1"/>
    <s v="2025 Topps Stars of the NBA"/>
    <s v="Paolo Banchero [Purple Rainbow] #SA-20"/>
    <s v="."/>
  </r>
  <r>
    <s v="R"/>
    <x v="33"/>
    <d v="2026-05-17T00:00:00"/>
    <n v="85"/>
    <n v="2"/>
    <n v="0.96"/>
    <n v="0.31"/>
    <s v="Luka"/>
    <n v="2491470"/>
    <n v="224"/>
    <s v="https://www.whatnot.com/order/ZtB4ZVd8p4oiJnLmAJs7tz"/>
    <s v="whatnot.com/order/ZtB4ZVd8p4oiJnLmAJs7tz_x000a_$2.00 + $0.78 (Shared Shipping) + $0.28 Tax = Total of $3.06"/>
    <s v="whatnot.com/order/ZtB4ZVd8p4oiJnLmAJs7tz_x000a_$2.00 + $0.78 (Shared Shipping) + $0.28 Tax = Total of $3.06"/>
    <n v="3.27"/>
    <n v="0.77666666666666673"/>
    <n v="2.7766666666666668"/>
    <n v="0.28460833333333335"/>
    <n v="3.0612750000000002"/>
    <n v="2.37"/>
    <n v="-0.69127500000000008"/>
    <n v="1"/>
    <s v="2020 Panini Select"/>
    <s v="Luka Doncic [Red White Orange Shimmer] #150"/>
    <s v="Can't tell if it is Blue/Purple/Holo"/>
  </r>
  <r>
    <s v="R"/>
    <x v="33"/>
    <d v="2026-05-17T00:00:00"/>
    <n v="3"/>
    <n v="10"/>
    <n v="1.61"/>
    <n v="1.19"/>
    <s v="Reaves"/>
    <n v="5021346"/>
    <n v="79810203"/>
    <s v="https://www.whatnot.com/order/F54vujG64TkcHYp4KU7RHA"/>
    <s v="whatnot.com/order/F54vujG64TkcHYp4KU7RHA_x000a_$10.00 + $0.78 (Shared Shipping) + $1.10 Tax = Total of $11.88"/>
    <s v="whatnot.com/order/F54vujG64TkcHYp4KU7RHA_x000a_$10.00 + $0.78 (Shared Shipping) + $1.10 Tax = Total of $11.88"/>
    <n v="12.799999999999999"/>
    <n v="0.77666666666666673"/>
    <n v="10.776666666666667"/>
    <n v="1.1046083333333334"/>
    <n v="11.881275"/>
    <n v="11.29"/>
    <n v="-0.59127500000000133"/>
    <n v="1"/>
    <s v="2022 Panini Prizm"/>
    <s v="Austin Reaves #123"/>
    <s v="."/>
  </r>
  <r>
    <s v="R"/>
    <x v="33"/>
    <d v="2026-05-17T00:00:00"/>
    <n v="111"/>
    <n v="4"/>
    <n v="1.69"/>
    <n v="0.57999999999999996"/>
    <s v="Luka"/>
    <n v="8537652"/>
    <n v="202"/>
    <s v="https://www.whatnot.com/order/F54vujG64TkcHYp4KU7RHA"/>
    <s v="whatnot.com/order/F54vujG64TkcHYp4KU7RHA_x000a_$4.00 + $0.78 (Shared Shipping) + $0.49 Tax = Total of $5.27"/>
    <s v="whatnot.com/order/F54vujG64TkcHYp4KU7RHA_x000a_$4.00 + $0.78 (Shared Shipping) + $0.49 Tax = Total of $5.27"/>
    <n v="6.27"/>
    <n v="0.77666666666666673"/>
    <n v="4.7766666666666664"/>
    <n v="0.48960833333333326"/>
    <n v="5.2662749999999994"/>
    <n v="2.88"/>
    <n v="-2.3862749999999995"/>
    <n v="1"/>
    <s v="2024 Panini Prizm"/>
    <s v="Luka Doncic [Pink Ice] #89"/>
    <s v="."/>
  </r>
  <r>
    <s v="R"/>
    <x v="34"/>
    <d v="2026-05-17T00:00:00"/>
    <n v="2"/>
    <n v="0.5"/>
    <n v="0.39"/>
    <n v="0.1"/>
    <s v="Shai"/>
    <n v="12957398"/>
    <n v="347"/>
    <s v="https://www.whatnot.com/order/nAEkrSA7yzkeKXKekwWJV7"/>
    <s v="whatnot.com/order/nAEkrSA7yzkeKXKekwWJV7_x000a_$0.50 + $0.27 (Shared Shipping) + $0.08 Tax = Total of $0.85"/>
    <s v="whatnot.com/order/nAEkrSA7yzkeKXKekwWJV7_x000a_$0.50 + $0.27 (Shared Shipping) + $0.08 Tax = Total of $0.85"/>
    <n v="0.99"/>
    <n v="0.27250000000000002"/>
    <n v="0.77249999999999996"/>
    <n v="7.9181249999999995E-2"/>
    <n v="0.85168124999999995"/>
    <n v="1.02"/>
    <n v="0.16831875000000007"/>
    <n v="2"/>
    <s v="2025 Topps NBA Hoops"/>
    <s v="Shai Gilgeous-Alexander #286"/>
    <s v="."/>
  </r>
  <r>
    <s v="R"/>
    <x v="34"/>
    <d v="2026-05-17T00:00:00"/>
    <n v="2"/>
    <n v="0.5"/>
    <n v="0.39"/>
    <n v="0.09"/>
    <s v="Morant"/>
    <n v="12957119"/>
    <n v="432"/>
    <s v="https://www.whatnot.com/order/nAEkrSA7yzkeKXKekwWJV7"/>
    <s v="whatnot.com/order/nAEkrSA7yzkeKXKekwWJV7_x000a_$0.50 + $0.27 (Shared Shipping) + $0.08 Tax = Total of $0.85"/>
    <s v="whatnot.com/order/nAEkrSA7yzkeKXKekwWJV7_x000a_$0.50 + $0.27 (Shared Shipping) + $0.08 Tax = Total of $0.85"/>
    <n v="0.98"/>
    <n v="0.27250000000000002"/>
    <n v="0.77249999999999996"/>
    <n v="7.9181249999999995E-2"/>
    <n v="0.85168124999999995"/>
    <n v="1.25"/>
    <n v="0.39831875000000005"/>
    <n v="1"/>
    <s v="2025 Topps NBA Hoops"/>
    <s v="Ja Morant #264"/>
    <s v="."/>
  </r>
  <r>
    <s v="R"/>
    <x v="34"/>
    <d v="2026-05-17T00:00:00"/>
    <n v="3"/>
    <n v="0.5"/>
    <n v="0.16"/>
    <n v="0.08"/>
    <s v="Toppin"/>
    <n v="12642248"/>
    <n v="540"/>
    <s v="https://www.whatnot.com/order/C8wNmr23XSGaFU3EsaesSS"/>
    <s v="whatnot.com/order/C8wNmr23XSGaFU3EsaesSS_x000a_$0.50 + $0.27 (Shared Shipping) + $0.08 Tax = Total of $0.85"/>
    <s v="whatnot.com/order/C8wNmr23XSGaFU3EsaesSS_x000a_$0.50 + $0.27 (Shared Shipping) + $0.08 Tax = Total of $0.85"/>
    <n v="0.74"/>
    <n v="0.27250000000000002"/>
    <n v="0.77249999999999996"/>
    <n v="7.9181249999999995E-2"/>
    <n v="0.85168124999999995"/>
    <n v="0.97"/>
    <n v="0.11831875000000003"/>
    <n v="1"/>
    <s v="2025 Bowman Verified"/>
    <s v="JT Toppin #BV-15"/>
    <s v="."/>
  </r>
  <r>
    <s v="R"/>
    <x v="34"/>
    <d v="2026-05-17T00:00:00"/>
    <n v="3"/>
    <n v="0.5"/>
    <n v="0.15"/>
    <n v="7.0000000000000007E-2"/>
    <s v="Toppin"/>
    <n v="12628486"/>
    <n v="331"/>
    <s v="https://www.whatnot.com/order/C8wNmr23XSGaFU3EsaesSS"/>
    <s v="whatnot.com/order/C8wNmr23XSGaFU3EsaesSS_x000a_$0.50 + $0.27 (Shared Shipping) + $0.08 Tax = Total of $0.85"/>
    <s v="whatnot.com/order/C8wNmr23XSGaFU3EsaesSS_x000a_$0.50 + $0.27 (Shared Shipping) + $0.08 Tax = Total of $0.85"/>
    <n v="0.72"/>
    <n v="0.27250000000000002"/>
    <n v="0.77249999999999996"/>
    <n v="7.9181249999999995E-2"/>
    <n v="0.85168124999999995"/>
    <n v="1.75"/>
    <n v="0.89831875000000005"/>
    <n v="1"/>
    <s v="2025 Bowman Prospects"/>
    <s v="JT Toppin #BPP-93"/>
    <s v="."/>
  </r>
  <r>
    <s v="R"/>
    <x v="35"/>
    <d v="2026-05-17T00:00:00"/>
    <n v="56"/>
    <n v="3"/>
    <n v="0.78"/>
    <n v="0.39"/>
    <s v="Luka"/>
    <n v="10199090"/>
    <n v="357"/>
    <s v="https://www.whatnot.com/order/Mqc2Uuzq8b8WstsiTribsF"/>
    <s v="whatnot.com/order/Mqc2Uuzq8b8WstsiTribsF_x000a_$3.00 + $0.78 (Shared Shipping) + $0.39 Tax = Total of $4.17"/>
    <s v="whatnot.com/order/Mqc2Uuzq8b8WstsiTribsF_x000a_$3.00 + $0.78 (Shared Shipping) + $0.39 Tax = Total of $4.17"/>
    <n v="4.17"/>
    <n v="0.78"/>
    <n v="3.7800000000000002"/>
    <n v="0.38745000000000002"/>
    <n v="4.1674500000000005"/>
    <n v="1.5"/>
    <n v="-2.6674500000000005"/>
    <n v="1"/>
    <s v="2024 Panini Donruss Optic"/>
    <s v="Luka Doncic [Hyper Pink] #214"/>
    <s v="."/>
  </r>
  <r>
    <s v="R"/>
    <x v="20"/>
    <d v="2026-05-18T00:00:00"/>
    <n v="125"/>
    <n v="8"/>
    <n v="0.78"/>
    <n v="0.9"/>
    <s v="Flagg"/>
    <n v="11830197"/>
    <n v="68"/>
    <s v="https://www.whatnot.com/order/Kd3DTS6aAunowd6ZnJ4KTS"/>
    <s v="whatnot.com/order/Kd3DTS6aAunowd6ZnJ4KTS_x000a_$8.00 + $0.78 (Shared Shipping) + $0.90 Tax = Total of $9.68"/>
    <s v="whatnot.com/order/Kd3DTS6aAunowd6ZnJ4KTS_x000a_$8.00 + $0.78 (Shared Shipping) + $0.90 Tax = Total of $9.68"/>
    <n v="9.68"/>
    <n v="0.78"/>
    <n v="8.7799999999999994"/>
    <n v="0.89994999999999992"/>
    <n v="9.6799499999999998"/>
    <n v="10.99"/>
    <n v="1.3100500000000004"/>
    <n v="2"/>
    <s v="2025 Topps Match Attax Breakthrough Baller"/>
    <s v="Cooper Flagg #BB-CF"/>
    <s v="."/>
  </r>
  <r>
    <s v="R"/>
    <x v="36"/>
    <d v="2026-05-19T00:00:00"/>
    <n v="7"/>
    <n v="2"/>
    <n v="4.55"/>
    <n v="0.68"/>
    <s v="Flagg"/>
    <n v="12613839"/>
    <n v="149"/>
    <s v="https://www.whatnot.com/order/cVAH6c2Ha2VVKr4oHxHUDo"/>
    <s v="whatnot.com/order/cVAH6c2Ha2VVKr4oHxHUDo_x000a_$2.00 + $4.55 (Shared Shipping) + $0.67 Tax = Total of $7.22"/>
    <s v="whatnot.com/order/cVAH6c2Ha2VVKr4oHxHUDo_x000a_$2.00 + $4.55 (Shared Shipping) + $0.67 Tax = Total of $7.22"/>
    <n v="7.2299999999999995"/>
    <n v="4.55"/>
    <n v="6.55"/>
    <n v="0.67137499999999994"/>
    <n v="7.2213750000000001"/>
    <n v="3.71"/>
    <n v="-3.5113750000000001"/>
    <n v="2"/>
    <s v="2025 Bowman"/>
    <s v="Cooper Flagg #1"/>
    <s v="."/>
  </r>
  <r>
    <s v="R"/>
    <x v="29"/>
    <d v="2026-05-19T00:00:00"/>
    <n v="25"/>
    <n v="1"/>
    <n v="1.0900000000000001"/>
    <n v="0.22"/>
    <s v="Wembanyama"/>
    <n v="11830213"/>
    <n v="101"/>
    <s v="https://www.whatnot.com/order/7uWiSpZyq2Roey5Rr4Z456"/>
    <s v="whatnot.com/order/7uWiSpZyq2Roey5Rr4Z456_x000a_$1.00 + $0.35 (Shared Shipping) + $0.14 Tax = Total of $1.49"/>
    <s v="whatnot.com/order/7uWiSpZyq2Roey5Rr4Z456_x000a_$1.00 + $0.35 (Shared Shipping) + $0.14 Tax = Total of $1.49"/>
    <n v="2.31"/>
    <n v="0.35235294117647059"/>
    <n v="1.3523529411764705"/>
    <n v="0.13861617647058821"/>
    <n v="1.4909691176470588"/>
    <n v="5.52"/>
    <n v="4.0290308823529406"/>
    <n v="5"/>
    <s v="2025 Topps Match Attax Breakthrough Baller"/>
    <s v="Victor Wembanyama #BB-VW"/>
    <s v="."/>
  </r>
  <r>
    <s v="R"/>
    <x v="29"/>
    <d v="2026-05-19T00:00:00"/>
    <n v="26"/>
    <n v="1"/>
    <n v="0.3"/>
    <n v="0.15"/>
    <s v="Shai"/>
    <n v="11909462"/>
    <n v="250"/>
    <s v="https://www.whatnot.com/order/QCeWrxwuLDSmy5kirafwrW"/>
    <s v="whatnot.com/order/QCeWrxwuLDSmy5kirafwrW_x000a_$1.00 + $0.35 (Shared Shipping) + $0.14 Tax = Total of $1.49"/>
    <s v="whatnot.com/order/QCeWrxwuLDSmy5kirafwrW_x000a_$1.00 + $0.35 (Shared Shipping) + $0.14 Tax = Total of $1.49"/>
    <n v="1.45"/>
    <n v="0.35235294117647059"/>
    <n v="1.3523529411764705"/>
    <n v="0.13861617647058821"/>
    <n v="1.4909691176470588"/>
    <n v="2.0099999999999998"/>
    <n v="0.51903088235294104"/>
    <n v="3"/>
    <s v="2025 Topps Match Attax Scoring Hero"/>
    <s v="Shai Gilgeous-Alexander #SH-SG"/>
    <s v="."/>
  </r>
  <r>
    <s v="R"/>
    <x v="29"/>
    <d v="2026-05-19T00:00:00"/>
    <n v="27"/>
    <n v="1"/>
    <n v="2.96"/>
    <n v="0.41"/>
    <s v="Embiid"/>
    <n v="5419755"/>
    <n v="162"/>
    <s v="https://www.whatnot.com/order/n7MxSz7PrCaHnYLU8dzQbP"/>
    <s v="whatnot.com/order/n7MxSz7PrCaHnYLU8dzQbP_x000a_$1.00 + $0.35 (Shared Shipping) + $0.14 Tax = Total of $1.49"/>
    <s v="whatnot.com/order/n7MxSz7PrCaHnYLU8dzQbP_x000a_$1.00 + $0.35 (Shared Shipping) + $0.14 Tax = Total of $1.49"/>
    <n v="4.37"/>
    <n v="0.35235294117647059"/>
    <n v="1.3523529411764705"/>
    <n v="0.13861617647058821"/>
    <n v="1.4909691176470588"/>
    <n v="3.29"/>
    <n v="1.7990308823529413"/>
    <n v="1"/>
    <s v="2021 Panini Illusions Mystique"/>
    <s v="Joel Embiid #4"/>
    <s v="."/>
  </r>
  <r>
    <s v="R"/>
    <x v="29"/>
    <d v="2026-05-19T00:00:00"/>
    <n v="29"/>
    <n v="3"/>
    <n v="0.45"/>
    <n v="0.36"/>
    <s v="Wembanyama"/>
    <n v="11830213"/>
    <n v="44"/>
    <s v="https://www.whatnot.com/order/V3RCUewZwCDfiBZPvUE9Az"/>
    <s v="whatnot.com/order/V3RCUewZwCDfiBZPvUE9Az_x000a_$3.00 + $0.35 (Shared Shipping) + $0.34 Tax = Total of $3.70"/>
    <s v="whatnot.com/order/V3RCUewZwCDfiBZPvUE9Az_x000a_$3.00 + $0.35 (Shared Shipping) + $0.34 Tax = Total of $3.70"/>
    <n v="3.81"/>
    <n v="0.35235294117647059"/>
    <n v="3.3523529411764708"/>
    <n v="0.34361617647058823"/>
    <n v="3.695969117647059"/>
    <n v="5.52"/>
    <n v="1.8240308823529405"/>
    <n v="5"/>
    <s v="2025 Topps Match Attax Breakthrough Baller"/>
    <s v="Victor Wembanyama #BB-VW"/>
    <s v="."/>
  </r>
  <r>
    <s v="R"/>
    <x v="29"/>
    <d v="2026-05-19T00:00:00"/>
    <n v="31"/>
    <n v="1"/>
    <n v="0"/>
    <n v="0.11"/>
    <s v="Harden"/>
    <n v="12950794"/>
    <n v="606"/>
    <s v="https://www.whatnot.com/order/adbiydZbLLFo8x6jprPUeB"/>
    <s v="whatnot.com/order/adbiydZbLLFo8x6jprPUeB_x000a_$1.00 + $0.35 (Shared Shipping) + $0.14 Tax = Total of $1.49"/>
    <s v="whatnot.com/order/adbiydZbLLFo8x6jprPUeB_x000a_$1.00 + $0.35 (Shared Shipping) + $0.14 Tax = Total of $1.49"/>
    <n v="1.1100000000000001"/>
    <n v="0.35235294117647059"/>
    <n v="1.3523529411764705"/>
    <n v="0.13861617647058821"/>
    <n v="1.4909691176470588"/>
    <n v="0"/>
    <n v="-1.4909691176470588"/>
    <n v="1"/>
    <s v="2025 Topps NBA Hoops"/>
    <s v="James Harden [Orange Hoops] #71"/>
    <s v="."/>
  </r>
  <r>
    <s v="R"/>
    <x v="29"/>
    <d v="2026-05-19T00:00:00"/>
    <n v="35"/>
    <n v="3"/>
    <n v="0"/>
    <n v="0.31"/>
    <s v="Wembanyama"/>
    <n v="11830213"/>
    <n v="46"/>
    <s v="https://www.whatnot.com/order/XkjMoJAg278e8FP5go6RjV"/>
    <s v="whatnot.com/order/XkjMoJAg278e8FP5go6RjV_x000a_$3.00 + $0.35 (Shared Shipping) + $0.34 Tax = Total of $3.70"/>
    <s v="whatnot.com/order/XkjMoJAg278e8FP5go6RjV_x000a_$3.00 + $0.35 (Shared Shipping) + $0.34 Tax = Total of $3.70"/>
    <n v="3.31"/>
    <n v="0.35235294117647059"/>
    <n v="3.3523529411764708"/>
    <n v="0.34361617647058823"/>
    <n v="3.695969117647059"/>
    <n v="5.52"/>
    <n v="1.8240308823529405"/>
    <n v="5"/>
    <s v="2025 Topps Match Attax Breakthrough Baller"/>
    <s v="Victor Wembanyama #BB-VW"/>
    <s v="."/>
  </r>
  <r>
    <s v="R"/>
    <x v="29"/>
    <d v="2026-05-19T00:00:00"/>
    <n v="38"/>
    <n v="1"/>
    <n v="0.78"/>
    <n v="0.19"/>
    <s v="Embiid"/>
    <n v="9646041"/>
    <n v="547"/>
    <s v="https://www.whatnot.com/order/Z2R37fViUKxpmERP7PNyqv"/>
    <s v="whatnot.com/order/Z2R37fViUKxpmERP7PNyqv_x000a_$1.00 + $0.35 (Shared Shipping) + $0.14 Tax = Total of $1.49"/>
    <s v="whatnot.com/order/Z2R37fViUKxpmERP7PNyqv_x000a_$1.00 + $0.35 (Shared Shipping) + $0.14 Tax = Total of $1.49"/>
    <n v="1.97"/>
    <n v="0.35235294117647059"/>
    <n v="1.3523529411764705"/>
    <n v="0.13861617647058821"/>
    <n v="1.4909691176470588"/>
    <n v="1"/>
    <n v="-0.49096911764705875"/>
    <n v="1"/>
    <s v="2024 Topps Chrome Instinct"/>
    <s v="Joel Embiid [Purple Geometric Refractor] #INS-6"/>
    <s v="."/>
  </r>
  <r>
    <s v="R"/>
    <x v="29"/>
    <d v="2026-05-19T00:00:00"/>
    <n v="61"/>
    <n v="4"/>
    <n v="0"/>
    <n v="0.41"/>
    <s v="Wembanyama"/>
    <n v="11830213"/>
    <n v="45"/>
    <s v="https://www.whatnot.com/order/V7U6XPjihidFw6zF8nFVk5"/>
    <s v="whatnot.com/order/V7U6XPjihidFw6zF8nFVk5_x000a_$4.00 + $0.80 (Shared Shipping) + $0.49 Tax = Total of $5.29"/>
    <s v="whatnot.com/order/V7U6XPjihidFw6zF8nFVk5_x000a_$4.00 + $0.80 (Shared Shipping) + $0.49 Tax = Total of $5.29"/>
    <n v="4.41"/>
    <n v="0.79999999999999993"/>
    <n v="4.8"/>
    <n v="0.49199999999999994"/>
    <n v="5.2919999999999998"/>
    <n v="5.52"/>
    <n v="0.22799999999999976"/>
    <n v="5"/>
    <s v="2025 Topps Match Attax Breakthrough Baller"/>
    <s v="Victor Wembanyama #BB-VW"/>
    <s v="."/>
  </r>
  <r>
    <s v="R"/>
    <x v="29"/>
    <d v="2026-05-19T00:00:00"/>
    <n v="62"/>
    <n v="5"/>
    <n v="0"/>
    <n v="0.52"/>
    <s v="Wembanyama"/>
    <n v="11909415"/>
    <n v="39"/>
    <s v="https://www.whatnot.com/order/iZbKHBvYo5zS45eekjhRzc"/>
    <s v="whatnot.com/order/iZbKHBvYo5zS45eekjhRzc_x000a_$5.00 + $0.80 (Shared Shipping) + $0.59 Tax = Total of $6.39"/>
    <s v="whatnot.com/order/iZbKHBvYo5zS45eekjhRzc_x000a_$5.00 + $0.80 (Shared Shipping) + $0.59 Tax = Total of $6.39"/>
    <n v="5.52"/>
    <n v="0.79999999999999993"/>
    <n v="5.8"/>
    <n v="0.59449999999999992"/>
    <n v="6.3944999999999999"/>
    <n v="7"/>
    <n v="0.60550000000000015"/>
    <n v="4"/>
    <s v="2025 Topps Match Attax Hot Prospects"/>
    <s v="Victor Wembanyama #HP-VW"/>
    <s v="."/>
  </r>
  <r>
    <s v="R"/>
    <x v="29"/>
    <d v="2026-05-19T00:00:00"/>
    <n v="64"/>
    <n v="2"/>
    <n v="0.41"/>
    <n v="0.26"/>
    <s v="Shai"/>
    <n v="11909462"/>
    <n v="251"/>
    <s v="https://www.whatnot.com/order/gKVf7ZXT8eYzYEJbDN84nY"/>
    <s v="whatnot.com/order/gKVf7ZXT8eYzYEJbDN84nY_x000a_$2.00 + $0.80 (Shared Shipping) + $0.29 Tax = Total of $3.09"/>
    <s v="whatnot.com/order/gKVf7ZXT8eYzYEJbDN84nY_x000a_$2.00 + $0.80 (Shared Shipping) + $0.29 Tax = Total of $3.09"/>
    <n v="2.67"/>
    <n v="0.79999999999999993"/>
    <n v="2.8"/>
    <n v="0.28699999999999998"/>
    <n v="3.0869999999999997"/>
    <n v="2.0099999999999998"/>
    <n v="-1.077"/>
    <n v="3"/>
    <s v="2025 Topps Match Attax Scoring Hero"/>
    <s v="Shai Gilgeous-Alexander #SH-SG"/>
    <s v="."/>
  </r>
  <r>
    <s v="R"/>
    <x v="29"/>
    <d v="2026-05-19T00:00:00"/>
    <n v="65"/>
    <n v="2"/>
    <n v="0"/>
    <n v="0.21"/>
    <s v="Shai"/>
    <n v="12957398"/>
    <n v="351"/>
    <s v="https://www.whatnot.com/order/D6qPAHQXHsNLKzLT7qX4E9"/>
    <s v="whatnot.com/order/D6qPAHQXHsNLKzLT7qX4E9_x000a_$2.00 + $0.80 (Shared Shipping) + $0.29 Tax = Total of $3.09"/>
    <s v="whatnot.com/order/D6qPAHQXHsNLKzLT7qX4E9_x000a_$2.00 + $0.80 (Shared Shipping) + $0.29 Tax = Total of $3.09"/>
    <n v="2.21"/>
    <n v="0.79999999999999993"/>
    <n v="2.8"/>
    <n v="0.28699999999999998"/>
    <n v="3.0869999999999997"/>
    <n v="1.02"/>
    <n v="-2.0669999999999997"/>
    <n v="2"/>
    <s v="2025 Topps NBA Hoops"/>
    <s v="Shai Gilgeous-Alexander #286"/>
    <s v="."/>
  </r>
  <r>
    <s v="R"/>
    <x v="29"/>
    <d v="2026-05-19T00:00:00"/>
    <n v="66"/>
    <n v="5"/>
    <n v="0"/>
    <n v="0.52"/>
    <s v="Wembanyama"/>
    <n v="11909415"/>
    <n v="100"/>
    <s v="https://www.whatnot.com/order/VQe2Xcgdk5QnGCBcwfuXsR"/>
    <s v="whatnot.com/order/VQe2Xcgdk5QnGCBcwfuXsR_x000a_$5.00 + $0.35 (Shared Shipping) + $0.55 Tax = Total of $5.90"/>
    <s v="whatnot.com/order/VQe2Xcgdk5QnGCBcwfuXsR_x000a_$5.00 + $0.35 (Shared Shipping) + $0.55 Tax = Total of $5.90"/>
    <n v="5.52"/>
    <n v="0.35235294117647059"/>
    <n v="5.3523529411764708"/>
    <n v="0.54861617647058825"/>
    <n v="5.9009691176470591"/>
    <n v="7"/>
    <n v="1.0990308823529409"/>
    <n v="4"/>
    <s v="2025 Topps Match Attax Hot Prospects"/>
    <s v="Victor Wembanyama #HP-VW"/>
    <s v="."/>
  </r>
  <r>
    <s v="R"/>
    <x v="29"/>
    <d v="2026-05-19T00:00:00"/>
    <n v="68"/>
    <n v="3"/>
    <n v="0"/>
    <n v="0.31"/>
    <s v="Wembanyama"/>
    <n v="11830213"/>
    <n v="47"/>
    <s v="https://www.whatnot.com/order/dreE2xdZz6eNaRJPKmkUNj"/>
    <s v="whatnot.com/order/dreE2xdZz6eNaRJPKmkUNj_x000a_$3.00 + $0.35 (Shared Shipping) + $0.34 Tax = Total of $3.70"/>
    <s v="whatnot.com/order/dreE2xdZz6eNaRJPKmkUNj_x000a_$3.00 + $0.35 (Shared Shipping) + $0.34 Tax = Total of $3.70"/>
    <n v="3.31"/>
    <n v="0.35235294117647059"/>
    <n v="3.3523529411764708"/>
    <n v="0.34361617647058823"/>
    <n v="3.695969117647059"/>
    <n v="5.52"/>
    <n v="1.8240308823529405"/>
    <n v="5"/>
    <s v="2025 Topps Match Attax Breakthrough Baller"/>
    <s v="Victor Wembanyama #BB-VW"/>
    <s v="."/>
  </r>
  <r>
    <s v="R"/>
    <x v="29"/>
    <d v="2026-05-19T00:00:00"/>
    <s v="Free"/>
    <n v="0"/>
    <n v="0"/>
    <n v="0"/>
    <s v="Lanier"/>
    <m/>
    <s v="N/A-7"/>
    <s v="N/A"/>
    <s v="_x000a_$0.00 + $0.35 (Shared Shipping) + $0.04 Tax = Total of $0.39"/>
    <s v="_x000a_$0.00 + $0.35 (Shared Shipping) + $0.00 Tax = Total of $0.35"/>
    <n v="0"/>
    <n v="0.35235294117647059"/>
    <n v="0.35235294117647059"/>
    <n v="0"/>
    <n v="0.35235294117647059"/>
    <e v="#DIV/0!"/>
    <n v="0"/>
    <n v="0"/>
    <e v="#N/A"/>
    <n v="0"/>
    <s v="."/>
  </r>
  <r>
    <s v="R"/>
    <x v="29"/>
    <d v="2026-05-19T00:00:00"/>
    <s v="Free"/>
    <n v="0"/>
    <n v="0"/>
    <n v="0"/>
    <s v="Jokic"/>
    <n v="6059248"/>
    <n v="405"/>
    <s v="N/A"/>
    <s v="_x000a_$0.00 + $0.35 (Shared Shipping) + $0.04 Tax = Total of $0.39"/>
    <s v="_x000a_$0.00 + $0.35 (Shared Shipping) + $0.00 Tax = Total of $0.35"/>
    <n v="0"/>
    <n v="0.35235294117647059"/>
    <n v="0.35235294117647059"/>
    <n v="0"/>
    <n v="0.35235294117647059"/>
    <n v="1.51"/>
    <n v="1.1576470588235295"/>
    <n v="1"/>
    <s v="2023 Panini Hoops"/>
    <s v="Nikola Jokic #291"/>
    <s v="."/>
  </r>
  <r>
    <s v="R"/>
    <x v="29"/>
    <d v="2026-05-19T00:00:00"/>
    <s v="Free"/>
    <n v="0"/>
    <n v="0"/>
    <n v="0"/>
    <s v="Jackson"/>
    <m/>
    <s v="N/A-8"/>
    <s v="N/A"/>
    <s v="_x000a_$0.00 + $0.35 (Shared Shipping) + $0.04 Tax = Total of $0.39"/>
    <s v="_x000a_$0.00 + $0.35 (Shared Shipping) + $0.00 Tax = Total of $0.35"/>
    <n v="0"/>
    <n v="0.35235294117647059"/>
    <n v="0.35235294117647059"/>
    <n v="0"/>
    <n v="0.35235294117647059"/>
    <e v="#DIV/0!"/>
    <n v="0"/>
    <n v="0"/>
    <e v="#N/A"/>
    <n v="0"/>
    <s v="."/>
  </r>
  <r>
    <s v="R"/>
    <x v="29"/>
    <d v="2026-05-19T00:00:00"/>
    <n v="74"/>
    <n v="4"/>
    <n v="0"/>
    <n v="0.41"/>
    <s v="Wembanyama"/>
    <n v="11909415"/>
    <n v="103"/>
    <s v="https://www.whatnot.com/order/EUA4Ax5q4f9gC5Gv9mTsGc"/>
    <s v="whatnot.com/order/EUA4Ax5q4f9gC5Gv9mTsGc_x000a_$4.00 + $0.35 (Shared Shipping) + $0.45 Tax = Total of $4.80"/>
    <s v="whatnot.com/order/EUA4Ax5q4f9gC5Gv9mTsGc_x000a_$4.00 + $0.35 (Shared Shipping) + $0.45 Tax = Total of $4.80"/>
    <n v="4.41"/>
    <n v="0.35235294117647059"/>
    <n v="4.3523529411764708"/>
    <n v="0.44611617647058821"/>
    <n v="4.7984691176470591"/>
    <n v="7"/>
    <n v="2.2015308823529409"/>
    <n v="4"/>
    <s v="2025 Topps Match Attax Hot Prospects"/>
    <s v="Victor Wembanyama #HP-VW"/>
    <s v="."/>
  </r>
  <r>
    <s v="R"/>
    <x v="37"/>
    <d v="2026-05-19T00:00:00"/>
    <n v="56"/>
    <n v="1"/>
    <n v="0.3"/>
    <n v="0.15"/>
    <s v="Jokic"/>
    <n v="112623"/>
    <n v="141"/>
    <s v="https://www.whatnot.com/order/QxNucFNxSrMWbb9wNao39X"/>
    <s v="whatnot.com/order/QxNucFNxSrMWbb9wNao39X_x000a_$1.00 + $0.35 (Shared Shipping) + $0.14 Tax = Total of $1.49"/>
    <s v="whatnot.com/order/QxNucFNxSrMWbb9wNao39X_x000a_$1.00 + $0.35 (Shared Shipping) + $0.14 Tax = Total of $1.49"/>
    <n v="1.45"/>
    <n v="0.35235294117647059"/>
    <n v="1.3523529411764705"/>
    <n v="0.13861617647058821"/>
    <n v="1.4909691176470588"/>
    <n v="3.99"/>
    <n v="2.4990308823529412"/>
    <n v="1"/>
    <s v="2018 Panini Prizm"/>
    <s v="Nikola Jokic [Silver Prizm] #92"/>
    <s v="."/>
  </r>
  <r>
    <s v="R"/>
    <x v="37"/>
    <d v="2026-05-19T00:00:00"/>
    <n v="57"/>
    <n v="1"/>
    <n v="1.0900000000000001"/>
    <n v="0.22"/>
    <s v="Curry"/>
    <n v="9778659"/>
    <n v="543"/>
    <s v="https://www.whatnot.com/order/FPqEc5jV3NSTjBSSKH6SCF"/>
    <s v="whatnot.com/order/FPqEc5jV3NSTjBSSKH6SCF_x000a_$1.00 + $0.35 (Shared Shipping) + $0.14 Tax = Total of $1.49"/>
    <s v="whatnot.com/order/FPqEc5jV3NSTjBSSKH6SCF_x000a_$1.00 + $0.35 (Shared Shipping) + $0.14 Tax = Total of $1.49"/>
    <n v="2.31"/>
    <n v="0.35235294117647059"/>
    <n v="1.3523529411764705"/>
    <n v="0.13861617647058821"/>
    <n v="1.4909691176470588"/>
    <n v="1.84"/>
    <n v="0.34903088235294133"/>
    <n v="1"/>
    <s v="2024 Panini Select"/>
    <s v="Stephen Curry [Blue] #7"/>
    <s v="."/>
  </r>
  <r>
    <s v="R"/>
    <x v="37"/>
    <d v="2026-05-19T00:00:00"/>
    <n v="61"/>
    <n v="4"/>
    <n v="2.96"/>
    <n v="0.71"/>
    <s v="Luka"/>
    <n v="4245780"/>
    <n v="384"/>
    <s v="https://www.whatnot.com/order/GPS2oVEvpYFQarAZqquyDW"/>
    <s v="whatnot.com/order/GPS2oVEvpYFQarAZqquyDW_x000a_$4.00 + $0.35 (Shared Shipping) + $0.45 Tax = Total of $4.80"/>
    <s v="whatnot.com/order/GPS2oVEvpYFQarAZqquyDW_x000a_$4.00 + $0.35 (Shared Shipping) + $0.45 Tax = Total of $4.80"/>
    <n v="7.67"/>
    <n v="0.35235294117647059"/>
    <n v="4.3523529411764708"/>
    <n v="0.44611617647058821"/>
    <n v="4.7984691176470591"/>
    <n v="1.6"/>
    <n v="-3.198469117647059"/>
    <n v="1"/>
    <s v="2021 Panini Select Numbers"/>
    <s v="Luka Doncic #7"/>
    <s v="Possibly Blue Parallel"/>
  </r>
  <r>
    <s v="R"/>
    <x v="37"/>
    <d v="2026-05-19T00:00:00"/>
    <s v="Free"/>
    <n v="0"/>
    <n v="0"/>
    <n v="0"/>
    <s v="Anthony"/>
    <m/>
    <s v="N/A-9"/>
    <s v="N/A"/>
    <s v="_x000a_$0.00 + $0.35 (Shared Shipping) + $0.04 Tax = Total of $0.39"/>
    <s v="_x000a_$0.00 + $0.35 (Shared Shipping) + $0.00 Tax = Total of $0.35"/>
    <n v="0"/>
    <n v="0.35235294117647059"/>
    <n v="0.35235294117647059"/>
    <n v="0"/>
    <n v="0.35235294117647059"/>
    <e v="#DIV/0!"/>
    <n v="0"/>
    <n v="0"/>
    <e v="#N/A"/>
    <n v="0"/>
    <s v="."/>
  </r>
  <r>
    <s v="R"/>
    <x v="37"/>
    <d v="2026-05-19T00:00:00"/>
    <s v="Free"/>
    <n v="0"/>
    <n v="0"/>
    <n v="0"/>
    <s v="Sheppard"/>
    <m/>
    <s v="N/A-10"/>
    <s v="N/A"/>
    <s v="_x000a_$0.00 + $0.35 (Shared Shipping) + $0.04 Tax = Total of $0.39"/>
    <s v="_x000a_$0.00 + $0.35 (Shared Shipping) + $0.00 Tax = Total of $0.35"/>
    <n v="0"/>
    <n v="0.35235294117647059"/>
    <n v="0.35235294117647059"/>
    <n v="0"/>
    <n v="0.35235294117647059"/>
    <e v="#DIV/0!"/>
    <n v="0"/>
    <n v="0"/>
    <e v="#N/A"/>
    <n v="0"/>
    <s v="."/>
  </r>
  <r>
    <s v="R"/>
    <x v="37"/>
    <d v="2026-05-19T00:00:00"/>
    <n v="66"/>
    <n v="1"/>
    <n v="0.45"/>
    <n v="0.16"/>
    <s v="Luka"/>
    <n v="4245820"/>
    <n v="259"/>
    <s v="https://www.whatnot.com/order/UJkddQRLVRPS28Tdsjeg99"/>
    <s v="whatnot.com/order/UJkddQRLVRPS28Tdsjeg99_x000a_$1.00 + $0.35 (Shared Shipping) + $0.14 Tax = Total of $1.49"/>
    <s v="whatnot.com/order/UJkddQRLVRPS28Tdsjeg99_x000a_$1.00 + $0.35 (Shared Shipping) + $0.14 Tax = Total of $1.49"/>
    <n v="1.6099999999999999"/>
    <n v="0.35235294117647059"/>
    <n v="1.3523529411764705"/>
    <n v="0.13861617647058821"/>
    <n v="1.4909691176470588"/>
    <n v="2"/>
    <n v="0.50903088235294125"/>
    <n v="1"/>
    <s v="2021 Panini Select Numbers"/>
    <s v="Luka Doncic [Blue Prizm] #7"/>
    <s v="."/>
  </r>
  <r>
    <s v="R"/>
    <x v="38"/>
    <d v="2026-05-19T00:00:00"/>
    <s v="Ebay"/>
    <n v="190"/>
    <n v="6"/>
    <n v="20.09"/>
    <s v="Luka"/>
    <n v="114784"/>
    <n v="44578691"/>
    <s v="https://order.ebay.com/ord/show?orderId=04-14670-36767&amp;purchaseOrderId=04-1467-036766#/"/>
    <s v="_x000a_$190.00 + $6.00 (Shared Shipping) + $20.09 Tax = Total of $216.09"/>
    <s v="_x000a_$190.00 + $6.00 (Shared Shipping) + $20.09 Tax = Total of $216.09"/>
    <n v="216.09"/>
    <n v="6"/>
    <n v="196"/>
    <n v="20.09"/>
    <n v="216.09"/>
    <n v="194.25"/>
    <n v="-21.840000000000003"/>
    <n v="1"/>
    <s v="2018 Panini Prizm"/>
    <s v="Luka Doncic #280"/>
    <s v="."/>
  </r>
  <r>
    <s v="R"/>
    <x v="39"/>
    <d v="2026-05-20T00:00:00"/>
    <n v="1"/>
    <n v="7"/>
    <n v="4.47"/>
    <n v="1.18"/>
    <s v="Reaves"/>
    <n v="11493558"/>
    <n v="31"/>
    <s v="https://www.whatnot.com/order/4qGFB5WJq67f7VePPgdKVK"/>
    <s v="whatnot.com/order/4qGFB5WJq67f7VePPgdKVK_x000a_$7.00 + $2.24 (Shared Shipping) + $0.95 Tax = Total of $10.18"/>
    <s v="whatnot.com/order/4qGFB5WJq67f7VePPgdKVK_x000a_$7.00 + $2.24 (Shared Shipping) + $0.95 Tax = Total of $10.18"/>
    <n v="12.649999999999999"/>
    <n v="2.2349999999999999"/>
    <n v="9.2349999999999994"/>
    <n v="0.94658749999999992"/>
    <n v="10.181587499999999"/>
    <n v="10"/>
    <n v="-0.18158749999999912"/>
    <n v="1"/>
    <s v="2025 Topps Chrome Sleek Finishers"/>
    <s v="Austin Reaves [Refractor Green] #SF-8"/>
    <s v="Confirm numbered to 99"/>
  </r>
  <r>
    <s v="R"/>
    <x v="39"/>
    <d v="2026-05-20T00:00:00"/>
    <n v="1"/>
    <n v="0"/>
    <n v="0"/>
    <n v="0"/>
    <s v="Carter"/>
    <n v="11490416"/>
    <n v="227"/>
    <s v="https://www.whatnot.com/order/4qGFB5WJq67f7VePPgdKVK"/>
    <s v="whatnot.com/order/4qGFB5WJq67f7VePPgdKVK_x000a_$0.00 + $2.24 (Shared Shipping) + $0.23 Tax = Total of $2.46"/>
    <s v="whatnot.com/order/4qGFB5WJq67f7VePPgdKVK_x000a_$0.00 + $2.24 (Shared Shipping) + $0.00 Tax = Total of $2.24"/>
    <n v="0"/>
    <n v="2.2349999999999999"/>
    <n v="2.2349999999999999"/>
    <n v="0"/>
    <n v="2.2349999999999999"/>
    <n v="2.56"/>
    <n v="0.32500000000000018"/>
    <n v="1"/>
    <s v="2025 Topps Chrome Signature Style"/>
    <s v="Devin Carter #SS-DC"/>
    <s v="."/>
  </r>
  <r>
    <s v="R"/>
    <x v="40"/>
    <d v="2026-05-20T00:00:00"/>
    <n v="44"/>
    <n v="2"/>
    <n v="0.78"/>
    <n v="0.28999999999999998"/>
    <s v="Shai"/>
    <n v="7808017"/>
    <n v="424"/>
    <s v="https://www.whatnot.com/order/3x7P2iegqgUTYbwc6HCeds"/>
    <s v="whatnot.com/order/3x7P2iegqgUTYbwc6HCeds_x000a_$2.00 + $0.78 (Shared Shipping) + $0.28 Tax = Total of $3.06"/>
    <s v="whatnot.com/order/3x7P2iegqgUTYbwc6HCeds_x000a_$2.00 + $0.78 (Shared Shipping) + $0.28 Tax = Total of $3.06"/>
    <n v="3.0700000000000003"/>
    <n v="0.78"/>
    <n v="2.7800000000000002"/>
    <n v="0.28494999999999998"/>
    <n v="3.0649500000000001"/>
    <n v="1.5"/>
    <n v="-1.5649500000000001"/>
    <n v="1"/>
    <s v="2023 Panini Revolution"/>
    <s v="Shai Gilgeous-Alexander [Winter] #76"/>
    <s v="."/>
  </r>
  <r>
    <s v="R"/>
    <x v="41"/>
    <d v="2026-05-20T00:00:00"/>
    <s v="Break"/>
    <n v="32"/>
    <n v="4.8600000000000003"/>
    <n v="3.79"/>
    <s v="N/A"/>
    <s v="N/A"/>
    <s v="N/A-11"/>
    <s v="https://www.whatnot.com/order/4RxtebDXfZf5YY3okyKSu4"/>
    <s v="whatnot.com/order/4RxtebDXfZf5YY3okyKSu4_x000a_$32.00 + $2.43 (Shared Shipping) + $3.53 Tax = Total of $37.96"/>
    <s v="whatnot.com/order/4RxtebDXfZf5YY3okyKSu4_x000a_$32.00 + $2.43 (Shared Shipping) + $3.53 Tax = Total of $37.96"/>
    <n v="40.65"/>
    <n v="2.4300000000000002"/>
    <n v="34.43"/>
    <n v="3.5290749999999997"/>
    <n v="37.959074999999999"/>
    <e v="#DIV/0!"/>
    <n v="0"/>
    <n v="0"/>
    <e v="#N/A"/>
    <e v="#N/A"/>
    <s v="Received a pack in lieu of the items from the break. These were not base cards._x000a_Missing: _x000a_2018 Panini Chronicles Devonte' Graham [Blue] #169 /99 - $14 value approx @3:16:20_x000a_2018 Panini Chronicles Miles Bridges Miles Bridges [Red] #243 /149 - $8 value approx @3:18:00"/>
  </r>
  <r>
    <s v="R"/>
    <x v="41"/>
    <d v="2026-05-20T00:00:00"/>
    <s v="Break"/>
    <n v="-22.05"/>
    <n v="0"/>
    <n v="0"/>
    <s v="N/A"/>
    <s v="N/A"/>
    <s v="N/A-12"/>
    <s v="https://www.whatnot.com/order/4RxtebDXfZf5YY3okyKSu4"/>
    <s v="whatnot.com/order/4RxtebDXfZf5YY3okyKSu4_x000a_-$22.05 + $2.43 (Shared Shipping) + -$2.01 Tax = Total of -$21.63"/>
    <s v="whatnot.com/order/4RxtebDXfZf5YY3okyKSu4_x000a_-$22.05 + $2.43 (Shared Shipping) + $0.00 Tax = Total of -$19.62"/>
    <n v="-22.05"/>
    <n v="2.4300000000000002"/>
    <n v="-19.62"/>
    <n v="0"/>
    <n v="-19.62"/>
    <e v="#DIV/0!"/>
    <n v="0"/>
    <n v="0"/>
    <e v="#N/A"/>
    <e v="#N/A"/>
    <s v="Received a pack in lieu of the items from the break. These were not base cards._x000a_Missing: _x000a_2018 Panini Chronicles Devonte' Graham [Blue] #169 /99 - $14 value approx @3:16:20_x000a_2018 Panini Chronicles Miles Bridges Miles Bridges [Red] #243 /149 - $8 value approx @3:18:00"/>
  </r>
  <r>
    <s v="R"/>
    <x v="4"/>
    <d v="2026-05-22T00:00:00"/>
    <n v="84"/>
    <n v="14"/>
    <n v="0"/>
    <n v="1.44"/>
    <s v="Shai"/>
    <n v="105679"/>
    <n v="33"/>
    <s v="https://www.whatnot.com/order/kHRrZndL3pVg4oJEbysd7V"/>
    <s v="whatnot.com/order/kHRrZndL3pVg4oJEbysd7V_x000a_$14.00 + $0.00 (Shared Shipping) + $1.44 Tax = Total of $15.44"/>
    <s v="whatnot.com/order/kHRrZndL3pVg4oJEbysd7V_x000a_$14.00 + $0.00 (Shared Shipping) + $1.44 Tax = Total of $15.44"/>
    <n v="15.44"/>
    <n v="0"/>
    <n v="14"/>
    <n v="1.4349999999999998"/>
    <n v="15.435"/>
    <n v="9.07"/>
    <n v="-6.3650000000000002"/>
    <n v="1"/>
    <s v="2018 Panini Chronicles"/>
    <s v="Shai Gilgeous-Alexander #195"/>
    <s v="."/>
  </r>
  <r>
    <s v="R"/>
    <x v="4"/>
    <d v="2026-05-22T00:00:00"/>
    <n v="85"/>
    <n v="17"/>
    <n v="0"/>
    <n v="1.75"/>
    <s v="James"/>
    <n v="147563"/>
    <n v="40"/>
    <s v="https://www.whatnot.com/order/RVD5hkPMoaUK4my4SPSKiQ"/>
    <s v="whatnot.com/order/RVD5hkPMoaUK4my4SPSKiQ_x000a_$17.00 + $0.00 (Shared Shipping) + $1.74 Tax = Total of $18.74"/>
    <s v="whatnot.com/order/RVD5hkPMoaUK4my4SPSKiQ_x000a_$17.00 + $0.00 (Shared Shipping) + $1.74 Tax = Total of $18.74"/>
    <n v="18.75"/>
    <n v="0"/>
    <n v="17"/>
    <n v="1.7424999999999999"/>
    <n v="18.7425"/>
    <n v="6.88"/>
    <n v="-11.862500000000001"/>
    <n v="1"/>
    <s v="2003 Upper Deck Phenomenal Beginning"/>
    <s v="LeBron James [Phenomenal Beginning] #11"/>
    <s v="."/>
  </r>
  <r>
    <s v="R"/>
    <x v="7"/>
    <d v="2026-05-22T00:00:00"/>
    <n v="49"/>
    <n v="8"/>
    <n v="4.3499999999999996"/>
    <n v="1.27"/>
    <s v="Wembanyama"/>
    <n v="6422089"/>
    <n v="102"/>
    <s v="https://www.whatnot.com/order/CSc74WMGcYfB3JgNPoZSDt"/>
    <s v="whatnot.com/order/CSc74WMGcYfB3JgNPoZSDt_x000a_$8.00 + $0.27 (Shared Shipping) + $0.85 Tax = Total of $9.12"/>
    <s v="whatnot.com/order/CSc74WMGcYfB3JgNPoZSDt_x000a_$8.00 + $0.27 (Shared Shipping) + $0.85 Tax = Total of $9.12"/>
    <n v="13.62"/>
    <n v="0.27187499999999998"/>
    <n v="8.2718749999999996"/>
    <n v="0.8478671874999999"/>
    <n v="9.1197421875"/>
    <n v="21.62"/>
    <n v="12.500257812500001"/>
    <n v="1"/>
    <s v="2023 Panini Prizm Global Reach"/>
    <s v="Victor Wembanyama [Silver] #2"/>
    <s v="."/>
  </r>
  <r>
    <s v="R"/>
    <x v="7"/>
    <d v="2026-05-22T00:00:00"/>
    <n v="59"/>
    <n v="1.29"/>
    <n v="0"/>
    <n v="0.14000000000000001"/>
    <s v="Luka"/>
    <n v="4754153"/>
    <n v="469"/>
    <s v="https://www.whatnot.com/order/PH2i3WhAY5rePqutCdgM8c"/>
    <s v="whatnot.com/order/PH2i3WhAY5rePqutCdgM8c_x000a_$1.29 + $0.27 (Shared Shipping) + $0.16 Tax = Total of $1.72"/>
    <s v="whatnot.com/order/PH2i3WhAY5rePqutCdgM8c_x000a_$1.29 + $0.27 (Shared Shipping) + $0.16 Tax = Total of $1.72"/>
    <n v="1.4300000000000002"/>
    <n v="0.27187499999999998"/>
    <n v="1.5618750000000001"/>
    <n v="0.16009218750000001"/>
    <n v="1.7219671875000002"/>
    <n v="1.3"/>
    <n v="-0.42196718750000017"/>
    <n v="1"/>
    <s v="2022 Panini Hoops Skyview"/>
    <s v="Luka Doncic #8"/>
    <s v="No idea which parallel, if it is one"/>
  </r>
  <r>
    <s v="R"/>
    <x v="7"/>
    <d v="2026-05-22T00:00:00"/>
    <n v="59"/>
    <n v="1.29"/>
    <n v="0"/>
    <n v="0.14000000000000001"/>
    <s v="Luka"/>
    <n v="5050142"/>
    <n v="421"/>
    <s v="https://www.whatnot.com/order/PH2i3WhAY5rePqutCdgM8c"/>
    <s v="whatnot.com/order/PH2i3WhAY5rePqutCdgM8c_x000a_$1.29 + $0.27 (Shared Shipping) + $0.16 Tax = Total of $1.72"/>
    <s v="whatnot.com/order/PH2i3WhAY5rePqutCdgM8c_x000a_$1.29 + $0.27 (Shared Shipping) + $0.16 Tax = Total of $1.72"/>
    <n v="1.4300000000000002"/>
    <n v="0.27187499999999998"/>
    <n v="1.5618750000000001"/>
    <n v="0.16009218750000001"/>
    <n v="1.7219671875000002"/>
    <n v="1.5"/>
    <n v="-0.22196718750000022"/>
    <n v="1"/>
    <s v="2022 Panini Contenders"/>
    <s v="Luka Doncic #57"/>
    <s v="."/>
  </r>
  <r>
    <s v="R"/>
    <x v="7"/>
    <d v="2026-05-22T00:00:00"/>
    <n v="59"/>
    <n v="1.29"/>
    <n v="0"/>
    <n v="0.13"/>
    <s v="Luka"/>
    <n v="5507557"/>
    <n v="210"/>
    <s v="https://www.whatnot.com/order/PH2i3WhAY5rePqutCdgM8c"/>
    <s v="whatnot.com/order/PH2i3WhAY5rePqutCdgM8c_x000a_$1.29 + $0.27 (Shared Shipping) + $0.16 Tax = Total of $1.72"/>
    <s v="whatnot.com/order/PH2i3WhAY5rePqutCdgM8c_x000a_$1.29 + $0.27 (Shared Shipping) + $0.16 Tax = Total of $1.72"/>
    <n v="1.42"/>
    <n v="0.27187499999999998"/>
    <n v="1.5618750000000001"/>
    <n v="0.16009218750000001"/>
    <n v="1.7219671875000002"/>
    <n v="2.44"/>
    <n v="0.71803281249999973"/>
    <n v="1"/>
    <s v="2022 Panini Chronicles"/>
    <s v="Luka Doncic [Pink] #257"/>
    <s v="."/>
  </r>
  <r>
    <s v="R"/>
    <x v="7"/>
    <d v="2026-05-22T00:00:00"/>
    <n v="59"/>
    <n v="1.29"/>
    <n v="0"/>
    <n v="0.13"/>
    <s v="Luka"/>
    <n v="5750462"/>
    <n v="326"/>
    <s v="https://www.whatnot.com/order/PH2i3WhAY5rePqutCdgM8c"/>
    <s v="whatnot.com/order/PH2i3WhAY5rePqutCdgM8c_x000a_$1.29 + $0.27 (Shared Shipping) + $0.16 Tax = Total of $1.72"/>
    <s v="whatnot.com/order/PH2i3WhAY5rePqutCdgM8c_x000a_$1.29 + $0.27 (Shared Shipping) + $0.16 Tax = Total of $1.72"/>
    <n v="1.42"/>
    <n v="0.27187499999999998"/>
    <n v="1.5618750000000001"/>
    <n v="0.16009218750000001"/>
    <n v="1.7219671875000002"/>
    <n v="1.79"/>
    <n v="6.8032812499999817E-2"/>
    <n v="1"/>
    <s v="2022 Panini Mosaic Thunder Road"/>
    <s v="Luka Doncic #9"/>
    <s v="."/>
  </r>
  <r>
    <s v="R"/>
    <x v="7"/>
    <d v="2026-05-22T00:00:00"/>
    <n v="59"/>
    <n v="1.28"/>
    <n v="0"/>
    <n v="0.13"/>
    <s v="Luka"/>
    <n v="2483033"/>
    <n v="559"/>
    <s v="https://www.whatnot.com/order/PH2i3WhAY5rePqutCdgM8c"/>
    <s v="whatnot.com/order/PH2i3WhAY5rePqutCdgM8c_x000a_$1.28 + $0.27 (Shared Shipping) + $0.16 Tax = Total of $1.71"/>
    <s v="whatnot.com/order/PH2i3WhAY5rePqutCdgM8c_x000a_$1.28 + $0.27 (Shared Shipping) + $0.16 Tax = Total of $1.71"/>
    <n v="1.4100000000000001"/>
    <n v="0.27187499999999998"/>
    <n v="1.5518749999999999"/>
    <n v="0.15906718749999998"/>
    <n v="1.7109421874999999"/>
    <n v="0.99"/>
    <n v="-0.72094218749999994"/>
    <n v="1"/>
    <s v="2020 Panini Select"/>
    <s v="Luka Doncic [Blue Retail] #15"/>
    <s v="Confirm parallel"/>
  </r>
  <r>
    <s v="R"/>
    <x v="7"/>
    <d v="2026-05-22T00:00:00"/>
    <n v="59"/>
    <n v="1.28"/>
    <n v="0"/>
    <n v="0.13"/>
    <s v="Luka"/>
    <n v="7375322"/>
    <n v="276"/>
    <s v="https://www.whatnot.com/order/PH2i3WhAY5rePqutCdgM8c"/>
    <s v="whatnot.com/order/PH2i3WhAY5rePqutCdgM8c_x000a_$1.28 + $0.27 (Shared Shipping) + $0.16 Tax = Total of $1.71"/>
    <s v="whatnot.com/order/PH2i3WhAY5rePqutCdgM8c_x000a_$1.28 + $0.27 (Shared Shipping) + $0.16 Tax = Total of $1.71"/>
    <n v="1.4100000000000001"/>
    <n v="0.27187499999999998"/>
    <n v="1.5518749999999999"/>
    <n v="0.15906718749999998"/>
    <n v="1.7109421874999999"/>
    <n v="1.99"/>
    <n v="0.27905781250000006"/>
    <n v="1"/>
    <s v="2023 Panini Haunted Hoops"/>
    <s v="Luka Doncic #9"/>
    <s v="."/>
  </r>
  <r>
    <s v="R"/>
    <x v="7"/>
    <d v="2026-05-22T00:00:00"/>
    <n v="59"/>
    <n v="1.28"/>
    <n v="0"/>
    <n v="0.13"/>
    <s v="Luka"/>
    <n v="6059252"/>
    <n v="368"/>
    <s v="https://www.whatnot.com/order/PH2i3WhAY5rePqutCdgM8c"/>
    <s v="whatnot.com/order/PH2i3WhAY5rePqutCdgM8c_x000a_$1.28 + $0.27 (Shared Shipping) + $0.16 Tax = Total of $1.71"/>
    <s v="whatnot.com/order/PH2i3WhAY5rePqutCdgM8c_x000a_$1.28 + $0.27 (Shared Shipping) + $0.16 Tax = Total of $1.71"/>
    <n v="1.4100000000000001"/>
    <n v="0.27187499999999998"/>
    <n v="1.5518749999999999"/>
    <n v="0.15906718749999998"/>
    <n v="1.7109421874999999"/>
    <n v="1.96"/>
    <n v="0.24905781250000003"/>
    <n v="1"/>
    <s v="2023 Panini Hoops"/>
    <s v="Luka Doncic #295"/>
    <s v="."/>
  </r>
  <r>
    <s v="R"/>
    <x v="7"/>
    <d v="2026-05-22T00:00:00"/>
    <n v="60"/>
    <n v="1.43"/>
    <n v="0"/>
    <n v="0.15"/>
    <s v="Luka"/>
    <n v="5289298"/>
    <n v="287"/>
    <s v="https://www.whatnot.com/order/GhBCHwczCmrh6F7iQjEyTX"/>
    <s v="whatnot.com/order/GhBCHwczCmrh6F7iQjEyTX_x000a_$1.43 + $0.27 (Shared Shipping) + $0.17 Tax = Total of $1.88"/>
    <s v="whatnot.com/order/GhBCHwczCmrh6F7iQjEyTX_x000a_$1.43 + $0.27 (Shared Shipping) + $0.17 Tax = Total of $1.88"/>
    <n v="1.5799999999999998"/>
    <n v="0.27187499999999998"/>
    <n v="1.7018749999999998"/>
    <n v="0.17444218749999996"/>
    <n v="1.8763171874999998"/>
    <n v="1.99"/>
    <n v="0.11368281250000023"/>
    <n v="1"/>
    <s v="2022 Panini Donruss Optic My House"/>
    <s v="Luka Doncic #3"/>
    <s v="."/>
  </r>
  <r>
    <s v="R"/>
    <x v="7"/>
    <d v="2026-05-22T00:00:00"/>
    <n v="60"/>
    <n v="1.43"/>
    <n v="0"/>
    <n v="0.15"/>
    <s v="Luka"/>
    <n v="8561174"/>
    <n v="433"/>
    <s v="https://www.whatnot.com/order/GhBCHwczCmrh6F7iQjEyTX"/>
    <s v="whatnot.com/order/GhBCHwczCmrh6F7iQjEyTX_x000a_$1.43 + $0.27 (Shared Shipping) + $0.17 Tax = Total of $1.88"/>
    <s v="whatnot.com/order/GhBCHwczCmrh6F7iQjEyTX_x000a_$1.43 + $0.27 (Shared Shipping) + $0.17 Tax = Total of $1.88"/>
    <n v="1.5799999999999998"/>
    <n v="0.27187499999999998"/>
    <n v="1.7018749999999998"/>
    <n v="0.17444218749999996"/>
    <n v="1.8763171874999998"/>
    <n v="1.49"/>
    <n v="-0.38631718749999977"/>
    <n v="1"/>
    <s v="2024 Panini Prizm Global Reach"/>
    <s v="Luka Doncic #8"/>
    <s v="."/>
  </r>
  <r>
    <s v="R"/>
    <x v="7"/>
    <d v="2026-05-22T00:00:00"/>
    <n v="60"/>
    <n v="1.43"/>
    <n v="0"/>
    <n v="0.15"/>
    <s v="Luka"/>
    <n v="6421639"/>
    <n v="484"/>
    <s v="https://www.whatnot.com/order/GhBCHwczCmrh6F7iQjEyTX"/>
    <s v="whatnot.com/order/GhBCHwczCmrh6F7iQjEyTX_x000a_$1.43 + $0.27 (Shared Shipping) + $0.17 Tax = Total of $1.88"/>
    <s v="whatnot.com/order/GhBCHwczCmrh6F7iQjEyTX_x000a_$1.43 + $0.27 (Shared Shipping) + $0.17 Tax = Total of $1.88"/>
    <n v="1.5799999999999998"/>
    <n v="0.27187499999999998"/>
    <n v="1.7018749999999998"/>
    <n v="0.17444218749999996"/>
    <n v="1.8763171874999998"/>
    <n v="1.6"/>
    <n v="-0.27631718749999967"/>
    <n v="1"/>
    <s v="2023 Panini Prizm Deep Space"/>
    <s v="Luka Doncic #6"/>
    <s v="."/>
  </r>
  <r>
    <s v="R"/>
    <x v="7"/>
    <d v="2026-05-22T00:00:00"/>
    <n v="60"/>
    <n v="1.43"/>
    <n v="0"/>
    <n v="0.15"/>
    <s v="Luka"/>
    <n v="5463644"/>
    <n v="516"/>
    <s v="https://www.whatnot.com/order/GhBCHwczCmrh6F7iQjEyTX"/>
    <s v="whatnot.com/order/GhBCHwczCmrh6F7iQjEyTX_x000a_$1.43 + $0.27 (Shared Shipping) + $0.17 Tax = Total of $1.88"/>
    <s v="whatnot.com/order/GhBCHwczCmrh6F7iQjEyTX_x000a_$1.43 + $0.27 (Shared Shipping) + $0.17 Tax = Total of $1.88"/>
    <n v="1.5799999999999998"/>
    <n v="0.27187499999999998"/>
    <n v="1.7018749999999998"/>
    <n v="0.17444218749999996"/>
    <n v="1.8763171874999998"/>
    <n v="1.1299999999999999"/>
    <n v="-0.74631718749999987"/>
    <n v="1"/>
    <s v="2022 Panini Select"/>
    <s v="Luka Doncic #51"/>
    <s v="."/>
  </r>
  <r>
    <s v="R"/>
    <x v="7"/>
    <d v="2026-05-22T00:00:00"/>
    <n v="60"/>
    <n v="1.43"/>
    <n v="0"/>
    <n v="0.15"/>
    <s v="Luka"/>
    <n v="8404075"/>
    <n v="460"/>
    <s v="https://www.whatnot.com/order/GhBCHwczCmrh6F7iQjEyTX"/>
    <s v="whatnot.com/order/GhBCHwczCmrh6F7iQjEyTX_x000a_$1.43 + $0.27 (Shared Shipping) + $0.17 Tax = Total of $1.88"/>
    <s v="whatnot.com/order/GhBCHwczCmrh6F7iQjEyTX_x000a_$1.43 + $0.27 (Shared Shipping) + $0.17 Tax = Total of $1.88"/>
    <n v="1.5799999999999998"/>
    <n v="0.27187499999999998"/>
    <n v="1.7018749999999998"/>
    <n v="0.17444218749999996"/>
    <n v="1.8763171874999998"/>
    <n v="1.29"/>
    <n v="-0.58631718749999973"/>
    <n v="1"/>
    <s v="2024 Panini NBA Hoops"/>
    <s v="Luka Doncic #281"/>
    <s v="."/>
  </r>
  <r>
    <s v="R"/>
    <x v="7"/>
    <d v="2026-05-22T00:00:00"/>
    <n v="60"/>
    <n v="1.43"/>
    <n v="0"/>
    <n v="0.14000000000000001"/>
    <s v="Luka"/>
    <n v="8394422"/>
    <n v="422"/>
    <s v="https://www.whatnot.com/order/GhBCHwczCmrh6F7iQjEyTX"/>
    <s v="whatnot.com/order/GhBCHwczCmrh6F7iQjEyTX_x000a_$1.43 + $0.27 (Shared Shipping) + $0.17 Tax = Total of $1.88"/>
    <s v="whatnot.com/order/GhBCHwczCmrh6F7iQjEyTX_x000a_$1.43 + $0.27 (Shared Shipping) + $0.17 Tax = Total of $1.88"/>
    <n v="1.5699999999999998"/>
    <n v="0.27187499999999998"/>
    <n v="1.7018749999999998"/>
    <n v="0.17444218749999996"/>
    <n v="1.8763171874999998"/>
    <n v="1.42"/>
    <n v="-0.45631718749999983"/>
    <n v="2"/>
    <s v="2024 Panini NBA Hoops"/>
    <s v="Luka Doncic #115"/>
    <s v="."/>
  </r>
  <r>
    <s v="R"/>
    <x v="7"/>
    <d v="2026-05-22T00:00:00"/>
    <n v="60"/>
    <n v="1.42"/>
    <n v="0"/>
    <n v="0.14000000000000001"/>
    <s v="Luka"/>
    <n v="920589"/>
    <n v="336"/>
    <s v="https://www.whatnot.com/order/GhBCHwczCmrh6F7iQjEyTX"/>
    <s v="whatnot.com/order/GhBCHwczCmrh6F7iQjEyTX_x000a_$1.42 + $0.27 (Shared Shipping) + $0.17 Tax = Total of $1.87"/>
    <s v="whatnot.com/order/GhBCHwczCmrh6F7iQjEyTX_x000a_$1.42 + $0.27 (Shared Shipping) + $0.17 Tax = Total of $1.87"/>
    <n v="1.56"/>
    <n v="0.27187499999999998"/>
    <n v="1.691875"/>
    <n v="0.17341718749999999"/>
    <n v="1.8652921874999999"/>
    <n v="2.38"/>
    <n v="0.51470781249999997"/>
    <n v="1"/>
    <s v="2019 Panini Chronicles"/>
    <s v="Luka Doncic #254"/>
    <s v="Confirm parallel"/>
  </r>
  <r>
    <s v="R"/>
    <x v="42"/>
    <d v="2026-05-23T00:00:00"/>
    <n v="16"/>
    <n v="2.5"/>
    <n v="0"/>
    <n v="0.26"/>
    <s v="Wembanyama"/>
    <n v="10819453"/>
    <n v="530"/>
    <s v="https://www.whatnot.com/order/NMxKJ4hE9QKucKgDpADrjE"/>
    <s v="whatnot.com/order/NMxKJ4hE9QKucKgDpADrjE_x000a_$2.50 + $0.00 (Shared Shipping) + $0.26 Tax = Total of $2.76"/>
    <s v="whatnot.com/order/NMxKJ4hE9QKucKgDpADrjE_x000a_$2.50 + $0.00 (Shared Shipping) + $0.26 Tax = Total of $2.76"/>
    <n v="2.76"/>
    <n v="0"/>
    <n v="2.5"/>
    <n v="0.25624999999999998"/>
    <n v="2.7562500000000001"/>
    <n v="1.42"/>
    <n v="-1.3362500000000002"/>
    <n v="1"/>
    <s v="2025 Topps"/>
    <s v="Victor Wembanyama #195"/>
    <s v="."/>
  </r>
  <r>
    <s v="R"/>
    <x v="42"/>
    <d v="2026-05-23T00:00:00"/>
    <n v="16"/>
    <n v="2.5"/>
    <n v="0"/>
    <n v="0.26"/>
    <s v="Shai"/>
    <n v="9259816"/>
    <n v="497"/>
    <s v="https://www.whatnot.com/order/NMxKJ4hE9QKucKgDpADrjE"/>
    <s v="whatnot.com/order/NMxKJ4hE9QKucKgDpADrjE_x000a_$2.50 + $0.00 (Shared Shipping) + $0.26 Tax = Total of $2.76"/>
    <s v="whatnot.com/order/NMxKJ4hE9QKucKgDpADrjE_x000a_$2.50 + $0.00 (Shared Shipping) + $0.26 Tax = Total of $2.76"/>
    <n v="2.76"/>
    <n v="0"/>
    <n v="2.5"/>
    <n v="0.25624999999999998"/>
    <n v="2.7562500000000001"/>
    <n v="1.21"/>
    <n v="-1.5462500000000001"/>
    <n v="2"/>
    <s v="2024 Panini Revolution"/>
    <s v="Shai Gilgeous-Alexander #8"/>
    <s v="."/>
  </r>
  <r>
    <s v="R"/>
    <x v="43"/>
    <d v="2026-05-25T00:00:00"/>
    <n v="125"/>
    <n v="1"/>
    <n v="4.8600000000000003"/>
    <n v="0.62"/>
    <s v="Smith"/>
    <n v="1105503"/>
    <n v="238"/>
    <s v="https://www.whatnot.com/order/cav4UM3BapHtzDbW3nupgs"/>
    <s v="whatnot.com/order/cav4UM3BapHtzDbW3nupgs_x000a_$1.00 + $4.86 (Shared Shipping) + $0.60 Tax = Total of $6.46"/>
    <s v="whatnot.com/order/cav4UM3BapHtzDbW3nupgs_x000a_$1.00 + $4.86 (Shared Shipping) + $0.60 Tax = Total of $6.46"/>
    <n v="6.48"/>
    <n v="4.8600000000000003"/>
    <n v="5.86"/>
    <n v="0.60065000000000002"/>
    <n v="6.4606500000000002"/>
    <n v="1.99"/>
    <n v="-4.47065"/>
    <n v="1"/>
    <s v="1990 Pro Set"/>
    <s v="Emmitt Smith #685"/>
    <s v="."/>
  </r>
  <r>
    <s v="R"/>
    <x v="44"/>
    <d v="2026-05-25T00:00:00"/>
    <n v="37"/>
    <n v="3"/>
    <n v="0.78"/>
    <n v="0.39"/>
    <s v="Williams"/>
    <n v="8192392"/>
    <n v="179"/>
    <s v="https://www.whatnot.com/order/medD3HLzhpPd89xriKnZcX"/>
    <s v="whatnot.com/order/medD3HLzhpPd89xriKnZcX_x000a_$3.00 + $0.78 (Shared Shipping) + $0.39 Tax = Total of $4.17"/>
    <s v="whatnot.com/order/medD3HLzhpPd89xriKnZcX_x000a_$3.00 + $0.78 (Shared Shipping) + $0.39 Tax = Total of $4.17"/>
    <n v="4.17"/>
    <n v="0.78"/>
    <n v="3.7800000000000002"/>
    <n v="0.38745000000000002"/>
    <n v="4.1674500000000005"/>
    <n v="2.99"/>
    <n v="-1.1774500000000003"/>
    <n v="1"/>
    <s v="1999 Skybox E-X Generation E-X"/>
    <s v="Jason Williams #7GX"/>
    <s v="."/>
  </r>
  <r>
    <s v="R"/>
    <x v="45"/>
    <d v="2026-05-25T00:00:00"/>
    <n v="69"/>
    <n v="1"/>
    <n v="4.74"/>
    <n v="0.59"/>
    <s v="Luka"/>
    <n v="6835303"/>
    <n v="293"/>
    <s v="https://www.whatnot.com/order/YzDdv3jRTf8P5R9sGqJ4Q7"/>
    <s v="whatnot.com/order/YzDdv3jRTf8P5R9sGqJ4Q7_x000a_$1.00 + $4.74 (Shared Shipping) + $0.59 Tax = Total of $6.33"/>
    <s v="whatnot.com/order/YzDdv3jRTf8P5R9sGqJ4Q7_x000a_$1.00 + $4.74 (Shared Shipping) + $0.59 Tax = Total of $6.33"/>
    <n v="6.33"/>
    <n v="4.74"/>
    <n v="5.74"/>
    <n v="0.58835000000000004"/>
    <n v="6.3283500000000004"/>
    <n v="1.91"/>
    <n v="-4.4183500000000002"/>
    <n v="1"/>
    <s v="2023 Donruss Optic Optical Illusions"/>
    <s v="Kyrie Irving / Luka Doncic #4"/>
    <s v="."/>
  </r>
  <r>
    <s v="R"/>
    <x v="8"/>
    <d v="2026-05-26T00:00:00"/>
    <n v="39"/>
    <n v="1"/>
    <n v="4.8600000000000003"/>
    <n v="0.62"/>
    <s v="Brunson"/>
    <n v="11909457"/>
    <n v="327"/>
    <s v="https://www.whatnot.com/order/dyEnQ5ykexmH9Y87DbAujo"/>
    <s v="whatnot.com/order/dyEnQ5ykexmH9Y87DbAujo_x000a_$1.00 + $2.89 (Shared Shipping) + $0.40 Tax = Total of $4.28"/>
    <s v="whatnot.com/order/dyEnQ5ykexmH9Y87DbAujo_x000a_$1.00 + $2.89 (Shared Shipping) + $0.40 Tax = Total of $4.28"/>
    <n v="6.48"/>
    <n v="2.8850000000000002"/>
    <n v="3.8850000000000002"/>
    <n v="0.39821250000000002"/>
    <n v="4.2832125000000003"/>
    <n v="2.19"/>
    <n v="-2.0932125000000004"/>
    <n v="1"/>
    <s v="2025 Topps Match Attax Scoring Hero"/>
    <s v="Jalen Brunson #SH-JB"/>
    <s v="."/>
  </r>
  <r>
    <s v="R"/>
    <x v="8"/>
    <d v="2026-05-26T00:00:00"/>
    <n v="49"/>
    <n v="19"/>
    <n v="0.91"/>
    <n v="2.0499999999999998"/>
    <s v="Wembanyama"/>
    <n v="6857907"/>
    <n v="104"/>
    <s v="https://www.whatnot.com/order/PNUZ8xoNGjttcd6JcMryzd"/>
    <s v="whatnot.com/order/PNUZ8xoNGjttcd6JcMryzd_x000a_$19.00 + $2.89 (Shared Shipping) + $2.24 Tax = Total of $24.13"/>
    <s v="whatnot.com/order/PNUZ8xoNGjttcd6JcMryzd_x000a_$19.00 + $2.89 (Shared Shipping) + $2.24 Tax = Total of $24.13"/>
    <n v="21.96"/>
    <n v="2.8850000000000002"/>
    <n v="21.885000000000002"/>
    <n v="2.2432124999999998"/>
    <n v="24.1282125"/>
    <n v="16.72"/>
    <n v="-7.4082125000000012"/>
    <n v="1"/>
    <s v="2023 Panini Instant"/>
    <s v="Victor Wembanyama #331"/>
    <s v="."/>
  </r>
  <r>
    <s v="R"/>
    <x v="46"/>
    <d v="2026-05-27T00:00:00"/>
    <n v="52"/>
    <n v="24"/>
    <n v="1.39"/>
    <n v="2.6"/>
    <s v="Shai"/>
    <n v="7511050"/>
    <n v="21"/>
    <s v="https://www.whatnot.com/order/m58HF6hkjDzTFcY6dh42ZK"/>
    <s v="whatnot.com/order/m58HF6hkjDzTFcY6dh42ZK_x000a_$24.00 + $1.39 (Shared Shipping) + $2.60 Tax = Total of $27.99"/>
    <s v="whatnot.com/order/m58HF6hkjDzTFcY6dh42ZK_x000a_$24.00 + $1.39 (Shared Shipping) + $2.60 Tax = Total of $27.99"/>
    <n v="27.990000000000002"/>
    <n v="1.39"/>
    <n v="25.39"/>
    <n v="2.6024750000000001"/>
    <n v="27.992474999999999"/>
    <n v="14.99"/>
    <n v="-13.002474999999999"/>
    <n v="1"/>
    <s v="2023 Panini Phoenix Fade To Black"/>
    <s v="Shai Gilgeous-Alexander [Yellow ice] #5"/>
    <s v="."/>
  </r>
  <r>
    <s v="R"/>
    <x v="47"/>
    <d v="2026-05-28T00:00:00"/>
    <s v="Ebay"/>
    <n v="8.5"/>
    <n v="1.32"/>
    <n v="1.01"/>
    <s v="Luka"/>
    <n v="3607580"/>
    <n v="29"/>
    <s v="https://www.ebay.com/itm/318340938096"/>
    <s v="ebay.com/itm/318340938096_x000a_$8.50 + $1.32 (Shared Shipping) + $1.01 Tax = Total of $10.83"/>
    <s v="ebay.com/itm/318340938096_x000a_$8.50 + $1.32 (Shared Shipping) + $1.01 Tax = Total of $10.83"/>
    <n v="10.83"/>
    <n v="1.32"/>
    <n v="9.82"/>
    <n v="1.0065500000000001"/>
    <n v="10.826550000000001"/>
    <n v="11.51"/>
    <n v="0.68344999999999878"/>
    <n v="1"/>
    <s v="2020 Panini Hoops SLAM"/>
    <s v="Luka Doncic #5"/>
    <s v="."/>
  </r>
  <r>
    <s v="R"/>
    <x v="7"/>
    <d v="2026-05-22T00:00:00"/>
    <s v="Givvy"/>
    <n v="0"/>
    <n v="0"/>
    <n v="0"/>
    <s v="Luka"/>
    <n v="3484717"/>
    <n v="282"/>
    <s v="https://www.whatnot.com/order/PH2i3WhAY5rePqutCdgM8c"/>
    <s v="whatnot.com/order/PH2i3WhAY5rePqutCdgM8c_x000a_$0.00 + $0.27 (Shared Shipping) + $0.03 Tax = Total of $0.30"/>
    <s v="whatnot.com/order/PH2i3WhAY5rePqutCdgM8c_x000a_$0.00 + $0.27 (Shared Shipping) + $0.00 Tax = Total of $0.27"/>
    <n v="0"/>
    <n v="0.27187499999999998"/>
    <n v="0.27187499999999998"/>
    <n v="0"/>
    <n v="0.27187499999999998"/>
    <n v="1.96"/>
    <n v="1.6881249999999999"/>
    <n v="1"/>
    <s v="2021 Panini Contenders"/>
    <s v="Luka Doncic [Bronze] #18"/>
    <s v="."/>
  </r>
  <r>
    <s v="R"/>
    <x v="48"/>
    <d v="2026-05-31T00:00:00"/>
    <n v="88"/>
    <n v="0"/>
    <n v="0.78"/>
    <n v="1.01"/>
    <s v="Flagg"/>
    <n v="11498132"/>
    <n v="26"/>
    <s v="https://www.whatnot.com/order/P6hZiMYk2ffSa8sLEMVeWQ"/>
    <s v="whatnot.com/order/P6hZiMYk2ffSa8sLEMVeWQ_x000a_$0.00 + $0.91 (Shared Shipping) + $0.09 Tax = Total of $1.00"/>
    <s v="whatnot.com/order/P6hZiMYk2ffSa8sLEMVeWQ_x000a_$0.00 + $0.91 (Shared Shipping) + $0.09 Tax = Total of $1.00"/>
    <n v="1.79"/>
    <n v="0.90999999999999992"/>
    <n v="0.90999999999999992"/>
    <n v="9.3274999999999983E-2"/>
    <n v="1.0032749999999999"/>
    <n v="13.11"/>
    <n v="12.106724999999999"/>
    <n v="1"/>
    <s v="2025 Topps Chrome Serenity"/>
    <s v="Cooper Flagg #SY-11"/>
    <s v="."/>
  </r>
  <r>
    <s v="R"/>
    <x v="48"/>
    <d v="2026-05-31T00:00:00"/>
    <n v="89"/>
    <n v="14"/>
    <n v="0.31"/>
    <n v="1.58"/>
    <s v="Flagg"/>
    <n v="11484449"/>
    <n v="15"/>
    <s v="https://www.whatnot.com/order/7VZY5sQpFk5DrwK9rEPwjj"/>
    <s v="whatnot.com/order/7VZY5sQpFk5DrwK9rEPwjj_x000a_$14.00 + $0.91 (Shared Shipping) + $1.53 Tax = Total of $16.44"/>
    <s v="whatnot.com/order/7VZY5sQpFk5DrwK9rEPwjj_x000a_$14.00 + $0.91 (Shared Shipping) + $1.53 Tax = Total of $16.44"/>
    <n v="15.89"/>
    <n v="0.90999999999999992"/>
    <n v="14.91"/>
    <n v="1.5282749999999998"/>
    <n v="16.438275000000001"/>
    <n v="21.04"/>
    <n v="4.6017249999999983"/>
    <n v="4"/>
    <s v="2025 Topps Chrome"/>
    <s v="Cooper Flagg #251"/>
    <s v="."/>
  </r>
  <r>
    <s v="R"/>
    <x v="48"/>
    <d v="2026-05-31T00:00:00"/>
    <n v="138"/>
    <n v="12"/>
    <n v="3.46"/>
    <n v="1.58"/>
    <s v="Flagg"/>
    <n v="11484449"/>
    <n v="51"/>
    <s v="https://www.whatnot.com/order/LtProdm8r5emdZKY3kad4A"/>
    <s v="whatnot.com/order/LtProdm8r5emdZKY3kad4A_x000a_$12.00 + $0.91 (Shared Shipping) + $1.32 Tax = Total of $14.23"/>
    <s v="whatnot.com/order/LtProdm8r5emdZKY3kad4A_x000a_$12.00 + $0.91 (Shared Shipping) + $1.32 Tax = Total of $14.23"/>
    <n v="17.04"/>
    <n v="0.90999999999999992"/>
    <n v="12.91"/>
    <n v="1.323275"/>
    <n v="14.233275000000001"/>
    <n v="21.04"/>
    <n v="6.8067249999999984"/>
    <n v="4"/>
    <s v="2025 Topps Chrome"/>
    <s v="Cooper Flagg #251"/>
    <s v="."/>
  </r>
  <r>
    <s v="R"/>
    <x v="48"/>
    <d v="2026-05-31T00:00:00"/>
    <n v="140"/>
    <n v="45"/>
    <n v="0"/>
    <n v="4.62"/>
    <s v="Wembanyama"/>
    <n v="7292331"/>
    <n v="6"/>
    <s v="https://www.whatnot.com/order/Z82h48WoJ3uJcg9xAmSGSz"/>
    <s v="whatnot.com/order/Z82h48WoJ3uJcg9xAmSGSz_x000a_$45.00 + $0.91 (Shared Shipping) + $4.71 Tax = Total of $50.62"/>
    <s v="whatnot.com/order/Z82h48WoJ3uJcg9xAmSGSz_x000a_$45.00 + $0.91 (Shared Shipping) + $4.71 Tax = Total of $50.62"/>
    <n v="49.62"/>
    <n v="0.90999999999999992"/>
    <n v="45.91"/>
    <n v="4.7057749999999992"/>
    <n v="50.615774999999999"/>
    <n v="34"/>
    <n v="-16.615774999999999"/>
    <n v="1"/>
    <s v="2023 Topps Chrome"/>
    <s v="Victor Wembanyama #1"/>
    <s v="."/>
  </r>
  <r>
    <s v="R"/>
    <x v="48"/>
    <d v="2026-05-31T00:00:00"/>
    <n v="157"/>
    <n v="4"/>
    <n v="0"/>
    <n v="0.41"/>
    <s v="Luka"/>
    <n v="12962084"/>
    <n v="266"/>
    <s v="https://www.whatnot.com/order/BqMdVKL98MMvHMvRADiqy8"/>
    <s v="whatnot.com/order/BqMdVKL98MMvHMvRADiqy8_x000a_$4.00 + $0.91 (Shared Shipping) + $0.50 Tax = Total of $5.41"/>
    <s v="whatnot.com/order/BqMdVKL98MMvHMvRADiqy8_x000a_$4.00 + $0.91 (Shared Shipping) + $0.50 Tax = Total of $5.41"/>
    <n v="4.41"/>
    <n v="0.90999999999999992"/>
    <n v="4.91"/>
    <n v="0.50327500000000003"/>
    <n v="5.4132750000000005"/>
    <n v="1.99"/>
    <n v="-3.4232750000000003"/>
    <n v="1"/>
    <s v="2025 Topps NBA Hoops Net 2 Net"/>
    <s v="Luka Doncic #NTN-11"/>
    <s v="."/>
  </r>
  <r>
    <s v="R"/>
    <x v="49"/>
    <d v="2026-05-31T00:00:00"/>
    <n v="14"/>
    <n v="2"/>
    <n v="1.39"/>
    <n v="0.35"/>
    <s v="Luka"/>
    <n v="4536815"/>
    <n v="132"/>
    <s v="https://www.whatnot.com/order/F9dPhgureZfuamzmCSWsoz"/>
    <s v="whatnot.com/order/F9dPhgureZfuamzmCSWsoz_x000a_$2.00 + $1.39 (Shared Shipping) + $0.35 Tax = Total of $3.74"/>
    <s v="whatnot.com/order/F9dPhgureZfuamzmCSWsoz_x000a_$2.00 + $1.39 (Shared Shipping) + $0.35 Tax = Total of $3.74"/>
    <n v="3.7399999999999998"/>
    <n v="1.39"/>
    <n v="3.3899999999999997"/>
    <n v="0.34747499999999992"/>
    <n v="3.7374749999999994"/>
    <n v="4.18"/>
    <n v="0.44252500000000028"/>
    <n v="1"/>
    <s v="2020 Panini Donruss Optic Splash"/>
    <s v="Luka Doncic [Holo] #15"/>
    <s v="."/>
  </r>
  <r>
    <s v="R"/>
    <x v="4"/>
    <d v="2026-06-09T00:00:00"/>
    <n v="31"/>
    <n v="1.5"/>
    <n v="0"/>
    <n v="0.16"/>
    <s v="James"/>
    <n v="6284261"/>
    <n v="390"/>
    <s v="https://www.whatnot.com/order/G3juFLZYNkeyx8YHXhJCeR"/>
    <s v="whatnot.com/order/G3juFLZYNkeyx8YHXhJCeR_x000a_$1.50 + $0.00 (Shared Shipping) + $0.15 Tax = Total of $1.65"/>
    <s v="whatnot.com/order/G3juFLZYNkeyx8YHXhJCeR_x000a_$1.50 + $0.00 (Shared Shipping) + $0.15 Tax = Total of $1.65"/>
    <n v="1.66"/>
    <n v="0"/>
    <n v="1.5"/>
    <n v="0.15375"/>
    <n v="1.6537500000000001"/>
    <n v="1.49"/>
    <n v="-0.16375000000000006"/>
    <n v="1"/>
    <s v="2023 Panini Donruss"/>
    <s v="LeBron James #2"/>
    <s v="."/>
  </r>
  <r>
    <s v="R"/>
    <x v="4"/>
    <d v="2026-06-09T00:00:00"/>
    <n v="31"/>
    <n v="1.5"/>
    <n v="0"/>
    <n v="0.15"/>
    <s v="Jokic"/>
    <n v="2535681"/>
    <n v="527"/>
    <s v="https://www.whatnot.com/order/G3juFLZYNkeyx8YHXhJCeR"/>
    <s v="whatnot.com/order/G3juFLZYNkeyx8YHXhJCeR_x000a_$1.50 + $0.00 (Shared Shipping) + $0.15 Tax = Total of $1.65"/>
    <s v="whatnot.com/order/G3juFLZYNkeyx8YHXhJCeR_x000a_$1.50 + $0.00 (Shared Shipping) + $0.15 Tax = Total of $1.65"/>
    <n v="1.65"/>
    <n v="0"/>
    <n v="1.5"/>
    <n v="0.15375"/>
    <n v="1.6537500000000001"/>
    <n v="1.1100000000000001"/>
    <n v="-0.54374999999999996"/>
    <n v="1"/>
    <s v="2020 Panini Donruss Optic"/>
    <s v="Nikola Jokic [Purple Shock] #96"/>
    <s v="."/>
  </r>
  <r>
    <s v="R"/>
    <x v="4"/>
    <d v="2026-06-09T00:00:00"/>
    <n v="48"/>
    <n v="2"/>
    <n v="0"/>
    <n v="0.21"/>
    <s v="Luka"/>
    <n v="4950668"/>
    <n v="220"/>
    <s v="https://www.whatnot.com/order/eZzEmrYrFPTX2ciq7zw7Hi"/>
    <s v="whatnot.com/order/eZzEmrYrFPTX2ciq7zw7Hi_x000a_$2.00 + $0.00 (Shared Shipping) + $0.21 Tax = Total of $2.21"/>
    <s v="whatnot.com/order/eZzEmrYrFPTX2ciq7zw7Hi_x000a_$2.00 + $0.00 (Shared Shipping) + $0.21 Tax = Total of $2.21"/>
    <n v="2.21"/>
    <n v="0"/>
    <n v="2"/>
    <n v="0.20499999999999999"/>
    <n v="2.2050000000000001"/>
    <n v="2.36"/>
    <n v="0.1549999999999998"/>
    <n v="1"/>
    <s v="2021 Panini Mosaic Montage"/>
    <s v="Luka Doncic #26"/>
    <s v="."/>
  </r>
  <r>
    <s v="R"/>
    <x v="4"/>
    <d v="2026-06-09T00:00:00"/>
    <n v="48"/>
    <n v="2"/>
    <n v="0"/>
    <n v="0.2"/>
    <s v="James"/>
    <n v="2489255"/>
    <n v="395"/>
    <s v="https://www.whatnot.com/order/eZzEmrYrFPTX2ciq7zw7Hi"/>
    <s v="whatnot.com/order/eZzEmrYrFPTX2ciq7zw7Hi_x000a_$2.00 + $0.00 (Shared Shipping) + $0.21 Tax = Total of $2.21"/>
    <s v="whatnot.com/order/eZzEmrYrFPTX2ciq7zw7Hi_x000a_$2.00 + $0.00 (Shared Shipping) + $0.21 Tax = Total of $2.21"/>
    <n v="2.2000000000000002"/>
    <n v="0"/>
    <n v="2"/>
    <n v="0.20499999999999999"/>
    <n v="2.2050000000000001"/>
    <n v="1.5"/>
    <n v="-0.70500000000000007"/>
    <n v="1"/>
    <s v="2020 Panini Select"/>
    <s v="LeBron James [Blue Prizm] #113"/>
    <s v="."/>
  </r>
  <r>
    <s v="R"/>
    <x v="4"/>
    <d v="2026-06-09T00:00:00"/>
    <n v="55"/>
    <n v="1"/>
    <n v="0"/>
    <n v="0.11"/>
    <s v="Harper"/>
    <n v="10819480"/>
    <n v="406"/>
    <s v="https://www.whatnot.com/order/K7zApfgiyGLvandFaboi4m"/>
    <s v="whatnot.com/order/K7zApfgiyGLvandFaboi4m_x000a_$1.00 + $0.00 (Shared Shipping) + $0.10 Tax = Total of $1.10"/>
    <s v="whatnot.com/order/K7zApfgiyGLvandFaboi4m_x000a_$1.00 + $0.00 (Shared Shipping) + $0.10 Tax = Total of $1.10"/>
    <n v="1.1100000000000001"/>
    <n v="0"/>
    <n v="1"/>
    <n v="0.10249999999999999"/>
    <n v="1.1025"/>
    <n v="1.27"/>
    <n v="0.16749999999999998"/>
    <n v="1"/>
    <s v="2025 Topps"/>
    <s v="Dylan Harper #202"/>
    <s v="."/>
  </r>
  <r>
    <s v="R"/>
    <x v="4"/>
    <d v="2026-06-09T00:00:00"/>
    <n v="55"/>
    <n v="1"/>
    <n v="0"/>
    <n v="0.1"/>
    <s v="Hardy"/>
    <n v="6358249"/>
    <n v="307"/>
    <s v="https://www.whatnot.com/order/K7zApfgiyGLvandFaboi4m"/>
    <s v="whatnot.com/order/K7zApfgiyGLvandFaboi4m_x000a_$1.00 + $0.00 (Shared Shipping) + $0.10 Tax = Total of $1.10"/>
    <s v="whatnot.com/order/K7zApfgiyGLvandFaboi4m_x000a_$1.00 + $0.00 (Shared Shipping) + $0.10 Tax = Total of $1.10"/>
    <n v="1.1000000000000001"/>
    <n v="0"/>
    <n v="1"/>
    <n v="0.10249999999999999"/>
    <n v="1.1025"/>
    <n v="1.88"/>
    <n v="0.77749999999999986"/>
    <n v="1"/>
    <s v="2023 Panini Prizm"/>
    <s v="Jaden Hardy [Red] #21"/>
    <s v="."/>
  </r>
  <r>
    <s v="R"/>
    <x v="4"/>
    <d v="2026-06-09T00:00:00"/>
    <n v="65"/>
    <n v="2.5"/>
    <n v="0"/>
    <n v="0.26"/>
    <s v="Castle"/>
    <n v="8780219"/>
    <n v="425"/>
    <s v="https://www.whatnot.com/order/GMJptoiQKCNjk4Pv5GF4bQ"/>
    <s v="whatnot.com/order/GMJptoiQKCNjk4Pv5GF4bQ_x000a_$2.50 + $0.00 (Shared Shipping) + $0.26 Tax = Total of $2.76"/>
    <s v="whatnot.com/order/GMJptoiQKCNjk4Pv5GF4bQ_x000a_$2.50 + $0.00 (Shared Shipping) + $0.26 Tax = Total of $2.76"/>
    <n v="2.76"/>
    <n v="0"/>
    <n v="2.5"/>
    <n v="0.25624999999999998"/>
    <n v="2.7562500000000001"/>
    <n v="2"/>
    <n v="-0.75625000000000009"/>
    <n v="1"/>
    <s v="2024 Panini Donruss"/>
    <s v="Stephon Castle #244"/>
    <s v="."/>
  </r>
  <r>
    <s v="R"/>
    <x v="4"/>
    <d v="2026-06-09T00:00:00"/>
    <n v="65"/>
    <n v="2.5"/>
    <n v="0"/>
    <n v="0.26"/>
    <s v="James"/>
    <n v="2945777"/>
    <n v="488"/>
    <s v="https://www.whatnot.com/order/GMJptoiQKCNjk4Pv5GF4bQ"/>
    <s v="whatnot.com/order/GMJptoiQKCNjk4Pv5GF4bQ_x000a_$2.50 + $0.00 (Shared Shipping) + $0.26 Tax = Total of $2.76"/>
    <s v="whatnot.com/order/GMJptoiQKCNjk4Pv5GF4bQ_x000a_$2.50 + $0.00 (Shared Shipping) + $0.26 Tax = Total of $2.76"/>
    <n v="2.76"/>
    <n v="0"/>
    <n v="2.5"/>
    <n v="0.25624999999999998"/>
    <n v="2.7562500000000001"/>
    <n v="1.21"/>
    <n v="-1.5462500000000001"/>
    <n v="1"/>
    <s v="2020 Panini Chronicles"/>
    <s v="LeBron James #178"/>
    <s v="."/>
  </r>
  <r>
    <s v="R"/>
    <x v="4"/>
    <d v="2026-06-09T00:00:00"/>
    <n v="78"/>
    <n v="1"/>
    <n v="0"/>
    <n v="0.11"/>
    <s v="Luka"/>
    <n v="2482733"/>
    <n v="333"/>
    <s v="https://www.whatnot.com/order/2Nc9bVsk5chVoBa3qBE7ru"/>
    <s v="whatnot.com/order/2Nc9bVsk5chVoBa3qBE7ru_x000a_$1.00 + $0.00 (Shared Shipping) + $0.10 Tax = Total of $1.10"/>
    <s v="whatnot.com/order/2Nc9bVsk5chVoBa3qBE7ru_x000a_$1.00 + $0.00 (Shared Shipping) + $0.10 Tax = Total of $1.10"/>
    <n v="1.1100000000000001"/>
    <n v="0"/>
    <n v="1"/>
    <n v="0.10249999999999999"/>
    <n v="1.1025"/>
    <n v="1.75"/>
    <n v="0.64749999999999996"/>
    <n v="1"/>
    <s v="2020 Panini Select"/>
    <s v="Luka Doncic #15"/>
    <s v="."/>
  </r>
  <r>
    <s v="R"/>
    <x v="4"/>
    <d v="2026-06-09T00:00:00"/>
    <n v="78"/>
    <n v="1"/>
    <n v="0"/>
    <n v="0.1"/>
    <s v="Curry"/>
    <n v="95756"/>
    <n v="325"/>
    <s v="https://www.whatnot.com/order/2Nc9bVsk5chVoBa3qBE7ru"/>
    <s v="whatnot.com/order/2Nc9bVsk5chVoBa3qBE7ru_x000a_$1.00 + $0.00 (Shared Shipping) + $0.10 Tax = Total of $1.10"/>
    <s v="whatnot.com/order/2Nc9bVsk5chVoBa3qBE7ru_x000a_$1.00 + $0.00 (Shared Shipping) + $0.10 Tax = Total of $1.10"/>
    <n v="1.1000000000000001"/>
    <n v="0"/>
    <n v="1"/>
    <n v="0.10249999999999999"/>
    <n v="1.1025"/>
    <n v="1.78"/>
    <n v="0.67749999999999999"/>
    <n v="1"/>
    <s v="2019 Panini Prizm"/>
    <s v="Stephen Curry #98"/>
    <s v="."/>
  </r>
  <r>
    <s v="R"/>
    <x v="4"/>
    <d v="2026-06-09T00:00:00"/>
    <n v="139"/>
    <n v="4"/>
    <n v="0"/>
    <n v="0.41"/>
    <s v="McClung"/>
    <n v="3351202"/>
    <n v="429"/>
    <s v="https://www.whatnot.com/order/4zv9Y8T8uHjVEzhSWdVnjf"/>
    <s v="whatnot.com/order/4zv9Y8T8uHjVEzhSWdVnjf_x000a_$4.00 + $0.00 (Shared Shipping) + $0.41 Tax = Total of $4.41"/>
    <s v="whatnot.com/order/4zv9Y8T8uHjVEzhSWdVnjf_x000a_$4.00 + $0.00 (Shared Shipping) + $0.41 Tax = Total of $4.41"/>
    <n v="4.41"/>
    <n v="0"/>
    <n v="4"/>
    <n v="0.41"/>
    <n v="4.41"/>
    <n v="1.49"/>
    <n v="-2.92"/>
    <n v="1"/>
    <s v="2021 Panini Prizm Draft Picks"/>
    <s v="Mac McClung #39"/>
    <s v="."/>
  </r>
  <r>
    <s v="R"/>
    <x v="4"/>
    <d v="2026-06-09T00:00:00"/>
    <n v="145"/>
    <n v="1"/>
    <n v="0"/>
    <n v="0.11"/>
    <s v="Luka"/>
    <n v="2945900"/>
    <n v="566"/>
    <s v="https://www.whatnot.com/order/j5AumEDPb4dAWPPgEGjD26"/>
    <s v="whatnot.com/order/j5AumEDPb4dAWPPgEGjD26_x000a_$1.00 + $0.00 (Shared Shipping) + $0.10 Tax = Total of $1.10"/>
    <s v="whatnot.com/order/j5AumEDPb4dAWPPgEGjD26_x000a_$1.00 + $0.00 (Shared Shipping) + $0.10 Tax = Total of $1.10"/>
    <n v="1.1100000000000001"/>
    <n v="0"/>
    <n v="1"/>
    <n v="0.10249999999999999"/>
    <n v="1.1025"/>
    <n v="1.63"/>
    <n v="0.52749999999999986"/>
    <n v="1"/>
    <s v="2020 Panini Chronicles"/>
    <s v="Luka Doncic #300"/>
    <s v="."/>
  </r>
  <r>
    <s v="R"/>
    <x v="4"/>
    <d v="2026-06-09T00:00:00"/>
    <n v="145"/>
    <n v="1"/>
    <n v="0"/>
    <n v="0.1"/>
    <s v="Haliburton"/>
    <n v="10134970"/>
    <n v="218"/>
    <s v="https://www.whatnot.com/order/j5AumEDPb4dAWPPgEGjD26"/>
    <s v="whatnot.com/order/j5AumEDPb4dAWPPgEGjD26_x000a_$1.00 + $0.00 (Shared Shipping) + $0.10 Tax = Total of $1.10"/>
    <s v="whatnot.com/order/j5AumEDPb4dAWPPgEGjD26_x000a_$1.00 + $0.00 (Shared Shipping) + $0.10 Tax = Total of $1.10"/>
    <n v="1.1000000000000001"/>
    <n v="0"/>
    <n v="1"/>
    <n v="0.10249999999999999"/>
    <n v="1.1025"/>
    <n v="2.33"/>
    <n v="1.2275"/>
    <n v="1"/>
    <s v="2024 Topps Finest"/>
    <s v="Tyrese Haliburton [Blue Refractor] #38"/>
    <s v="."/>
  </r>
  <r>
    <s v="R"/>
    <x v="30"/>
    <d v="2026-06-09T00:00:00"/>
    <n v="211"/>
    <n v="11"/>
    <n v="0.78"/>
    <n v="1.21"/>
    <s v="Wembanyama"/>
    <n v="11497700"/>
    <n v="211"/>
    <s v="https://www.whatnot.com/order/oUotfyREdfzsNuUScDvio3"/>
    <s v="whatnot.com/order/oUotfyREdfzsNuUScDvio3_x000a_$11.00 + $0.78 (Shared Shipping) + $1.21 Tax = Total of $12.99"/>
    <s v="whatnot.com/order/oUotfyREdfzsNuUScDvio3_x000a_$11.00 + $0.78 (Shared Shipping) + $1.21 Tax = Total of $12.99"/>
    <n v="12.989999999999998"/>
    <n v="0.78"/>
    <n v="11.78"/>
    <n v="1.2074499999999999"/>
    <n v="12.987449999999999"/>
    <n v="2.4900000000000002"/>
    <n v="-10.497449999999999"/>
    <n v="1"/>
    <s v="2025 Topps Chrome Inspirational"/>
    <s v="Victor Wembanyama #IP-6"/>
    <s v="."/>
  </r>
  <r>
    <s v="R"/>
    <x v="50"/>
    <d v="2026-06-10T00:00:00"/>
    <s v="Ebay"/>
    <n v="28"/>
    <n v="8.6"/>
    <n v="3.75"/>
    <s v="McClung"/>
    <n v="13280701"/>
    <n v="22"/>
    <s v="https://www.ebay.com/itm/298388905739"/>
    <s v="ebay.com/itm/298388905739_x000a_$28.00 + $8.60 (Shared Shipping) + $3.75 Tax = Total of $40.35"/>
    <s v="ebay.com/itm/298388905739_x000a_$28.00 + $8.60 (Shared Shipping) + $3.75 Tax = Total of $40.35"/>
    <n v="40.35"/>
    <n v="8.6"/>
    <n v="36.6"/>
    <n v="3.7515000000000001"/>
    <n v="40.351500000000001"/>
    <n v="20.63"/>
    <n v="-19.721500000000002"/>
    <n v="1"/>
    <s v="2021 Panini Prizm Draft Picks Autographs"/>
    <s v="Mac McClung [Red] #DP-MMC"/>
    <s v="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6A655-7416-4EA5-B381-E9AC68DC9694}" name="PivotTable2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B3:AC55" firstHeaderRow="1" firstDataRow="1" firstDataCol="1"/>
  <pivotFields count="24">
    <pivotField showAll="0"/>
    <pivotField axis="axisRow" showAll="0" sortType="descending">
      <items count="52">
        <item x="28"/>
        <item x="45"/>
        <item x="3"/>
        <item x="17"/>
        <item x="9"/>
        <item x="42"/>
        <item x="40"/>
        <item x="20"/>
        <item x="30"/>
        <item x="44"/>
        <item x="16"/>
        <item x="6"/>
        <item x="27"/>
        <item x="48"/>
        <item x="25"/>
        <item x="22"/>
        <item x="12"/>
        <item x="31"/>
        <item x="11"/>
        <item x="0"/>
        <item x="14"/>
        <item x="7"/>
        <item x="29"/>
        <item x="13"/>
        <item x="43"/>
        <item x="8"/>
        <item x="24"/>
        <item x="36"/>
        <item x="49"/>
        <item x="1"/>
        <item x="37"/>
        <item x="38"/>
        <item x="18"/>
        <item x="50"/>
        <item x="34"/>
        <item x="4"/>
        <item x="39"/>
        <item x="47"/>
        <item x="10"/>
        <item x="21"/>
        <item x="41"/>
        <item x="33"/>
        <item x="35"/>
        <item x="19"/>
        <item x="46"/>
        <item x="15"/>
        <item x="32"/>
        <item x="2"/>
        <item x="5"/>
        <item x="26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numFmtId="44" showAll="0"/>
    <pivotField numFmtId="44" showAll="0"/>
    <pivotField numFmtId="44" showAll="0"/>
    <pivotField showAll="0"/>
    <pivotField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numFmtId="44" showAll="0"/>
    <pivotField numFmtId="4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52">
    <i>
      <x v="23"/>
    </i>
    <i>
      <x v="22"/>
    </i>
    <i>
      <x v="12"/>
    </i>
    <i>
      <x v="38"/>
    </i>
    <i>
      <x v="13"/>
    </i>
    <i>
      <x v="4"/>
    </i>
    <i>
      <x v="20"/>
    </i>
    <i>
      <x v="34"/>
    </i>
    <i>
      <x v="3"/>
    </i>
    <i>
      <x/>
    </i>
    <i>
      <x v="37"/>
    </i>
    <i>
      <x v="28"/>
    </i>
    <i>
      <x v="43"/>
    </i>
    <i>
      <x v="10"/>
    </i>
    <i>
      <x v="30"/>
    </i>
    <i>
      <x v="36"/>
    </i>
    <i>
      <x v="14"/>
    </i>
    <i>
      <x v="39"/>
    </i>
    <i>
      <x v="40"/>
    </i>
    <i>
      <x v="11"/>
    </i>
    <i>
      <x v="7"/>
    </i>
    <i>
      <x v="50"/>
    </i>
    <i>
      <x v="45"/>
    </i>
    <i>
      <x v="18"/>
    </i>
    <i>
      <x v="9"/>
    </i>
    <i>
      <x v="6"/>
    </i>
    <i>
      <x v="21"/>
    </i>
    <i>
      <x v="47"/>
    </i>
    <i>
      <x v="46"/>
    </i>
    <i>
      <x v="42"/>
    </i>
    <i>
      <x v="5"/>
    </i>
    <i>
      <x v="27"/>
    </i>
    <i>
      <x v="32"/>
    </i>
    <i>
      <x v="19"/>
    </i>
    <i>
      <x v="1"/>
    </i>
    <i>
      <x v="49"/>
    </i>
    <i>
      <x v="24"/>
    </i>
    <i>
      <x v="17"/>
    </i>
    <i>
      <x v="41"/>
    </i>
    <i>
      <x v="48"/>
    </i>
    <i>
      <x v="26"/>
    </i>
    <i>
      <x v="16"/>
    </i>
    <i>
      <x v="25"/>
    </i>
    <i>
      <x v="15"/>
    </i>
    <i>
      <x v="44"/>
    </i>
    <i>
      <x v="2"/>
    </i>
    <i>
      <x v="8"/>
    </i>
    <i>
      <x v="33"/>
    </i>
    <i>
      <x v="31"/>
    </i>
    <i>
      <x v="29"/>
    </i>
    <i>
      <x v="35"/>
    </i>
    <i t="grand">
      <x/>
    </i>
  </rowItems>
  <colItems count="1">
    <i/>
  </colItems>
  <dataFields count="1">
    <dataField name="Sum of Variance" fld="19" baseField="1" baseItem="0" numFmtId="44"/>
  </dataFields>
  <formats count="1">
    <format dxfId="5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6507D-D18C-420E-B1B5-305BC1731EB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I3:AJ169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axis="axisRow" showAll="0" sortType="descending">
      <items count="171">
        <item x="20"/>
        <item x="21"/>
        <item x="22"/>
        <item x="64"/>
        <item x="65"/>
        <item x="66"/>
        <item x="67"/>
        <item x="68"/>
        <item x="8"/>
        <item x="69"/>
        <item x="70"/>
        <item m="1" x="165"/>
        <item x="71"/>
        <item x="72"/>
        <item x="73"/>
        <item x="140"/>
        <item x="24"/>
        <item x="141"/>
        <item x="74"/>
        <item x="75"/>
        <item x="76"/>
        <item x="77"/>
        <item x="142"/>
        <item x="0"/>
        <item x="78"/>
        <item x="143"/>
        <item x="144"/>
        <item x="79"/>
        <item x="25"/>
        <item x="80"/>
        <item x="26"/>
        <item x="81"/>
        <item m="1" x="167"/>
        <item x="82"/>
        <item x="83"/>
        <item x="84"/>
        <item x="1"/>
        <item x="145"/>
        <item x="27"/>
        <item x="9"/>
        <item x="29"/>
        <item x="146"/>
        <item x="85"/>
        <item x="86"/>
        <item x="30"/>
        <item x="147"/>
        <item x="88"/>
        <item x="31"/>
        <item x="10"/>
        <item x="89"/>
        <item m="1" x="169"/>
        <item x="90"/>
        <item x="91"/>
        <item x="11"/>
        <item x="92"/>
        <item x="32"/>
        <item x="93"/>
        <item x="33"/>
        <item x="94"/>
        <item x="95"/>
        <item x="96"/>
        <item x="150"/>
        <item x="97"/>
        <item x="34"/>
        <item x="98"/>
        <item x="12"/>
        <item x="100"/>
        <item x="35"/>
        <item x="101"/>
        <item x="102"/>
        <item x="36"/>
        <item x="37"/>
        <item x="151"/>
        <item x="38"/>
        <item x="152"/>
        <item x="103"/>
        <item x="41"/>
        <item x="104"/>
        <item x="105"/>
        <item x="13"/>
        <item m="1" x="168"/>
        <item x="42"/>
        <item x="106"/>
        <item x="2"/>
        <item x="154"/>
        <item x="107"/>
        <item x="108"/>
        <item x="155"/>
        <item x="109"/>
        <item x="110"/>
        <item x="43"/>
        <item x="3"/>
        <item x="4"/>
        <item x="112"/>
        <item x="113"/>
        <item x="114"/>
        <item x="14"/>
        <item x="115"/>
        <item x="116"/>
        <item x="44"/>
        <item x="156"/>
        <item x="117"/>
        <item x="5"/>
        <item x="46"/>
        <item x="118"/>
        <item x="47"/>
        <item x="15"/>
        <item x="157"/>
        <item x="49"/>
        <item x="119"/>
        <item x="50"/>
        <item x="51"/>
        <item x="120"/>
        <item x="121"/>
        <item x="122"/>
        <item x="123"/>
        <item m="1" x="166"/>
        <item x="52"/>
        <item x="124"/>
        <item x="158"/>
        <item x="125"/>
        <item x="53"/>
        <item x="54"/>
        <item x="55"/>
        <item x="127"/>
        <item x="16"/>
        <item x="56"/>
        <item x="128"/>
        <item x="129"/>
        <item x="130"/>
        <item x="57"/>
        <item x="6"/>
        <item x="159"/>
        <item x="131"/>
        <item x="58"/>
        <item x="59"/>
        <item x="132"/>
        <item x="133"/>
        <item x="134"/>
        <item x="60"/>
        <item x="135"/>
        <item x="160"/>
        <item x="17"/>
        <item x="161"/>
        <item x="136"/>
        <item x="137"/>
        <item x="61"/>
        <item x="18"/>
        <item x="7"/>
        <item x="62"/>
        <item x="138"/>
        <item x="19"/>
        <item x="63"/>
        <item x="23"/>
        <item x="148"/>
        <item x="163"/>
        <item x="153"/>
        <item x="149"/>
        <item x="111"/>
        <item x="87"/>
        <item x="99"/>
        <item x="126"/>
        <item x="139"/>
        <item x="162"/>
        <item x="48"/>
        <item x="39"/>
        <item x="40"/>
        <item x="28"/>
        <item x="164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44" showAll="0"/>
    <pivotField numFmtId="44" showAll="0"/>
  </pivotFields>
  <rowFields count="1">
    <field x="20"/>
  </rowFields>
  <rowItems count="166">
    <i>
      <x v="91"/>
    </i>
    <i>
      <x v="102"/>
    </i>
    <i>
      <x v="126"/>
    </i>
    <i>
      <x v="65"/>
    </i>
    <i>
      <x v="135"/>
    </i>
    <i>
      <x v="19"/>
    </i>
    <i>
      <x v="125"/>
    </i>
    <i>
      <x v="148"/>
    </i>
    <i>
      <x v="123"/>
    </i>
    <i>
      <x/>
    </i>
    <i>
      <x v="106"/>
    </i>
    <i>
      <x v="27"/>
    </i>
    <i>
      <x v="81"/>
    </i>
    <i>
      <x v="133"/>
    </i>
    <i>
      <x v="127"/>
    </i>
    <i>
      <x v="90"/>
    </i>
    <i>
      <x v="122"/>
    </i>
    <i>
      <x v="55"/>
    </i>
    <i>
      <x v="8"/>
    </i>
    <i>
      <x v="16"/>
    </i>
    <i>
      <x v="23"/>
    </i>
    <i>
      <x v="2"/>
    </i>
    <i>
      <x v="48"/>
    </i>
    <i>
      <x v="113"/>
    </i>
    <i>
      <x v="85"/>
    </i>
    <i>
      <x v="83"/>
    </i>
    <i>
      <x v="5"/>
    </i>
    <i>
      <x v="101"/>
    </i>
    <i>
      <x v="39"/>
    </i>
    <i>
      <x v="53"/>
    </i>
    <i>
      <x v="20"/>
    </i>
    <i>
      <x v="40"/>
    </i>
    <i>
      <x v="124"/>
    </i>
    <i>
      <x v="144"/>
    </i>
    <i>
      <x v="7"/>
    </i>
    <i>
      <x v="134"/>
    </i>
    <i>
      <x v="1"/>
    </i>
    <i>
      <x v="149"/>
    </i>
    <i>
      <x v="71"/>
    </i>
    <i>
      <x v="95"/>
    </i>
    <i>
      <x v="92"/>
    </i>
    <i>
      <x v="22"/>
    </i>
    <i>
      <x v="107"/>
    </i>
    <i>
      <x v="45"/>
    </i>
    <i>
      <x v="146"/>
    </i>
    <i>
      <x v="52"/>
    </i>
    <i>
      <x v="105"/>
    </i>
    <i>
      <x v="58"/>
    </i>
    <i>
      <x v="115"/>
    </i>
    <i>
      <x v="64"/>
    </i>
    <i>
      <x v="142"/>
    </i>
    <i>
      <x v="66"/>
    </i>
    <i>
      <x v="153"/>
    </i>
    <i>
      <x v="67"/>
    </i>
    <i>
      <x v="104"/>
    </i>
    <i>
      <x v="69"/>
    </i>
    <i>
      <x v="3"/>
    </i>
    <i>
      <x v="73"/>
    </i>
    <i>
      <x v="110"/>
    </i>
    <i>
      <x v="75"/>
    </i>
    <i>
      <x v="4"/>
    </i>
    <i>
      <x v="79"/>
    </i>
    <i>
      <x v="128"/>
    </i>
    <i>
      <x v="10"/>
    </i>
    <i>
      <x v="145"/>
    </i>
    <i>
      <x v="12"/>
    </i>
    <i>
      <x v="147"/>
    </i>
    <i>
      <x v="88"/>
    </i>
    <i>
      <x v="158"/>
    </i>
    <i>
      <x v="13"/>
    </i>
    <i>
      <x v="35"/>
    </i>
    <i>
      <x v="139"/>
    </i>
    <i>
      <x v="9"/>
    </i>
    <i>
      <x v="155"/>
    </i>
    <i>
      <x v="44"/>
    </i>
    <i>
      <x v="131"/>
    </i>
    <i>
      <x v="76"/>
    </i>
    <i>
      <x v="33"/>
    </i>
    <i>
      <x v="77"/>
    </i>
    <i>
      <x v="119"/>
    </i>
    <i>
      <x v="78"/>
    </i>
    <i>
      <x v="47"/>
    </i>
    <i>
      <x v="30"/>
    </i>
    <i>
      <x v="24"/>
    </i>
    <i>
      <x v="54"/>
    </i>
    <i>
      <x v="143"/>
    </i>
    <i>
      <x v="82"/>
    </i>
    <i>
      <x v="151"/>
    </i>
    <i>
      <x v="34"/>
    </i>
    <i>
      <x v="159"/>
    </i>
    <i>
      <x v="84"/>
    </i>
    <i>
      <x v="121"/>
    </i>
    <i>
      <x v="169"/>
    </i>
    <i>
      <x v="37"/>
    </i>
    <i>
      <x v="31"/>
    </i>
    <i>
      <x v="129"/>
    </i>
    <i>
      <x v="87"/>
    </i>
    <i>
      <x v="38"/>
    </i>
    <i>
      <x v="56"/>
    </i>
    <i>
      <x v="137"/>
    </i>
    <i>
      <x v="89"/>
    </i>
    <i>
      <x v="141"/>
    </i>
    <i>
      <x v="57"/>
    </i>
    <i>
      <x v="49"/>
    </i>
    <i>
      <x v="14"/>
    </i>
    <i>
      <x v="41"/>
    </i>
    <i>
      <x v="43"/>
    </i>
    <i>
      <x v="72"/>
    </i>
    <i>
      <x v="93"/>
    </i>
    <i>
      <x v="157"/>
    </i>
    <i>
      <x v="94"/>
    </i>
    <i>
      <x v="74"/>
    </i>
    <i>
      <x v="164"/>
    </i>
    <i>
      <x v="120"/>
    </i>
    <i>
      <x v="165"/>
    </i>
    <i>
      <x v="18"/>
    </i>
    <i>
      <x v="167"/>
    </i>
    <i>
      <x v="36"/>
    </i>
    <i>
      <x v="98"/>
    </i>
    <i>
      <x v="21"/>
    </i>
    <i>
      <x v="99"/>
    </i>
    <i>
      <x v="29"/>
    </i>
    <i>
      <x v="100"/>
    </i>
    <i>
      <x v="130"/>
    </i>
    <i>
      <x v="161"/>
    </i>
    <i>
      <x v="132"/>
    </i>
    <i>
      <x v="162"/>
    </i>
    <i>
      <x v="6"/>
    </i>
    <i>
      <x v="42"/>
    </i>
    <i>
      <x v="136"/>
    </i>
    <i>
      <x v="59"/>
    </i>
    <i>
      <x v="138"/>
    </i>
    <i>
      <x v="60"/>
    </i>
    <i>
      <x v="140"/>
    </i>
    <i>
      <x v="61"/>
    </i>
    <i>
      <x v="68"/>
    </i>
    <i>
      <x v="62"/>
    </i>
    <i>
      <x v="28"/>
    </i>
    <i>
      <x v="108"/>
    </i>
    <i>
      <x v="70"/>
    </i>
    <i>
      <x v="109"/>
    </i>
    <i>
      <x v="25"/>
    </i>
    <i>
      <x v="63"/>
    </i>
    <i>
      <x v="150"/>
    </i>
    <i>
      <x v="111"/>
    </i>
    <i>
      <x v="152"/>
    </i>
    <i>
      <x v="112"/>
    </i>
    <i>
      <x v="154"/>
    </i>
    <i>
      <x v="17"/>
    </i>
    <i>
      <x v="156"/>
    </i>
    <i>
      <x v="114"/>
    </i>
    <i>
      <x v="51"/>
    </i>
    <i>
      <x v="46"/>
    </i>
    <i>
      <x v="160"/>
    </i>
    <i>
      <x v="117"/>
    </i>
    <i>
      <x v="118"/>
    </i>
    <i>
      <x v="163"/>
    </i>
    <i>
      <x v="15"/>
    </i>
    <i>
      <x v="103"/>
    </i>
    <i>
      <x v="166"/>
    </i>
    <i>
      <x v="96"/>
    </i>
    <i>
      <x v="26"/>
    </i>
    <i>
      <x v="97"/>
    </i>
    <i>
      <x v="86"/>
    </i>
    <i>
      <x v="168"/>
    </i>
    <i t="grand">
      <x/>
    </i>
  </rowItems>
  <colItems count="1">
    <i/>
  </colItems>
  <dataFields count="1">
    <dataField name="Sum of quantity" fld="9" baseField="0" baseItem="0"/>
  </dataFields>
  <formats count="42">
    <format dxfId="95">
      <pivotArea dataOnly="0" labelOnly="1" fieldPosition="0">
        <references count="1">
          <reference field="20" count="1">
            <x v="51"/>
          </reference>
        </references>
      </pivotArea>
    </format>
    <format dxfId="94">
      <pivotArea dataOnly="0" labelOnly="1" fieldPosition="0">
        <references count="1">
          <reference field="20" count="1">
            <x v="102"/>
          </reference>
        </references>
      </pivotArea>
    </format>
    <format dxfId="93">
      <pivotArea dataOnly="0" labelOnly="1" fieldPosition="0">
        <references count="1">
          <reference field="20" count="1">
            <x v="126"/>
          </reference>
        </references>
      </pivotArea>
    </format>
    <format dxfId="92">
      <pivotArea dataOnly="0" labelOnly="1" fieldPosition="0">
        <references count="1">
          <reference field="20" count="1">
            <x v="114"/>
          </reference>
        </references>
      </pivotArea>
    </format>
    <format dxfId="91">
      <pivotArea dataOnly="0" labelOnly="1" fieldPosition="0">
        <references count="1">
          <reference field="20" count="50">
            <x v="9"/>
            <x v="14"/>
            <x v="21"/>
            <x v="24"/>
            <x v="25"/>
            <x v="26"/>
            <x v="30"/>
            <x v="37"/>
            <x v="38"/>
            <x v="41"/>
            <x v="42"/>
            <x v="43"/>
            <x v="44"/>
            <x v="46"/>
            <x v="47"/>
            <x v="54"/>
            <x v="57"/>
            <x v="59"/>
            <x v="61"/>
            <x v="62"/>
            <x v="63"/>
            <x v="82"/>
            <x v="84"/>
            <x v="86"/>
            <x v="87"/>
            <x v="89"/>
            <x v="93"/>
            <x v="94"/>
            <x v="96"/>
            <x v="97"/>
            <x v="98"/>
            <x v="99"/>
            <x v="100"/>
            <x v="103"/>
            <x v="105"/>
            <x v="112"/>
            <x v="114"/>
            <x v="116"/>
            <x v="118"/>
            <x v="119"/>
            <x v="120"/>
            <x v="130"/>
            <x v="131"/>
            <x v="132"/>
            <x v="136"/>
            <x v="138"/>
            <x v="139"/>
            <x v="140"/>
            <x v="143"/>
            <x v="151"/>
          </reference>
        </references>
      </pivotArea>
    </format>
    <format dxfId="90">
      <pivotArea dataOnly="0" labelOnly="1" fieldPosition="0">
        <references count="1">
          <reference field="20" count="11">
            <x v="15"/>
            <x v="17"/>
            <x v="29"/>
            <x v="49"/>
            <x v="50"/>
            <x v="68"/>
            <x v="108"/>
            <x v="109"/>
            <x v="111"/>
            <x v="150"/>
            <x v="152"/>
          </reference>
        </references>
      </pivotArea>
    </format>
    <format dxfId="89">
      <pivotArea dataOnly="0" labelOnly="1" fieldPosition="0">
        <references count="1">
          <reference field="20" count="17">
            <x v="6"/>
            <x v="18"/>
            <x v="28"/>
            <x v="33"/>
            <x v="34"/>
            <x v="36"/>
            <x v="51"/>
            <x v="56"/>
            <x v="70"/>
            <x v="72"/>
            <x v="74"/>
            <x v="77"/>
            <x v="78"/>
            <x v="121"/>
            <x v="129"/>
            <x v="137"/>
            <x v="141"/>
          </reference>
        </references>
      </pivotArea>
    </format>
    <format dxfId="88">
      <pivotArea dataOnly="0" labelOnly="1" fieldPosition="0">
        <references count="1">
          <reference field="20" count="12">
            <x v="10"/>
            <x v="13"/>
            <x v="31"/>
            <x v="32"/>
            <x v="60"/>
            <x v="73"/>
            <x v="75"/>
            <x v="76"/>
            <x v="79"/>
            <x v="117"/>
            <x v="145"/>
            <x v="146"/>
          </reference>
        </references>
      </pivotArea>
    </format>
    <format dxfId="87">
      <pivotArea dataOnly="0" labelOnly="1" fieldPosition="0">
        <references count="1">
          <reference field="20" count="9">
            <x v="4"/>
            <x v="22"/>
            <x v="35"/>
            <x v="66"/>
            <x v="107"/>
            <x v="110"/>
            <x v="115"/>
            <x v="128"/>
            <x v="147"/>
          </reference>
        </references>
      </pivotArea>
    </format>
    <format dxfId="86">
      <pivotArea dataOnly="0" labelOnly="1" fieldPosition="0">
        <references count="1">
          <reference field="20" count="10">
            <x v="3"/>
            <x v="7"/>
            <x v="12"/>
            <x v="45"/>
            <x v="52"/>
            <x v="58"/>
            <x v="88"/>
            <x v="92"/>
            <x v="104"/>
            <x v="144"/>
          </reference>
        </references>
      </pivotArea>
    </format>
    <format dxfId="85">
      <pivotArea dataOnly="0" labelOnly="1" fieldPosition="0">
        <references count="1">
          <reference field="20" count="1">
            <x v="71"/>
          </reference>
        </references>
      </pivotArea>
    </format>
    <format dxfId="84">
      <pivotArea dataOnly="0" labelOnly="1" fieldPosition="0">
        <references count="1">
          <reference field="20" count="7">
            <x v="1"/>
            <x v="5"/>
            <x v="20"/>
            <x v="40"/>
            <x v="64"/>
            <x v="69"/>
            <x v="95"/>
          </reference>
        </references>
      </pivotArea>
    </format>
    <format dxfId="83">
      <pivotArea dataOnly="0" labelOnly="1" fieldPosition="0">
        <references count="1">
          <reference field="20" count="1">
            <x v="124"/>
          </reference>
        </references>
      </pivotArea>
    </format>
    <format dxfId="82">
      <pivotArea dataOnly="0" labelOnly="1" fieldPosition="0">
        <references count="1">
          <reference field="20" count="1">
            <x v="125"/>
          </reference>
        </references>
      </pivotArea>
    </format>
    <format dxfId="81">
      <pivotArea dataOnly="0" labelOnly="1" fieldPosition="0">
        <references count="1">
          <reference field="20" count="1">
            <x v="83"/>
          </reference>
        </references>
      </pivotArea>
    </format>
    <format dxfId="80">
      <pivotArea dataOnly="0" labelOnly="1" fieldPosition="0">
        <references count="1">
          <reference field="20" count="1">
            <x v="83"/>
          </reference>
        </references>
      </pivotArea>
    </format>
    <format dxfId="79">
      <pivotArea dataOnly="0" labelOnly="1" fieldPosition="0">
        <references count="1">
          <reference field="20" count="1">
            <x v="148"/>
          </reference>
        </references>
      </pivotArea>
    </format>
    <format dxfId="78">
      <pivotArea dataOnly="0" labelOnly="1" fieldPosition="0">
        <references count="1">
          <reference field="20" count="1">
            <x v="101"/>
          </reference>
        </references>
      </pivotArea>
    </format>
    <format dxfId="77">
      <pivotArea dataOnly="0" labelOnly="1" fieldPosition="0">
        <references count="1">
          <reference field="20" count="1">
            <x v="11"/>
          </reference>
        </references>
      </pivotArea>
    </format>
    <format dxfId="76">
      <pivotArea dataOnly="0" labelOnly="1" fieldPosition="0">
        <references count="1">
          <reference field="20" count="2">
            <x v="55"/>
            <x v="85"/>
          </reference>
        </references>
      </pivotArea>
    </format>
    <format dxfId="75">
      <pivotArea dataOnly="0" labelOnly="1" fieldPosition="0">
        <references count="1">
          <reference field="20" count="1">
            <x v="2"/>
          </reference>
        </references>
      </pivotArea>
    </format>
    <format dxfId="74">
      <pivotArea dataOnly="0" labelOnly="1" fieldPosition="0">
        <references count="1">
          <reference field="20" count="1">
            <x v="48"/>
          </reference>
        </references>
      </pivotArea>
    </format>
    <format dxfId="73">
      <pivotArea dataOnly="0" labelOnly="1" fieldPosition="0">
        <references count="1">
          <reference field="20" count="1">
            <x v="127"/>
          </reference>
        </references>
      </pivotArea>
    </format>
    <format dxfId="72">
      <pivotArea dataOnly="0" labelOnly="1" fieldPosition="0">
        <references count="1">
          <reference field="20" count="1">
            <x v="133"/>
          </reference>
        </references>
      </pivotArea>
    </format>
    <format dxfId="71">
      <pivotArea dataOnly="0" labelOnly="1" fieldPosition="0">
        <references count="1">
          <reference field="20" count="1">
            <x v="122"/>
          </reference>
        </references>
      </pivotArea>
    </format>
    <format dxfId="70">
      <pivotArea dataOnly="0" labelOnly="1" fieldPosition="0">
        <references count="1">
          <reference field="20" count="1">
            <x v="23"/>
          </reference>
        </references>
      </pivotArea>
    </format>
    <format dxfId="69">
      <pivotArea dataOnly="0" labelOnly="1" fieldPosition="0">
        <references count="1">
          <reference field="20" count="1">
            <x v="27"/>
          </reference>
        </references>
      </pivotArea>
    </format>
    <format dxfId="68">
      <pivotArea dataOnly="0" labelOnly="1" fieldPosition="0">
        <references count="1">
          <reference field="20" count="1">
            <x v="80"/>
          </reference>
        </references>
      </pivotArea>
    </format>
    <format dxfId="67">
      <pivotArea dataOnly="0" labelOnly="1" fieldPosition="0">
        <references count="1">
          <reference field="20" count="1">
            <x v="142"/>
          </reference>
        </references>
      </pivotArea>
    </format>
    <format dxfId="66">
      <pivotArea dataOnly="0" labelOnly="1" fieldPosition="0">
        <references count="1">
          <reference field="20" count="1">
            <x v="149"/>
          </reference>
        </references>
      </pivotArea>
    </format>
    <format dxfId="65">
      <pivotArea dataOnly="0" labelOnly="1" fieldPosition="0">
        <references count="1">
          <reference field="20" count="1">
            <x v="53"/>
          </reference>
        </references>
      </pivotArea>
    </format>
    <format dxfId="64">
      <pivotArea dataOnly="0" labelOnly="1" fieldPosition="0">
        <references count="1">
          <reference field="20" count="1">
            <x v="39"/>
          </reference>
        </references>
      </pivotArea>
    </format>
    <format dxfId="63">
      <pivotArea dataOnly="0" labelOnly="1" fieldPosition="0">
        <references count="1">
          <reference field="20" count="1">
            <x v="16"/>
          </reference>
        </references>
      </pivotArea>
    </format>
    <format dxfId="62">
      <pivotArea dataOnly="0" labelOnly="1" fieldPosition="0">
        <references count="1">
          <reference field="20" count="1">
            <x v="81"/>
          </reference>
        </references>
      </pivotArea>
    </format>
    <format dxfId="61">
      <pivotArea dataOnly="0" labelOnly="1" fieldPosition="0">
        <references count="1">
          <reference field="20" count="1">
            <x v="113"/>
          </reference>
        </references>
      </pivotArea>
    </format>
    <format dxfId="60">
      <pivotArea dataOnly="0" labelOnly="1" fieldPosition="0">
        <references count="1">
          <reference field="20" count="1">
            <x v="106"/>
          </reference>
        </references>
      </pivotArea>
    </format>
    <format dxfId="59">
      <pivotArea dataOnly="0" labelOnly="1" fieldPosition="0">
        <references count="1">
          <reference field="20" count="1">
            <x v="0"/>
          </reference>
        </references>
      </pivotArea>
    </format>
    <format dxfId="58">
      <pivotArea dataOnly="0" labelOnly="1" fieldPosition="0">
        <references count="1">
          <reference field="20" count="1">
            <x v="123"/>
          </reference>
        </references>
      </pivotArea>
    </format>
    <format dxfId="57">
      <pivotArea dataOnly="0" labelOnly="1" fieldPosition="0">
        <references count="1">
          <reference field="20" count="1">
            <x v="19"/>
          </reference>
        </references>
      </pivotArea>
    </format>
    <format dxfId="56">
      <pivotArea dataOnly="0" labelOnly="1" fieldPosition="0">
        <references count="1">
          <reference field="20" count="1">
            <x v="135"/>
          </reference>
        </references>
      </pivotArea>
    </format>
    <format dxfId="55">
      <pivotArea dataOnly="0" labelOnly="1" fieldPosition="0">
        <references count="1">
          <reference field="20" count="1">
            <x v="8"/>
          </reference>
        </references>
      </pivotArea>
    </format>
    <format dxfId="54">
      <pivotArea dataOnly="0" labelOnly="1" fieldPosition="0">
        <references count="1">
          <reference field="20" count="1">
            <x v="6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0E33F-B5C5-42A3-BF03-34174DF6C0A5}" name="PivotTable2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E3:AG169" firstHeaderRow="1" firstDataRow="1" firstDataCol="2"/>
  <pivotFields count="26">
    <pivotField axis="axisRow" compact="0" outline="0" subtotalTop="0" showAll="0" measureFilter="1" sortType="descending" defaultSubtotal="0">
      <items count="520">
        <item x="162"/>
        <item x="266"/>
        <item x="428"/>
        <item x="396"/>
        <item x="400"/>
        <item x="291"/>
        <item x="206"/>
        <item x="290"/>
        <item x="107"/>
        <item x="345"/>
        <item x="204"/>
        <item x="205"/>
        <item x="379"/>
        <item x="267"/>
        <item x="361"/>
        <item x="287"/>
        <item x="350"/>
        <item x="130"/>
        <item x="243"/>
        <item x="407"/>
        <item x="355"/>
        <item x="414"/>
        <item m="1" x="506"/>
        <item x="94"/>
        <item x="293"/>
        <item x="384"/>
        <item x="413"/>
        <item x="327"/>
        <item x="328"/>
        <item x="93"/>
        <item x="264"/>
        <item m="1" x="513"/>
        <item x="105"/>
        <item x="333"/>
        <item x="80"/>
        <item x="269"/>
        <item x="292"/>
        <item m="1" x="485"/>
        <item x="307"/>
        <item x="415"/>
        <item m="1" x="493"/>
        <item x="279"/>
        <item x="276"/>
        <item x="310"/>
        <item x="190"/>
        <item m="1" x="486"/>
        <item x="81"/>
        <item x="324"/>
        <item x="85"/>
        <item x="7"/>
        <item x="308"/>
        <item x="193"/>
        <item x="282"/>
        <item x="357"/>
        <item x="194"/>
        <item m="1" x="512"/>
        <item x="288"/>
        <item x="309"/>
        <item x="323"/>
        <item x="6"/>
        <item x="284"/>
        <item x="5"/>
        <item x="304"/>
        <item x="88"/>
        <item m="1" x="500"/>
        <item x="281"/>
        <item x="305"/>
        <item x="192"/>
        <item x="356"/>
        <item x="348"/>
        <item x="255"/>
        <item m="1" x="490"/>
        <item x="106"/>
        <item x="325"/>
        <item x="271"/>
        <item x="247"/>
        <item x="306"/>
        <item x="197"/>
        <item x="273"/>
        <item x="302"/>
        <item x="79"/>
        <item x="275"/>
        <item x="185"/>
        <item x="388"/>
        <item x="303"/>
        <item x="340"/>
        <item x="242"/>
        <item x="285"/>
        <item x="199"/>
        <item m="1" x="488"/>
        <item x="203"/>
        <item x="132"/>
        <item x="186"/>
        <item x="342"/>
        <item x="139"/>
        <item x="137"/>
        <item x="142"/>
        <item x="378"/>
        <item x="442"/>
        <item x="146"/>
        <item x="410"/>
        <item x="320"/>
        <item x="150"/>
        <item x="409"/>
        <item x="289"/>
        <item m="1" x="511"/>
        <item m="1" x="509"/>
        <item m="1" x="483"/>
        <item m="1" x="489"/>
        <item m="1" x="484"/>
        <item m="1" x="518"/>
        <item m="1" x="499"/>
        <item m="1" x="508"/>
        <item m="1" x="476"/>
        <item m="1" x="516"/>
        <item m="1" x="475"/>
        <item x="270"/>
        <item m="1" x="480"/>
        <item x="280"/>
        <item m="1" x="478"/>
        <item x="195"/>
        <item x="380"/>
        <item x="443"/>
        <item x="124"/>
        <item x="419"/>
        <item x="316"/>
        <item x="39"/>
        <item x="163"/>
        <item x="432"/>
        <item m="1" x="519"/>
        <item x="174"/>
        <item m="1" x="482"/>
        <item x="165"/>
        <item x="9"/>
        <item x="220"/>
        <item x="219"/>
        <item x="234"/>
        <item m="1" x="503"/>
        <item x="248"/>
        <item x="222"/>
        <item x="397"/>
        <item x="87"/>
        <item x="256"/>
        <item x="98"/>
        <item x="225"/>
        <item x="224"/>
        <item x="322"/>
        <item x="21"/>
        <item x="366"/>
        <item x="383"/>
        <item x="331"/>
        <item x="160"/>
        <item x="84"/>
        <item x="161"/>
        <item x="332"/>
        <item x="230"/>
        <item x="362"/>
        <item x="359"/>
        <item x="470"/>
        <item x="89"/>
        <item m="1" x="496"/>
        <item x="191"/>
        <item x="198"/>
        <item x="405"/>
        <item x="425"/>
        <item x="314"/>
        <item x="45"/>
        <item x="74"/>
        <item x="250"/>
        <item x="22"/>
        <item x="212"/>
        <item x="351"/>
        <item x="352"/>
        <item x="95"/>
        <item x="377"/>
        <item x="14"/>
        <item x="337"/>
        <item x="318"/>
        <item x="25"/>
        <item x="166"/>
        <item x="277"/>
        <item x="278"/>
        <item x="369"/>
        <item x="200"/>
        <item x="253"/>
        <item x="252"/>
        <item x="50"/>
        <item x="33"/>
        <item x="46"/>
        <item x="178"/>
        <item m="1" x="479"/>
        <item x="374"/>
        <item x="436"/>
        <item x="272"/>
        <item x="196"/>
        <item x="257"/>
        <item x="371"/>
        <item x="389"/>
        <item x="411"/>
        <item x="129"/>
        <item x="57"/>
        <item x="246"/>
        <item x="101"/>
        <item x="109"/>
        <item x="283"/>
        <item x="450"/>
        <item x="339"/>
        <item x="134"/>
        <item x="83"/>
        <item x="90"/>
        <item x="96"/>
        <item x="100"/>
        <item x="102"/>
        <item x="99"/>
        <item x="298"/>
        <item x="78"/>
        <item x="321"/>
        <item x="37"/>
        <item x="13"/>
        <item x="135"/>
        <item x="121"/>
        <item x="59"/>
        <item x="423"/>
        <item x="336"/>
        <item x="390"/>
        <item x="421"/>
        <item x="40"/>
        <item x="54"/>
        <item x="354"/>
        <item x="358"/>
        <item x="65"/>
        <item x="68"/>
        <item x="51"/>
        <item x="32"/>
        <item x="364"/>
        <item x="393"/>
        <item x="223"/>
        <item x="104"/>
        <item x="154"/>
        <item x="15"/>
        <item x="398"/>
        <item x="286"/>
        <item m="1" x="502"/>
        <item x="66"/>
        <item x="422"/>
        <item x="349"/>
        <item x="347"/>
        <item x="368"/>
        <item x="370"/>
        <item x="23"/>
        <item m="1" x="492"/>
        <item x="49"/>
        <item x="119"/>
        <item x="55"/>
        <item x="343"/>
        <item x="412"/>
        <item x="254"/>
        <item x="294"/>
        <item x="202"/>
        <item m="1" x="491"/>
        <item x="454"/>
        <item m="1" x="505"/>
        <item x="376"/>
        <item x="274"/>
        <item x="34"/>
        <item x="42"/>
        <item x="235"/>
        <item x="71"/>
        <item x="75"/>
        <item x="394"/>
        <item x="338"/>
        <item x="20"/>
        <item x="91"/>
        <item x="92"/>
        <item x="344"/>
        <item x="262"/>
        <item x="213"/>
        <item x="44"/>
        <item x="103"/>
        <item x="245"/>
        <item x="147"/>
        <item x="136"/>
        <item x="140"/>
        <item m="1" x="498"/>
        <item x="155"/>
        <item x="334"/>
        <item x="232"/>
        <item m="1" x="507"/>
        <item x="38"/>
        <item m="1" x="515"/>
        <item x="460"/>
        <item x="112"/>
        <item x="189"/>
        <item x="238"/>
        <item x="211"/>
        <item x="70"/>
        <item x="69"/>
        <item x="408"/>
        <item x="153"/>
        <item x="466"/>
        <item x="392"/>
        <item x="372"/>
        <item x="261"/>
        <item x="52"/>
        <item x="53"/>
        <item m="1" x="494"/>
        <item x="299"/>
        <item x="441"/>
        <item x="427"/>
        <item x="319"/>
        <item x="64"/>
        <item x="300"/>
        <item x="341"/>
        <item x="268"/>
        <item x="128"/>
        <item x="180"/>
        <item x="29"/>
        <item x="395"/>
        <item x="455"/>
        <item m="1" x="510"/>
        <item m="1" x="517"/>
        <item m="1" x="495"/>
        <item x="138"/>
        <item x="157"/>
        <item x="111"/>
        <item x="231"/>
        <item x="403"/>
        <item x="35"/>
        <item x="301"/>
        <item x="326"/>
        <item x="173"/>
        <item x="26"/>
        <item x="401"/>
        <item x="459"/>
        <item x="313"/>
        <item x="437"/>
        <item m="1" x="481"/>
        <item x="448"/>
        <item x="181"/>
        <item x="402"/>
        <item x="207"/>
        <item x="229"/>
        <item x="311"/>
        <item x="418"/>
        <item x="144"/>
        <item x="214"/>
        <item x="404"/>
        <item x="151"/>
        <item x="346"/>
        <item x="426"/>
        <item x="465"/>
        <item x="158"/>
        <item x="149"/>
        <item x="164"/>
        <item x="61"/>
        <item x="123"/>
        <item x="67"/>
        <item x="72"/>
        <item x="47"/>
        <item x="19"/>
        <item x="438"/>
        <item x="60"/>
        <item x="63"/>
        <item x="58"/>
        <item x="143"/>
        <item x="62"/>
        <item x="122"/>
        <item x="296"/>
        <item m="1" x="514"/>
        <item x="265"/>
        <item x="133"/>
        <item x="210"/>
        <item x="17"/>
        <item x="148"/>
        <item x="86"/>
        <item x="183"/>
        <item x="41"/>
        <item x="73"/>
        <item x="48"/>
        <item x="433"/>
        <item x="12"/>
        <item x="110"/>
        <item x="263"/>
        <item x="236"/>
        <item x="431"/>
        <item m="1" x="487"/>
        <item x="452"/>
        <item x="249"/>
        <item x="416"/>
        <item x="27"/>
        <item x="258"/>
        <item x="434"/>
        <item x="16"/>
        <item x="28"/>
        <item x="216"/>
        <item x="145"/>
        <item x="131"/>
        <item x="43"/>
        <item x="446"/>
        <item x="375"/>
        <item x="381"/>
        <item x="31"/>
        <item x="315"/>
        <item x="169"/>
        <item x="188"/>
        <item x="177"/>
        <item x="382"/>
        <item x="30"/>
        <item x="56"/>
        <item m="1" x="497"/>
        <item x="430"/>
        <item x="179"/>
        <item x="182"/>
        <item x="24"/>
        <item x="187"/>
        <item x="152"/>
        <item x="156"/>
        <item x="141"/>
        <item x="221"/>
        <item x="317"/>
        <item x="469"/>
        <item x="449"/>
        <item x="117"/>
        <item x="2"/>
        <item x="363"/>
        <item x="125"/>
        <item m="1" x="477"/>
        <item x="260"/>
        <item x="444"/>
        <item x="463"/>
        <item x="76"/>
        <item x="215"/>
        <item x="335"/>
        <item x="126"/>
        <item x="0"/>
        <item x="406"/>
        <item x="217"/>
        <item x="120"/>
        <item x="172"/>
        <item x="435"/>
        <item x="115"/>
        <item x="1"/>
        <item x="237"/>
        <item x="330"/>
        <item x="468"/>
        <item x="467"/>
        <item x="424"/>
        <item x="387"/>
        <item x="167"/>
        <item x="391"/>
        <item x="175"/>
        <item m="1" x="504"/>
        <item x="114"/>
        <item x="429"/>
        <item m="1" x="474"/>
        <item x="226"/>
        <item x="113"/>
        <item x="373"/>
        <item x="176"/>
        <item x="439"/>
        <item x="227"/>
        <item m="1" x="501"/>
        <item x="462"/>
        <item x="233"/>
        <item x="367"/>
        <item x="451"/>
        <item x="4"/>
        <item x="360"/>
        <item x="3"/>
        <item x="417"/>
        <item x="118"/>
        <item x="399"/>
        <item x="295"/>
        <item x="353"/>
        <item x="385"/>
        <item x="386"/>
        <item x="170"/>
        <item x="159"/>
        <item x="297"/>
        <item x="458"/>
        <item x="453"/>
        <item x="447"/>
        <item x="228"/>
        <item x="184"/>
        <item x="36"/>
        <item x="440"/>
        <item x="241"/>
        <item x="244"/>
        <item x="201"/>
        <item x="456"/>
        <item x="329"/>
        <item x="312"/>
        <item x="464"/>
        <item x="77"/>
        <item x="116"/>
        <item x="208"/>
        <item x="10"/>
        <item x="127"/>
        <item x="472"/>
        <item x="168"/>
        <item x="11"/>
        <item x="461"/>
        <item x="457"/>
        <item x="97"/>
        <item x="365"/>
        <item x="420"/>
        <item x="445"/>
        <item x="209"/>
        <item x="471"/>
        <item x="259"/>
        <item x="239"/>
        <item x="18"/>
        <item x="240"/>
        <item x="82"/>
        <item x="171"/>
        <item x="251"/>
        <item x="8"/>
        <item x="108"/>
        <item x="218"/>
        <item x="47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  <pivotField compact="0" outline="0" subtotalTop="0" showAll="0" defaultSubtotal="0"/>
    <pivotField dataField="1" compact="0" outline="0" subtotalTop="0" showAll="0" measureFilter="1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4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sortType="descending" defaultSubtotal="0">
      <items count="171">
        <item sd="0" x="20"/>
        <item sd="0" x="21"/>
        <item sd="0" x="22"/>
        <item sd="0" x="64"/>
        <item sd="0" x="65"/>
        <item sd="0" x="66"/>
        <item sd="0" x="67"/>
        <item sd="0" x="68"/>
        <item sd="0" x="8"/>
        <item sd="0" x="69"/>
        <item sd="0" x="70"/>
        <item sd="0" m="1" x="165"/>
        <item sd="0" x="71"/>
        <item sd="0" x="72"/>
        <item sd="0" x="73"/>
        <item sd="0" x="140"/>
        <item sd="0" x="24"/>
        <item sd="0" x="141"/>
        <item sd="0" x="74"/>
        <item sd="0" x="75"/>
        <item sd="0" x="76"/>
        <item sd="0" x="77"/>
        <item sd="0" x="142"/>
        <item sd="0" x="0"/>
        <item sd="0" x="78"/>
        <item sd="0" x="143"/>
        <item sd="0" x="144"/>
        <item sd="0" x="79"/>
        <item sd="0" x="25"/>
        <item sd="0" x="80"/>
        <item sd="0" x="26"/>
        <item sd="0" x="81"/>
        <item sd="0" m="1" x="169"/>
        <item sd="0" x="82"/>
        <item sd="0" x="83"/>
        <item sd="0" x="84"/>
        <item sd="0" x="1"/>
        <item sd="0" x="145"/>
        <item sd="0" x="27"/>
        <item sd="0" m="1" x="170"/>
        <item sd="0" x="9"/>
        <item sd="0" x="29"/>
        <item sd="0" x="146"/>
        <item sd="0" x="85"/>
        <item sd="0" x="86"/>
        <item sd="0" x="30"/>
        <item sd="0" x="147"/>
        <item sd="0" x="88"/>
        <item sd="0" x="31"/>
        <item sd="0" x="10"/>
        <item sd="0" x="89"/>
        <item sd="0" x="148"/>
        <item sd="0" x="90"/>
        <item sd="0" x="91"/>
        <item sd="0" x="11"/>
        <item sd="0" x="92"/>
        <item sd="0" x="32"/>
        <item sd="0" x="93"/>
        <item sd="0" x="33"/>
        <item sd="0" x="94"/>
        <item sd="0" x="95"/>
        <item sd="0" x="96"/>
        <item sd="0" x="150"/>
        <item sd="0" x="97"/>
        <item sd="0" x="34"/>
        <item sd="0" x="98"/>
        <item sd="0" x="99"/>
        <item sd="0" x="12"/>
        <item sd="0" x="100"/>
        <item sd="0" x="35"/>
        <item sd="0" x="101"/>
        <item sd="0" x="102"/>
        <item sd="0" x="36"/>
        <item sd="0" x="37"/>
        <item sd="0" x="151"/>
        <item sd="0" x="38"/>
        <item sd="0" x="152"/>
        <item sd="0" x="103"/>
        <item sd="0" x="41"/>
        <item sd="0" x="104"/>
        <item sd="0" x="105"/>
        <item sd="0" x="13"/>
        <item sd="0" m="1" x="168"/>
        <item sd="0" x="42"/>
        <item sd="0" x="106"/>
        <item sd="0" x="2"/>
        <item sd="0" x="154"/>
        <item sd="0" x="107"/>
        <item sd="0" x="108"/>
        <item sd="0" x="155"/>
        <item sd="0" x="109"/>
        <item sd="0" x="110"/>
        <item sd="0" x="43"/>
        <item sd="0" x="3"/>
        <item sd="0" x="111"/>
        <item sd="0" x="4"/>
        <item sd="0" x="112"/>
        <item sd="0" x="113"/>
        <item sd="0" x="114"/>
        <item sd="0" x="14"/>
        <item sd="0" x="115"/>
        <item sd="0" x="116"/>
        <item sd="0" x="44"/>
        <item sd="0" x="156"/>
        <item sd="0" x="117"/>
        <item sd="0" x="5"/>
        <item sd="0" x="46"/>
        <item sd="0" x="118"/>
        <item sd="0" x="47"/>
        <item sd="0" x="15"/>
        <item sd="0" x="157"/>
        <item sd="0" x="49"/>
        <item sd="0" x="119"/>
        <item sd="0" x="50"/>
        <item sd="0" x="51"/>
        <item sd="0" x="120"/>
        <item sd="0" x="121"/>
        <item sd="0" x="122"/>
        <item sd="0" x="123"/>
        <item sd="0" m="1" x="167"/>
        <item sd="0" x="52"/>
        <item sd="0" x="124"/>
        <item sd="0" x="158"/>
        <item sd="0" x="125"/>
        <item sd="0" x="53"/>
        <item sd="0" x="54"/>
        <item sd="0" x="55"/>
        <item sd="0" x="127"/>
        <item sd="0" x="16"/>
        <item sd="0" x="56"/>
        <item sd="0" x="128"/>
        <item sd="0" x="129"/>
        <item sd="0" x="130"/>
        <item sd="0" x="57"/>
        <item sd="0" x="6"/>
        <item sd="0" x="159"/>
        <item sd="0" x="131"/>
        <item sd="0" x="58"/>
        <item sd="0" x="59"/>
        <item sd="0" x="132"/>
        <item sd="0" x="133"/>
        <item sd="0" x="134"/>
        <item sd="0" x="60"/>
        <item sd="0" x="135"/>
        <item sd="0" x="160"/>
        <item sd="0" x="17"/>
        <item sd="0" x="161"/>
        <item sd="0" x="136"/>
        <item sd="0" x="137"/>
        <item sd="0" x="61"/>
        <item sd="0" x="18"/>
        <item sd="0" x="7"/>
        <item sd="0" x="62"/>
        <item sd="0" x="138"/>
        <item sd="0" x="19"/>
        <item sd="0" x="63"/>
        <item sd="0" m="1" x="166"/>
        <item sd="0" x="23"/>
        <item sd="0" x="163"/>
        <item sd="0" x="153"/>
        <item sd="0" x="149"/>
        <item sd="0" x="87"/>
        <item sd="0" x="126"/>
        <item sd="0" x="139"/>
        <item sd="0" x="162"/>
        <item sd="0" x="48"/>
        <item sd="0" x="39"/>
        <item sd="0" x="40"/>
        <item sd="0" x="28"/>
        <item sd="0" x="164"/>
        <item sd="0" x="4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44" outline="0" subtotalTop="0" showAll="0" defaultSubtotal="0"/>
    <pivotField compact="0" numFmtId="44" outline="0" subtotalTop="0" showAll="0" defaultSubtotal="0"/>
  </pivotFields>
  <rowFields count="2">
    <field x="20"/>
    <field x="0"/>
  </rowFields>
  <rowItems count="166">
    <i>
      <x v="93"/>
    </i>
    <i>
      <x v="105"/>
    </i>
    <i>
      <x v="85"/>
    </i>
    <i>
      <x v="151"/>
    </i>
    <i>
      <x v="134"/>
    </i>
    <i>
      <x v="23"/>
    </i>
    <i>
      <x v="36"/>
    </i>
    <i>
      <x v="95"/>
    </i>
    <i>
      <x v="109"/>
    </i>
    <i>
      <x v="128"/>
    </i>
    <i>
      <x v="145"/>
    </i>
    <i>
      <x v="99"/>
    </i>
    <i>
      <x v="67"/>
    </i>
    <i>
      <x v="8"/>
    </i>
    <i>
      <x v="40"/>
    </i>
    <i>
      <x v="49"/>
    </i>
    <i>
      <x v="154"/>
    </i>
    <i>
      <x v="150"/>
    </i>
    <i>
      <x v="81"/>
    </i>
    <i>
      <x v="54"/>
    </i>
    <i>
      <x v="120"/>
    </i>
    <i>
      <x v="16"/>
    </i>
    <i>
      <x v="108"/>
    </i>
    <i>
      <x/>
    </i>
    <i>
      <x v="129"/>
    </i>
    <i>
      <x v="111"/>
    </i>
    <i>
      <x v="28"/>
    </i>
    <i>
      <x v="125"/>
    </i>
    <i>
      <x v="41"/>
    </i>
    <i>
      <x v="152"/>
    </i>
    <i>
      <x v="170"/>
    </i>
    <i>
      <x v="124"/>
    </i>
    <i>
      <x v="168"/>
    </i>
    <i>
      <x v="92"/>
    </i>
    <i>
      <x v="73"/>
    </i>
    <i>
      <x v="149"/>
    </i>
    <i>
      <x v="126"/>
    </i>
    <i>
      <x v="114"/>
    </i>
    <i>
      <x v="133"/>
    </i>
    <i>
      <x v="1"/>
    </i>
    <i>
      <x v="69"/>
    </i>
    <i>
      <x v="155"/>
    </i>
    <i>
      <x v="102"/>
    </i>
    <i>
      <x v="58"/>
    </i>
    <i>
      <x v="38"/>
    </i>
    <i>
      <x v="113"/>
    </i>
    <i>
      <x v="2"/>
    </i>
    <i>
      <x v="166"/>
    </i>
    <i>
      <x v="72"/>
    </i>
    <i>
      <x v="83"/>
    </i>
    <i>
      <x v="48"/>
    </i>
    <i>
      <x v="138"/>
    </i>
    <i>
      <x v="142"/>
    </i>
    <i>
      <x v="137"/>
    </i>
    <i>
      <x v="64"/>
    </i>
    <i>
      <x v="75"/>
    </i>
    <i>
      <x v="165"/>
    </i>
    <i>
      <x v="78"/>
    </i>
    <i>
      <x v="56"/>
    </i>
    <i>
      <x v="45"/>
    </i>
    <i>
      <x v="157"/>
    </i>
    <i>
      <x v="106"/>
    </i>
    <i>
      <x v="30"/>
    </i>
    <i>
      <x v="167"/>
    </i>
    <i>
      <x v="131"/>
    </i>
    <i>
      <x v="161"/>
    </i>
    <i>
      <x v="80"/>
    </i>
    <i>
      <x v="47"/>
    </i>
    <i>
      <x v="21"/>
    </i>
    <i>
      <x v="97"/>
    </i>
    <i>
      <x v="140"/>
    </i>
    <i>
      <x v="94"/>
    </i>
    <i>
      <x v="60"/>
    </i>
    <i>
      <x v="88"/>
    </i>
    <i>
      <x v="6"/>
    </i>
    <i>
      <x v="121"/>
    </i>
    <i>
      <x v="57"/>
    </i>
    <i>
      <x v="136"/>
    </i>
    <i>
      <x v="127"/>
    </i>
    <i>
      <x v="87"/>
    </i>
    <i>
      <x v="19"/>
    </i>
    <i>
      <x v="35"/>
    </i>
    <i>
      <x v="59"/>
    </i>
    <i>
      <x v="9"/>
    </i>
    <i>
      <x v="141"/>
    </i>
    <i>
      <x v="98"/>
    </i>
    <i>
      <x v="13"/>
    </i>
    <i>
      <x v="44"/>
    </i>
    <i>
      <x v="70"/>
    </i>
    <i>
      <x v="4"/>
    </i>
    <i>
      <x v="90"/>
    </i>
    <i>
      <x v="117"/>
    </i>
    <i>
      <x v="61"/>
    </i>
    <i>
      <x v="31"/>
    </i>
    <i>
      <x v="52"/>
    </i>
    <i>
      <x v="79"/>
    </i>
    <i>
      <x v="96"/>
    </i>
    <i>
      <x v="24"/>
    </i>
    <i>
      <x v="66"/>
    </i>
    <i>
      <x v="33"/>
    </i>
    <i>
      <x v="65"/>
    </i>
    <i>
      <x v="53"/>
    </i>
    <i>
      <x v="3"/>
    </i>
    <i>
      <x v="148"/>
    </i>
    <i>
      <x v="147"/>
    </i>
    <i>
      <x v="29"/>
    </i>
    <i>
      <x v="153"/>
    </i>
    <i>
      <x v="20"/>
    </i>
    <i>
      <x v="12"/>
    </i>
    <i>
      <x v="18"/>
    </i>
    <i>
      <x v="118"/>
    </i>
    <i>
      <x v="14"/>
    </i>
    <i>
      <x v="50"/>
    </i>
    <i>
      <x v="77"/>
    </i>
    <i>
      <x v="116"/>
    </i>
    <i>
      <x v="115"/>
    </i>
    <i>
      <x v="139"/>
    </i>
    <i>
      <x v="43"/>
    </i>
    <i>
      <x v="123"/>
    </i>
    <i>
      <x v="10"/>
    </i>
    <i>
      <x v="71"/>
    </i>
    <i>
      <x v="107"/>
    </i>
    <i>
      <x v="5"/>
    </i>
    <i>
      <x v="84"/>
    </i>
    <i>
      <x v="130"/>
    </i>
    <i>
      <x v="91"/>
    </i>
    <i>
      <x v="68"/>
    </i>
    <i>
      <x v="27"/>
    </i>
    <i>
      <x v="63"/>
    </i>
    <i>
      <x v="104"/>
    </i>
    <i>
      <x v="7"/>
    </i>
    <i>
      <x v="162"/>
    </i>
    <i>
      <x v="100"/>
    </i>
    <i>
      <x v="34"/>
    </i>
    <i>
      <x v="101"/>
    </i>
    <i>
      <x v="55"/>
    </i>
    <i>
      <x v="143"/>
    </i>
    <i>
      <x v="112"/>
    </i>
    <i>
      <x v="132"/>
    </i>
    <i>
      <x v="76"/>
    </i>
    <i>
      <x v="37"/>
    </i>
    <i>
      <x v="160"/>
    </i>
    <i>
      <x v="144"/>
    </i>
    <i>
      <x v="74"/>
    </i>
    <i>
      <x v="22"/>
    </i>
    <i>
      <x v="86"/>
    </i>
    <i>
      <x v="110"/>
    </i>
    <i>
      <x v="46"/>
    </i>
    <i>
      <x v="25"/>
    </i>
    <i>
      <x v="15"/>
    </i>
    <i>
      <x v="146"/>
    </i>
    <i>
      <x v="158"/>
    </i>
    <i>
      <x v="26"/>
    </i>
    <i>
      <x v="89"/>
    </i>
    <i>
      <x v="103"/>
    </i>
    <i>
      <x v="163"/>
    </i>
    <i>
      <x v="164"/>
    </i>
    <i>
      <x v="135"/>
    </i>
    <i>
      <x v="17"/>
    </i>
    <i>
      <x v="122"/>
    </i>
    <i>
      <x v="159"/>
    </i>
    <i>
      <x v="51"/>
    </i>
    <i>
      <x v="169"/>
    </i>
    <i>
      <x v="62"/>
    </i>
    <i>
      <x v="42"/>
    </i>
    <i t="grand">
      <x/>
    </i>
  </rowItems>
  <colItems count="1">
    <i/>
  </colItems>
  <dataFields count="1">
    <dataField name="Average of price-in-pennies" fld="3" subtotal="average" baseField="16" baseItem="0" numFmtId="3"/>
  </dataFields>
  <pivotTableStyleInfo name="PivotStyleLight16" showRowHeaders="1" showColHeaders="1" showRowStripes="0" showColStripes="0" showLastColumn="1"/>
  <filters count="2">
    <filter fld="0" type="count" evalOrder="-1" id="3" iMeasureFld="0">
      <autoFilter ref="A1">
        <filterColumn colId="0">
          <top10 val="3" filterVal="3"/>
        </filterColumn>
      </autoFilter>
    </filter>
    <filter fld="3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5031A-DDA5-4803-897A-03719F3C942A}" name="Table1" displayName="Table1" ref="B3:D16" totalsRowShown="0" headerRowDxfId="52" tableBorderDxfId="51">
  <autoFilter ref="B3:D16" xr:uid="{5825031A-DDA5-4803-897A-03719F3C942A}"/>
  <tableColumns count="3">
    <tableColumn id="1" xr3:uid="{EC1622F4-1A5F-4671-89AF-FE83E0CEBADD}" name="Item #" dataDxfId="50"/>
    <tableColumn id="2" xr3:uid="{9BD27D20-F80D-4E32-843E-47217159F6D1}" name="Set">
      <calculatedColumnFormula>IF(B4="","",_xlfn.TEXTAFTER(_xlfn.XLOOKUP(B4,Collection!N:N,Collection!C:C,),"Cards "))</calculatedColumnFormula>
    </tableColumn>
    <tableColumn id="3" xr3:uid="{D249A894-9E0F-4F66-A675-36A761C944DA}" name="Name" dataDxfId="49">
      <calculatedColumnFormula>IF(B4="","",_xlfn.XLOOKUP($B4,Collection!$N:$N,Collection!B:B,))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0118857-25EC-40FE-92BA-5C760351DFCF}">
  <we:reference id="wa200011056" version="1.0.0.2" store="en-US" storeType="OMEX"/>
  <we:alternateReferences>
    <we:reference id="WA200011056" version="1.0.0.2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hatnot.com/order/9ER4Qs3djKVVj6qwbLpnAt" TargetMode="External"/><Relationship Id="rId21" Type="http://schemas.openxmlformats.org/officeDocument/2006/relationships/hyperlink" Target="https://www.whatnot.com/order/gS3Pko5Lnk9cRAzYzXbJeF" TargetMode="External"/><Relationship Id="rId42" Type="http://schemas.openxmlformats.org/officeDocument/2006/relationships/hyperlink" Target="https://www.whatnot.com/order/mjPJ8grwnTa5xjehNNp2Qq" TargetMode="External"/><Relationship Id="rId63" Type="http://schemas.openxmlformats.org/officeDocument/2006/relationships/hyperlink" Target="https://www.whatnot.com/order/RBy2pvRpcvEutM74HSJXng" TargetMode="External"/><Relationship Id="rId84" Type="http://schemas.openxmlformats.org/officeDocument/2006/relationships/hyperlink" Target="https://www.whatnot.com/order/3YdoTRkTxViD7gGBZ6h9iY" TargetMode="External"/><Relationship Id="rId138" Type="http://schemas.openxmlformats.org/officeDocument/2006/relationships/hyperlink" Target="https://www.whatnot.com/order/Mqc2Uuzq8b8WstsiTribsF" TargetMode="External"/><Relationship Id="rId159" Type="http://schemas.openxmlformats.org/officeDocument/2006/relationships/hyperlink" Target="https://www.whatnot.com/order/D6qPAHQXHsNLKzLT7qX4E9" TargetMode="External"/><Relationship Id="rId170" Type="http://schemas.openxmlformats.org/officeDocument/2006/relationships/hyperlink" Target="https://www.whatnot.com/order/CSc74WMGcYfB3JgNPoZSDt" TargetMode="External"/><Relationship Id="rId191" Type="http://schemas.openxmlformats.org/officeDocument/2006/relationships/hyperlink" Target="https://www.whatnot.com/order/K7zApfgiyGLvandFaboi4m" TargetMode="External"/><Relationship Id="rId205" Type="http://schemas.openxmlformats.org/officeDocument/2006/relationships/hyperlink" Target="https://www.whatnot.com/order/P5eomQCEnRNpF3D5NN6EjL" TargetMode="External"/><Relationship Id="rId107" Type="http://schemas.openxmlformats.org/officeDocument/2006/relationships/hyperlink" Target="https://www.whatnot.com/order/CcgKgfJ5nvryvvKXiQFRF3" TargetMode="External"/><Relationship Id="rId11" Type="http://schemas.openxmlformats.org/officeDocument/2006/relationships/hyperlink" Target="https://www.whatnot.com/order/o3mHoMSnpC2X8C3j6r4tiK" TargetMode="External"/><Relationship Id="rId32" Type="http://schemas.openxmlformats.org/officeDocument/2006/relationships/hyperlink" Target="https://www.whatnot.com/order/8DwoNWn73teh8obUuAY5eP" TargetMode="External"/><Relationship Id="rId53" Type="http://schemas.openxmlformats.org/officeDocument/2006/relationships/hyperlink" Target="https://www.whatnot.com/order/N3ommW2GZtgbdFUhrqPhaC" TargetMode="External"/><Relationship Id="rId74" Type="http://schemas.openxmlformats.org/officeDocument/2006/relationships/hyperlink" Target="https://www.whatnot.com/order/7eozouSEnosHtokHHfAAYH" TargetMode="External"/><Relationship Id="rId128" Type="http://schemas.openxmlformats.org/officeDocument/2006/relationships/hyperlink" Target="https://www.whatnot.com/order/jYo3VKPfAkNfdoPWbkE8fv" TargetMode="External"/><Relationship Id="rId149" Type="http://schemas.openxmlformats.org/officeDocument/2006/relationships/hyperlink" Target="https://www.whatnot.com/order/n7MxSz7PrCaHnYLU8dzQbP" TargetMode="External"/><Relationship Id="rId5" Type="http://schemas.openxmlformats.org/officeDocument/2006/relationships/hyperlink" Target="https://www.whatnot.com/order/JieocTtxhoCCzfkGLnBz49" TargetMode="External"/><Relationship Id="rId95" Type="http://schemas.openxmlformats.org/officeDocument/2006/relationships/hyperlink" Target="https://www.whatnot.com/order/moNYfWFRzgHft49zVDK7Ba" TargetMode="External"/><Relationship Id="rId160" Type="http://schemas.openxmlformats.org/officeDocument/2006/relationships/hyperlink" Target="https://www.whatnot.com/order/VQe2Xcgdk5QnGCBcwfuXsR" TargetMode="External"/><Relationship Id="rId181" Type="http://schemas.openxmlformats.org/officeDocument/2006/relationships/hyperlink" Target="https://www.whatnot.com/order/m58HF6hkjDzTFcY6dh42ZK" TargetMode="External"/><Relationship Id="rId216" Type="http://schemas.openxmlformats.org/officeDocument/2006/relationships/printerSettings" Target="../printerSettings/printerSettings1.bin"/><Relationship Id="rId22" Type="http://schemas.openxmlformats.org/officeDocument/2006/relationships/hyperlink" Target="https://www.whatnot.com/order/3L3ttnP3dWr4gppLFyVTfw" TargetMode="External"/><Relationship Id="rId43" Type="http://schemas.openxmlformats.org/officeDocument/2006/relationships/hyperlink" Target="https://www.whatnot.com/order/76LD29BivfBZrNXYeJq5xV" TargetMode="External"/><Relationship Id="rId64" Type="http://schemas.openxmlformats.org/officeDocument/2006/relationships/hyperlink" Target="https://www.whatnot.com/order/BgoaXMcouJPo8C7yxmzWdd" TargetMode="External"/><Relationship Id="rId118" Type="http://schemas.openxmlformats.org/officeDocument/2006/relationships/hyperlink" Target="https://www.whatnot.com/order/5X36yCiHaJsMeN64D6uPLA" TargetMode="External"/><Relationship Id="rId139" Type="http://schemas.openxmlformats.org/officeDocument/2006/relationships/hyperlink" Target="https://www.whatnot.com/order/nAEkrSA7yzkeKXKekwWJV7" TargetMode="External"/><Relationship Id="rId85" Type="http://schemas.openxmlformats.org/officeDocument/2006/relationships/hyperlink" Target="https://www.whatnot.com/order/5kGXwUf5RaGgQF2EFmu4H9" TargetMode="External"/><Relationship Id="rId150" Type="http://schemas.openxmlformats.org/officeDocument/2006/relationships/hyperlink" Target="https://www.whatnot.com/order/V3RCUewZwCDfiBZPvUE9Az" TargetMode="External"/><Relationship Id="rId171" Type="http://schemas.openxmlformats.org/officeDocument/2006/relationships/hyperlink" Target="https://www.whatnot.com/order/PH2i3WhAY5rePqutCdgM8c" TargetMode="External"/><Relationship Id="rId192" Type="http://schemas.openxmlformats.org/officeDocument/2006/relationships/hyperlink" Target="https://www.whatnot.com/order/oUotfyREdfzsNuUScDvio3" TargetMode="External"/><Relationship Id="rId206" Type="http://schemas.openxmlformats.org/officeDocument/2006/relationships/hyperlink" Target="https://www.whatnot.com/order/FqoWSgMi5fqLq2Bz7wgwQQ" TargetMode="External"/><Relationship Id="rId12" Type="http://schemas.openxmlformats.org/officeDocument/2006/relationships/hyperlink" Target="https://www.whatnot.com/order/3bymbw4YA5kuEYFfvvyWw2" TargetMode="External"/><Relationship Id="rId33" Type="http://schemas.openxmlformats.org/officeDocument/2006/relationships/hyperlink" Target="https://www.whatnot.com/order/ezSKfFW6zDG5UWaRKJYAXA" TargetMode="External"/><Relationship Id="rId108" Type="http://schemas.openxmlformats.org/officeDocument/2006/relationships/hyperlink" Target="https://www.whatnot.com/order/CcgKgfJ5nvryvvKXiQFRF3" TargetMode="External"/><Relationship Id="rId129" Type="http://schemas.openxmlformats.org/officeDocument/2006/relationships/hyperlink" Target="https://www.whatnot.com/order/mnN4d6f44iDgHmgaGRqhz9" TargetMode="External"/><Relationship Id="rId54" Type="http://schemas.openxmlformats.org/officeDocument/2006/relationships/hyperlink" Target="https://www.whatnot.com/order/N3ommW2GZtgbdFUhrqPhaC" TargetMode="External"/><Relationship Id="rId75" Type="http://schemas.openxmlformats.org/officeDocument/2006/relationships/hyperlink" Target="https://www.whatnot.com/order/6GpfoWGnD4i8UVt4E9YZb3" TargetMode="External"/><Relationship Id="rId96" Type="http://schemas.openxmlformats.org/officeDocument/2006/relationships/hyperlink" Target="https://www.whatnot.com/order/3GyMAAaJhKT35PtSFFmp7M" TargetMode="External"/><Relationship Id="rId140" Type="http://schemas.openxmlformats.org/officeDocument/2006/relationships/hyperlink" Target="https://www.whatnot.com/order/Mqc2Uuzq8b8WstsiTribsF" TargetMode="External"/><Relationship Id="rId161" Type="http://schemas.openxmlformats.org/officeDocument/2006/relationships/hyperlink" Target="https://www.whatnot.com/order/dreE2xdZz6eNaRJPKmkUNj" TargetMode="External"/><Relationship Id="rId182" Type="http://schemas.openxmlformats.org/officeDocument/2006/relationships/hyperlink" Target="https://www.ebay.com/itm/318340938096" TargetMode="External"/><Relationship Id="rId6" Type="http://schemas.openxmlformats.org/officeDocument/2006/relationships/hyperlink" Target="https://www.whatnot.com/order/YdoZr7RTzDToYz6PByf22R" TargetMode="External"/><Relationship Id="rId23" Type="http://schemas.openxmlformats.org/officeDocument/2006/relationships/hyperlink" Target="https://www.whatnot.com/order/iCNDrAZ6Wd9xsmW5GPkgEJ" TargetMode="External"/><Relationship Id="rId119" Type="http://schemas.openxmlformats.org/officeDocument/2006/relationships/hyperlink" Target="https://www.whatnot.com/order/9ER4Qs3djKVVj6qwbLpnAt" TargetMode="External"/><Relationship Id="rId44" Type="http://schemas.openxmlformats.org/officeDocument/2006/relationships/hyperlink" Target="https://www.whatnot.com/order/4QyCs9xsuozDF4z5kAMs7r" TargetMode="External"/><Relationship Id="rId65" Type="http://schemas.openxmlformats.org/officeDocument/2006/relationships/hyperlink" Target="https://www.whatnot.com/order/6ARC4WVoNn7Q6k5D2EzpXQ" TargetMode="External"/><Relationship Id="rId86" Type="http://schemas.openxmlformats.org/officeDocument/2006/relationships/hyperlink" Target="https://www.whatnot.com/order/NiQA8q5w6tCKyhf9dhniXs" TargetMode="External"/><Relationship Id="rId130" Type="http://schemas.openxmlformats.org/officeDocument/2006/relationships/hyperlink" Target="https://www.whatnot.com/order/am68o5TGkfds6VHNQLbuH7" TargetMode="External"/><Relationship Id="rId151" Type="http://schemas.openxmlformats.org/officeDocument/2006/relationships/hyperlink" Target="https://www.whatnot.com/order/adbiydZbLLFo8x6jprPUeB" TargetMode="External"/><Relationship Id="rId172" Type="http://schemas.openxmlformats.org/officeDocument/2006/relationships/hyperlink" Target="https://www.whatnot.com/order/GhBCHwczCmrh6F7iQjEyTX" TargetMode="External"/><Relationship Id="rId193" Type="http://schemas.openxmlformats.org/officeDocument/2006/relationships/hyperlink" Target="https://www.whatnot.com/order/GMJptoiQKCNjk4Pv5GF4bQ" TargetMode="External"/><Relationship Id="rId207" Type="http://schemas.openxmlformats.org/officeDocument/2006/relationships/hyperlink" Target="https://www.whatnot.com/order/LGPnRNkgKGF9RMDyPrydES" TargetMode="External"/><Relationship Id="rId13" Type="http://schemas.openxmlformats.org/officeDocument/2006/relationships/hyperlink" Target="https://www.whatnot.com/order/ATFJnWBvkv75frTYPbgk5o" TargetMode="External"/><Relationship Id="rId109" Type="http://schemas.openxmlformats.org/officeDocument/2006/relationships/hyperlink" Target="https://www.whatnot.com/order/CcgKgfJ5nvryvvKXiQFRF3" TargetMode="External"/><Relationship Id="rId34" Type="http://schemas.openxmlformats.org/officeDocument/2006/relationships/hyperlink" Target="https://www.whatnot.com/order/Xz3tx8zp8BHqHykj7qkN3x" TargetMode="External"/><Relationship Id="rId55" Type="http://schemas.openxmlformats.org/officeDocument/2006/relationships/hyperlink" Target="https://www.whatnot.com/order/N3ommW2GZtgbdFUhrqPhaC" TargetMode="External"/><Relationship Id="rId76" Type="http://schemas.openxmlformats.org/officeDocument/2006/relationships/hyperlink" Target="https://www.whatnot.com/order/kPmzHw359b76wtiBHv2d7E" TargetMode="External"/><Relationship Id="rId97" Type="http://schemas.openxmlformats.org/officeDocument/2006/relationships/hyperlink" Target="https://www.whatnot.com/order/jrU4Q7xp5yH4tmGayj7YpY" TargetMode="External"/><Relationship Id="rId120" Type="http://schemas.openxmlformats.org/officeDocument/2006/relationships/hyperlink" Target="https://www.whatnot.com/order/TYnJSjGYYq23Mb9UWhC6Xk" TargetMode="External"/><Relationship Id="rId141" Type="http://schemas.openxmlformats.org/officeDocument/2006/relationships/hyperlink" Target="https://www.whatnot.com/order/F54vujG64TkcHYp4KU7RHA" TargetMode="External"/><Relationship Id="rId7" Type="http://schemas.openxmlformats.org/officeDocument/2006/relationships/hyperlink" Target="https://www.whatnot.com/order/fsZrqS9c5o3n2dqHjHqttF" TargetMode="External"/><Relationship Id="rId162" Type="http://schemas.openxmlformats.org/officeDocument/2006/relationships/hyperlink" Target="https://www.whatnot.com/order/EUA4Ax5q4f9gC5Gv9mTsGc" TargetMode="External"/><Relationship Id="rId183" Type="http://schemas.openxmlformats.org/officeDocument/2006/relationships/hyperlink" Target="https://www.whatnot.com/order/P6hZiMYk2ffSa8sLEMVeWQ" TargetMode="External"/><Relationship Id="rId24" Type="http://schemas.openxmlformats.org/officeDocument/2006/relationships/hyperlink" Target="https://www.whatnot.com/order/WpUhCqurDhocnQw9kQLniM" TargetMode="External"/><Relationship Id="rId45" Type="http://schemas.openxmlformats.org/officeDocument/2006/relationships/hyperlink" Target="https://www.whatnot.com/order/m4fEeiDTAEFP5LnXvHdGVx" TargetMode="External"/><Relationship Id="rId66" Type="http://schemas.openxmlformats.org/officeDocument/2006/relationships/hyperlink" Target="https://www.whatnot.com/order/RykinryybXh9vCb6txwXKc" TargetMode="External"/><Relationship Id="rId87" Type="http://schemas.openxmlformats.org/officeDocument/2006/relationships/hyperlink" Target="https://www.whatnot.com/order/j2EYygrNpCqyDssAM2UmwS" TargetMode="External"/><Relationship Id="rId110" Type="http://schemas.openxmlformats.org/officeDocument/2006/relationships/hyperlink" Target="https://www.whatnot.com/order/CcgKgfJ5nvryvvKXiQFRF3" TargetMode="External"/><Relationship Id="rId131" Type="http://schemas.openxmlformats.org/officeDocument/2006/relationships/hyperlink" Target="https://www.whatnot.com/order/jsA2rRdn9VNgmytpu33ezw" TargetMode="External"/><Relationship Id="rId152" Type="http://schemas.openxmlformats.org/officeDocument/2006/relationships/hyperlink" Target="https://www.whatnot.com/order/Z2R37fViUKxpmERP7PNyqv" TargetMode="External"/><Relationship Id="rId173" Type="http://schemas.openxmlformats.org/officeDocument/2006/relationships/hyperlink" Target="https://www.whatnot.com/order/GhBCHwczCmrh6F7iQjEyTX" TargetMode="External"/><Relationship Id="rId194" Type="http://schemas.openxmlformats.org/officeDocument/2006/relationships/hyperlink" Target="https://www.whatnot.com/order/2Nc9bVsk5chVoBa3qBE7ru" TargetMode="External"/><Relationship Id="rId208" Type="http://schemas.openxmlformats.org/officeDocument/2006/relationships/hyperlink" Target="https://www.whatnot.com/order/n8cE95JzPotDagv8zS8364" TargetMode="External"/><Relationship Id="rId19" Type="http://schemas.openxmlformats.org/officeDocument/2006/relationships/hyperlink" Target="https://www.whatnot.com/order/cJNMnCPndL2PTYmXUShR4H" TargetMode="External"/><Relationship Id="rId14" Type="http://schemas.openxmlformats.org/officeDocument/2006/relationships/hyperlink" Target="https://www.whatnot.com/order/R4eDqBQtSQwNRiU33sZje5" TargetMode="External"/><Relationship Id="rId30" Type="http://schemas.openxmlformats.org/officeDocument/2006/relationships/hyperlink" Target="https://www.whatnot.com/order/9Nw32iaBQX4B786bgpSBCs" TargetMode="External"/><Relationship Id="rId35" Type="http://schemas.openxmlformats.org/officeDocument/2006/relationships/hyperlink" Target="https://www.whatnot.com/order/THjJHwGpnJ2cNFaSnvcckW" TargetMode="External"/><Relationship Id="rId56" Type="http://schemas.openxmlformats.org/officeDocument/2006/relationships/hyperlink" Target="https://www.whatnot.com/order/N3ommW2GZtgbdFUhrqPhaC" TargetMode="External"/><Relationship Id="rId77" Type="http://schemas.openxmlformats.org/officeDocument/2006/relationships/hyperlink" Target="https://www.whatnot.com/order/RtJrQKBCiEPUi9krGFqsyU" TargetMode="External"/><Relationship Id="rId100" Type="http://schemas.openxmlformats.org/officeDocument/2006/relationships/hyperlink" Target="https://www.whatnot.com/order/m7u6JPnkRPdg3KPtvFYypQ" TargetMode="External"/><Relationship Id="rId105" Type="http://schemas.openxmlformats.org/officeDocument/2006/relationships/hyperlink" Target="https://www.whatnot.com/order/247xYh6aYVcwWApNwxFJY9" TargetMode="External"/><Relationship Id="rId126" Type="http://schemas.openxmlformats.org/officeDocument/2006/relationships/hyperlink" Target="https://www.whatnot.com/order/LWb3sBpSSuKkKt2ouhdoxo" TargetMode="External"/><Relationship Id="rId147" Type="http://schemas.openxmlformats.org/officeDocument/2006/relationships/hyperlink" Target="https://order.ebay.com/ord/show?orderId=04-14670-36767&amp;purchaseOrderId=04-1467-036766" TargetMode="External"/><Relationship Id="rId168" Type="http://schemas.openxmlformats.org/officeDocument/2006/relationships/hyperlink" Target="https://www.whatnot.com/order/kHRrZndL3pVg4oJEbysd7V" TargetMode="External"/><Relationship Id="rId8" Type="http://schemas.openxmlformats.org/officeDocument/2006/relationships/hyperlink" Target="https://www.whatnot.com/order/XWP5KdeeCdt8TKjdVmH5ek" TargetMode="External"/><Relationship Id="rId51" Type="http://schemas.openxmlformats.org/officeDocument/2006/relationships/hyperlink" Target="https://www.whatnot.com/order/N3ommW2GZtgbdFUhrqPhaC" TargetMode="External"/><Relationship Id="rId72" Type="http://schemas.openxmlformats.org/officeDocument/2006/relationships/hyperlink" Target="https://www.whatnot.com/order/3HUXgbQpXQ3HpVzdfDiwuW" TargetMode="External"/><Relationship Id="rId93" Type="http://schemas.openxmlformats.org/officeDocument/2006/relationships/hyperlink" Target="https://www.whatnot.com/order/iKMuPET2uvNEWaxZSPrWvT" TargetMode="External"/><Relationship Id="rId98" Type="http://schemas.openxmlformats.org/officeDocument/2006/relationships/hyperlink" Target="https://www.whatnot.com/order/QmxKqJw97MkWL4F4CV22QD" TargetMode="External"/><Relationship Id="rId121" Type="http://schemas.openxmlformats.org/officeDocument/2006/relationships/hyperlink" Target="https://www.whatnot.com/order/V4B7eTMpR47RKMGyDdYHuc" TargetMode="External"/><Relationship Id="rId142" Type="http://schemas.openxmlformats.org/officeDocument/2006/relationships/hyperlink" Target="https://www.whatnot.com/order/nAEkrSA7yzkeKXKekwWJV7" TargetMode="External"/><Relationship Id="rId163" Type="http://schemas.openxmlformats.org/officeDocument/2006/relationships/hyperlink" Target="https://www.whatnot.com/order/3x7P2iegqgUTYbwc6HCeds" TargetMode="External"/><Relationship Id="rId184" Type="http://schemas.openxmlformats.org/officeDocument/2006/relationships/hyperlink" Target="https://www.whatnot.com/order/7VZY5sQpFk5DrwK9rEPwjj" TargetMode="External"/><Relationship Id="rId189" Type="http://schemas.openxmlformats.org/officeDocument/2006/relationships/hyperlink" Target="https://www.whatnot.com/order/G3juFLZYNkeyx8YHXhJCeR" TargetMode="External"/><Relationship Id="rId3" Type="http://schemas.openxmlformats.org/officeDocument/2006/relationships/hyperlink" Target="https://www.whatnot.com/order/7TdKSNvxiGa3Bt8dCiKKbe" TargetMode="External"/><Relationship Id="rId214" Type="http://schemas.openxmlformats.org/officeDocument/2006/relationships/hyperlink" Target="https://www.ebay.com/itm/327090226621" TargetMode="External"/><Relationship Id="rId25" Type="http://schemas.openxmlformats.org/officeDocument/2006/relationships/hyperlink" Target="https://www.whatnot.com/order/84EtWmjxZp84PtP5CNdWys" TargetMode="External"/><Relationship Id="rId46" Type="http://schemas.openxmlformats.org/officeDocument/2006/relationships/hyperlink" Target="https://www.whatnot.com/order/9Nw32iaBQX4B786bgpSBCs" TargetMode="External"/><Relationship Id="rId67" Type="http://schemas.openxmlformats.org/officeDocument/2006/relationships/hyperlink" Target="https://www.whatnot.com/order/5scJ87fFG7iaQkajYWq4bV" TargetMode="External"/><Relationship Id="rId116" Type="http://schemas.openxmlformats.org/officeDocument/2006/relationships/hyperlink" Target="https://www.whatnot.com/order/BxpSgRamxcouLJ5UoJeEaP" TargetMode="External"/><Relationship Id="rId137" Type="http://schemas.openxmlformats.org/officeDocument/2006/relationships/hyperlink" Target="https://www.whatnot.com/order/A7skqPgdXNgH85B2zYMLjL" TargetMode="External"/><Relationship Id="rId158" Type="http://schemas.openxmlformats.org/officeDocument/2006/relationships/hyperlink" Target="https://www.whatnot.com/order/gKVf7ZXT8eYzYEJbDN84nY" TargetMode="External"/><Relationship Id="rId20" Type="http://schemas.openxmlformats.org/officeDocument/2006/relationships/hyperlink" Target="https://www.whatnot.com/order/MBKbDgY5r4SpwfRrdpBamt" TargetMode="External"/><Relationship Id="rId41" Type="http://schemas.openxmlformats.org/officeDocument/2006/relationships/hyperlink" Target="https://www.whatnot.com/order/CyF3nZr4GRuqeEQwgYCVcq" TargetMode="External"/><Relationship Id="rId62" Type="http://schemas.openxmlformats.org/officeDocument/2006/relationships/hyperlink" Target="https://www.whatnot.com/order/WKa7ntNswTBEf2VahSBtgB" TargetMode="External"/><Relationship Id="rId83" Type="http://schemas.openxmlformats.org/officeDocument/2006/relationships/hyperlink" Target="https://www.whatnot.com/order/dxXz2Jyt4MAZh5PgRPhA2e" TargetMode="External"/><Relationship Id="rId88" Type="http://schemas.openxmlformats.org/officeDocument/2006/relationships/hyperlink" Target="https://www.whatnot.com/order/RzUW8ZqubfD3RCjL2VoBop" TargetMode="External"/><Relationship Id="rId111" Type="http://schemas.openxmlformats.org/officeDocument/2006/relationships/hyperlink" Target="https://www.whatnot.com/order/CcgKgfJ5nvryvvKXiQFRF3" TargetMode="External"/><Relationship Id="rId132" Type="http://schemas.openxmlformats.org/officeDocument/2006/relationships/hyperlink" Target="https://www.whatnot.com/order/XsHDMZLVpnSHsbkfHPdiii" TargetMode="External"/><Relationship Id="rId153" Type="http://schemas.openxmlformats.org/officeDocument/2006/relationships/hyperlink" Target="https://www.whatnot.com/order/QxNucFNxSrMWbb9wNao39X" TargetMode="External"/><Relationship Id="rId174" Type="http://schemas.openxmlformats.org/officeDocument/2006/relationships/hyperlink" Target="https://www.whatnot.com/order/NMxKJ4hE9QKucKgDpADrjE" TargetMode="External"/><Relationship Id="rId179" Type="http://schemas.openxmlformats.org/officeDocument/2006/relationships/hyperlink" Target="https://www.whatnot.com/order/dyEnQ5ykexmH9Y87DbAujo" TargetMode="External"/><Relationship Id="rId195" Type="http://schemas.openxmlformats.org/officeDocument/2006/relationships/hyperlink" Target="https://www.whatnot.com/order/4zv9Y8T8uHjVEzhSWdVnjf" TargetMode="External"/><Relationship Id="rId209" Type="http://schemas.openxmlformats.org/officeDocument/2006/relationships/hyperlink" Target="https://www.whatnot.com/order/JCCEshFbNE7KuEUh3Kjd6B" TargetMode="External"/><Relationship Id="rId190" Type="http://schemas.openxmlformats.org/officeDocument/2006/relationships/hyperlink" Target="https://www.whatnot.com/order/eZzEmrYrFPTX2ciq7zw7Hi" TargetMode="External"/><Relationship Id="rId204" Type="http://schemas.openxmlformats.org/officeDocument/2006/relationships/hyperlink" Target="https://www.whatnot.com/order/4RxtebDXfZf5YY3okyKSu4" TargetMode="External"/><Relationship Id="rId15" Type="http://schemas.openxmlformats.org/officeDocument/2006/relationships/hyperlink" Target="https://www.whatnot.com/order/6QdgQ3vUdPh6pHE5WaqAmr" TargetMode="External"/><Relationship Id="rId36" Type="http://schemas.openxmlformats.org/officeDocument/2006/relationships/hyperlink" Target="https://www.whatnot.com/order/EifBu6qeaD4paxGVjbK2N2" TargetMode="External"/><Relationship Id="rId57" Type="http://schemas.openxmlformats.org/officeDocument/2006/relationships/hyperlink" Target="https://www.whatnot.com/order/8DwoNWn73teh8obUuAY5eP" TargetMode="External"/><Relationship Id="rId106" Type="http://schemas.openxmlformats.org/officeDocument/2006/relationships/hyperlink" Target="https://www.whatnot.com/order/ERNzPGDtKT3NBd3m26uHUb" TargetMode="External"/><Relationship Id="rId127" Type="http://schemas.openxmlformats.org/officeDocument/2006/relationships/hyperlink" Target="https://www.whatnot.com/order/2TyjnBKs5xc9uWHYUQd9fu" TargetMode="External"/><Relationship Id="rId10" Type="http://schemas.openxmlformats.org/officeDocument/2006/relationships/hyperlink" Target="https://www.whatnot.com/order/HWhpJLX6J4h4DZZVCaeVYr" TargetMode="External"/><Relationship Id="rId31" Type="http://schemas.openxmlformats.org/officeDocument/2006/relationships/hyperlink" Target="https://www.whatnot.com/order/N3ommW2GZtgbdFUhrqPhaC" TargetMode="External"/><Relationship Id="rId52" Type="http://schemas.openxmlformats.org/officeDocument/2006/relationships/hyperlink" Target="https://www.whatnot.com/order/N3ommW2GZtgbdFUhrqPhaC" TargetMode="External"/><Relationship Id="rId73" Type="http://schemas.openxmlformats.org/officeDocument/2006/relationships/hyperlink" Target="https://www.whatnot.com/order/YSnqxDb4AmM3M6XH7veFMz" TargetMode="External"/><Relationship Id="rId78" Type="http://schemas.openxmlformats.org/officeDocument/2006/relationships/hyperlink" Target="https://www.whatnot.com/order/LzxCN3kkWJX8nCqy8qr5nU" TargetMode="External"/><Relationship Id="rId94" Type="http://schemas.openxmlformats.org/officeDocument/2006/relationships/hyperlink" Target="https://www.whatnot.com/order/eYoXvD5HkSQiYCAdyKw6ww" TargetMode="External"/><Relationship Id="rId99" Type="http://schemas.openxmlformats.org/officeDocument/2006/relationships/hyperlink" Target="https://www.whatnot.com/order/RkyA6Bkpg2Bd9SGH2hZzTu" TargetMode="External"/><Relationship Id="rId101" Type="http://schemas.openxmlformats.org/officeDocument/2006/relationships/hyperlink" Target="https://www.whatnot.com/order/CcgKgfJ5nvryvvKXiQFRF3" TargetMode="External"/><Relationship Id="rId122" Type="http://schemas.openxmlformats.org/officeDocument/2006/relationships/hyperlink" Target="https://www.whatnot.com/order/nf6DKG4X4BE3RvCtyQDywr" TargetMode="External"/><Relationship Id="rId143" Type="http://schemas.openxmlformats.org/officeDocument/2006/relationships/hyperlink" Target="https://www.whatnot.com/order/Mqc2Uuzq8b8WstsiTribsF" TargetMode="External"/><Relationship Id="rId148" Type="http://schemas.openxmlformats.org/officeDocument/2006/relationships/hyperlink" Target="https://www.whatnot.com/order/QCeWrxwuLDSmy5kirafwrW" TargetMode="External"/><Relationship Id="rId164" Type="http://schemas.openxmlformats.org/officeDocument/2006/relationships/hyperlink" Target="https://www.whatnot.com/order/4qGFB5WJq67f7VePPgdKVK" TargetMode="External"/><Relationship Id="rId169" Type="http://schemas.openxmlformats.org/officeDocument/2006/relationships/hyperlink" Target="https://www.whatnot.com/order/RVD5hkPMoaUK4my4SPSKiQ" TargetMode="External"/><Relationship Id="rId185" Type="http://schemas.openxmlformats.org/officeDocument/2006/relationships/hyperlink" Target="https://www.whatnot.com/order/LtProdm8r5emdZKY3kad4A" TargetMode="External"/><Relationship Id="rId4" Type="http://schemas.openxmlformats.org/officeDocument/2006/relationships/hyperlink" Target="https://www.whatnot.com/order/UfG2uFVzbc3XCQZDoAnZnQ" TargetMode="External"/><Relationship Id="rId9" Type="http://schemas.openxmlformats.org/officeDocument/2006/relationships/hyperlink" Target="https://www.whatnot.com/order/hQVu9JLwFefwSJcu3QwY6E" TargetMode="External"/><Relationship Id="rId180" Type="http://schemas.openxmlformats.org/officeDocument/2006/relationships/hyperlink" Target="https://www.whatnot.com/order/PNUZ8xoNGjttcd6JcMryzd" TargetMode="External"/><Relationship Id="rId210" Type="http://schemas.openxmlformats.org/officeDocument/2006/relationships/hyperlink" Target="https://www.ebay.com/itm/800134310592" TargetMode="External"/><Relationship Id="rId215" Type="http://schemas.openxmlformats.org/officeDocument/2006/relationships/hyperlink" Target="https://www.ebay.com/itm/327090226621" TargetMode="External"/><Relationship Id="rId26" Type="http://schemas.openxmlformats.org/officeDocument/2006/relationships/hyperlink" Target="https://www.whatnot.com/order/jhwwvPX5xZkZWVs8CGhFXe" TargetMode="External"/><Relationship Id="rId47" Type="http://schemas.openxmlformats.org/officeDocument/2006/relationships/hyperlink" Target="https://www.whatnot.com/order/9Nw32iaBQX4B786bgpSBCs" TargetMode="External"/><Relationship Id="rId68" Type="http://schemas.openxmlformats.org/officeDocument/2006/relationships/hyperlink" Target="https://www.whatnot.com/order/U4wUV4wsrmJG4Ko5kpcCWo" TargetMode="External"/><Relationship Id="rId89" Type="http://schemas.openxmlformats.org/officeDocument/2006/relationships/hyperlink" Target="https://www.whatnot.com/order/dXNnRDYZ4XQd5syXTuJfHb" TargetMode="External"/><Relationship Id="rId112" Type="http://schemas.openxmlformats.org/officeDocument/2006/relationships/hyperlink" Target="https://www.whatnot.com/order/bjbSDowQ8rwtKXCHzkacVp" TargetMode="External"/><Relationship Id="rId133" Type="http://schemas.openxmlformats.org/officeDocument/2006/relationships/hyperlink" Target="https://www.whatnot.com/order/95MtnSosyaYoiaS3Fs9P9f" TargetMode="External"/><Relationship Id="rId154" Type="http://schemas.openxmlformats.org/officeDocument/2006/relationships/hyperlink" Target="https://www.whatnot.com/order/FPqEc5jV3NSTjBSSKH6SCF" TargetMode="External"/><Relationship Id="rId175" Type="http://schemas.openxmlformats.org/officeDocument/2006/relationships/hyperlink" Target="https://www.whatnot.com/order/NMxKJ4hE9QKucKgDpADrjE" TargetMode="External"/><Relationship Id="rId196" Type="http://schemas.openxmlformats.org/officeDocument/2006/relationships/hyperlink" Target="https://www.whatnot.com/order/j5AumEDPb4dAWPPgEGjD26" TargetMode="External"/><Relationship Id="rId200" Type="http://schemas.openxmlformats.org/officeDocument/2006/relationships/hyperlink" Target="https://www.whatnot.com/order/GMJptoiQKCNjk4Pv5GF4bQ" TargetMode="External"/><Relationship Id="rId16" Type="http://schemas.openxmlformats.org/officeDocument/2006/relationships/hyperlink" Target="https://www.whatnot.com/order/Hqs3wb8GAkuyHj9LA3xEdv" TargetMode="External"/><Relationship Id="rId37" Type="http://schemas.openxmlformats.org/officeDocument/2006/relationships/hyperlink" Target="https://www.whatnot.com/order/jUyUBmgt9rDM2xSirWQMVK" TargetMode="External"/><Relationship Id="rId58" Type="http://schemas.openxmlformats.org/officeDocument/2006/relationships/hyperlink" Target="https://www.whatnot.com/order/8DwoNWn73teh8obUuAY5eP" TargetMode="External"/><Relationship Id="rId79" Type="http://schemas.openxmlformats.org/officeDocument/2006/relationships/hyperlink" Target="https://www.whatnot.com/order/Qz7U5ppnESxTUaQq9NtVok" TargetMode="External"/><Relationship Id="rId102" Type="http://schemas.openxmlformats.org/officeDocument/2006/relationships/hyperlink" Target="https://www.whatnot.com/order/NKDpWFDEF9zthvWQGx6hjv" TargetMode="External"/><Relationship Id="rId123" Type="http://schemas.openxmlformats.org/officeDocument/2006/relationships/hyperlink" Target="https://www.whatnot.com/order/ZtB4ZVd8p4oiJnLmAJs7tz" TargetMode="External"/><Relationship Id="rId144" Type="http://schemas.openxmlformats.org/officeDocument/2006/relationships/hyperlink" Target="https://www.whatnot.com/order/Kd3DTS6aAunowd6ZnJ4KTS" TargetMode="External"/><Relationship Id="rId90" Type="http://schemas.openxmlformats.org/officeDocument/2006/relationships/hyperlink" Target="https://www.whatnot.com/order/4LCZQZfaVVhJG2pKsSRhXY" TargetMode="External"/><Relationship Id="rId165" Type="http://schemas.openxmlformats.org/officeDocument/2006/relationships/hyperlink" Target="https://www.whatnot.com/order/4qGFB5WJq67f7VePPgdKVK" TargetMode="External"/><Relationship Id="rId186" Type="http://schemas.openxmlformats.org/officeDocument/2006/relationships/hyperlink" Target="https://www.whatnot.com/order/Z82h48WoJ3uJcg9xAmSGSz" TargetMode="External"/><Relationship Id="rId211" Type="http://schemas.openxmlformats.org/officeDocument/2006/relationships/hyperlink" Target="https://www.amazon.com/your-orders/order-details?orderID=111-2378555-0038643&amp;ref=ppx_yo2ov_dt_b_fed_order_details" TargetMode="External"/><Relationship Id="rId27" Type="http://schemas.openxmlformats.org/officeDocument/2006/relationships/hyperlink" Target="https://www.whatnot.com/order/ZQa92YACdaqMGpqFzdMcVG" TargetMode="External"/><Relationship Id="rId48" Type="http://schemas.openxmlformats.org/officeDocument/2006/relationships/hyperlink" Target="https://www.whatnot.com/order/9Nw32iaBQX4B786bgpSBCs" TargetMode="External"/><Relationship Id="rId69" Type="http://schemas.openxmlformats.org/officeDocument/2006/relationships/hyperlink" Target="https://www.whatnot.com/order/6AEw6dYtHHV2b8pbZH8HLX" TargetMode="External"/><Relationship Id="rId113" Type="http://schemas.openxmlformats.org/officeDocument/2006/relationships/hyperlink" Target="https://www.whatnot.com/order/YAUQiahE9jPotBCmxaNkUS" TargetMode="External"/><Relationship Id="rId134" Type="http://schemas.openxmlformats.org/officeDocument/2006/relationships/hyperlink" Target="https://www.whatnot.com/order/Gposmhs3UPw2tTSYYRaxZp" TargetMode="External"/><Relationship Id="rId80" Type="http://schemas.openxmlformats.org/officeDocument/2006/relationships/hyperlink" Target="https://www.whatnot.com/order/AFcBHwTXfggkzDpK3hRwdb" TargetMode="External"/><Relationship Id="rId155" Type="http://schemas.openxmlformats.org/officeDocument/2006/relationships/hyperlink" Target="https://www.whatnot.com/order/UJkddQRLVRPS28Tdsjeg99" TargetMode="External"/><Relationship Id="rId176" Type="http://schemas.openxmlformats.org/officeDocument/2006/relationships/hyperlink" Target="https://www.whatnot.com/order/cav4UM3BapHtzDbW3nupgs" TargetMode="External"/><Relationship Id="rId197" Type="http://schemas.openxmlformats.org/officeDocument/2006/relationships/hyperlink" Target="https://www.whatnot.com/order/G3juFLZYNkeyx8YHXhJCeR" TargetMode="External"/><Relationship Id="rId201" Type="http://schemas.openxmlformats.org/officeDocument/2006/relationships/hyperlink" Target="https://www.whatnot.com/order/2Nc9bVsk5chVoBa3qBE7ru" TargetMode="External"/><Relationship Id="rId17" Type="http://schemas.openxmlformats.org/officeDocument/2006/relationships/hyperlink" Target="https://www.whatnot.com/order/Wurw4zw2wFBAE84zbwVyWp" TargetMode="External"/><Relationship Id="rId38" Type="http://schemas.openxmlformats.org/officeDocument/2006/relationships/hyperlink" Target="https://www.whatnot.com/order/o8pD2uRJ2uJBZu72TvBaqn" TargetMode="External"/><Relationship Id="rId59" Type="http://schemas.openxmlformats.org/officeDocument/2006/relationships/hyperlink" Target="https://www.whatnot.com/order/8DwoNWn73teh8obUuAY5eP" TargetMode="External"/><Relationship Id="rId103" Type="http://schemas.openxmlformats.org/officeDocument/2006/relationships/hyperlink" Target="https://www.whatnot.com/order/b7cw23wZQThBVqdCqhgC7j" TargetMode="External"/><Relationship Id="rId124" Type="http://schemas.openxmlformats.org/officeDocument/2006/relationships/hyperlink" Target="https://www.whatnot.com/order/F54vujG64TkcHYp4KU7RHA" TargetMode="External"/><Relationship Id="rId70" Type="http://schemas.openxmlformats.org/officeDocument/2006/relationships/hyperlink" Target="https://www.whatnot.com/order/6aFhbaxuXeTPJA8aZNx5Bj" TargetMode="External"/><Relationship Id="rId91" Type="http://schemas.openxmlformats.org/officeDocument/2006/relationships/hyperlink" Target="https://www.whatnot.com/order/MyYjybCzWUdYQZ5Nmcqzid" TargetMode="External"/><Relationship Id="rId145" Type="http://schemas.openxmlformats.org/officeDocument/2006/relationships/hyperlink" Target="https://www.whatnot.com/order/cVAH6c2Ha2VVKr4oHxHUDo" TargetMode="External"/><Relationship Id="rId166" Type="http://schemas.openxmlformats.org/officeDocument/2006/relationships/hyperlink" Target="https://www.whatnot.com/order/4RxtebDXfZf5YY3okyKSu4" TargetMode="External"/><Relationship Id="rId187" Type="http://schemas.openxmlformats.org/officeDocument/2006/relationships/hyperlink" Target="https://www.whatnot.com/order/BqMdVKL98MMvHMvRADiqy8" TargetMode="External"/><Relationship Id="rId1" Type="http://schemas.openxmlformats.org/officeDocument/2006/relationships/pivotTable" Target="../pivotTables/pivotTable1.xml"/><Relationship Id="rId212" Type="http://schemas.openxmlformats.org/officeDocument/2006/relationships/hyperlink" Target="https://www.amazon.com/your-orders/order-details?orderID=111-1931934-6931434&amp;ref=ppx_yo2ov_dt_b_fed_order_details" TargetMode="External"/><Relationship Id="rId28" Type="http://schemas.openxmlformats.org/officeDocument/2006/relationships/hyperlink" Target="https://www.whatnot.com/order/9ki7HURGVDFpQYLubozunU" TargetMode="External"/><Relationship Id="rId49" Type="http://schemas.openxmlformats.org/officeDocument/2006/relationships/hyperlink" Target="https://www.whatnot.com/order/N3ommW2GZtgbdFUhrqPhaC" TargetMode="External"/><Relationship Id="rId114" Type="http://schemas.openxmlformats.org/officeDocument/2006/relationships/hyperlink" Target="https://www.whatnot.com/order/5UjjnZwur4KMPeFJnGd5wv" TargetMode="External"/><Relationship Id="rId60" Type="http://schemas.openxmlformats.org/officeDocument/2006/relationships/hyperlink" Target="https://www.whatnot.com/order/8DwoNWn73teh8obUuAY5eP" TargetMode="External"/><Relationship Id="rId81" Type="http://schemas.openxmlformats.org/officeDocument/2006/relationships/hyperlink" Target="https://www.whatnot.com/order/QTaAU7BuEKWFVBSztLHVZt" TargetMode="External"/><Relationship Id="rId135" Type="http://schemas.openxmlformats.org/officeDocument/2006/relationships/hyperlink" Target="https://www.whatnot.com/order/UWospfHLJBJCwjKMbMJrJc" TargetMode="External"/><Relationship Id="rId156" Type="http://schemas.openxmlformats.org/officeDocument/2006/relationships/hyperlink" Target="https://www.whatnot.com/order/V7U6XPjihidFw6zF8nFVk5" TargetMode="External"/><Relationship Id="rId177" Type="http://schemas.openxmlformats.org/officeDocument/2006/relationships/hyperlink" Target="https://www.whatnot.com/order/medD3HLzhpPd89xriKnZcX" TargetMode="External"/><Relationship Id="rId198" Type="http://schemas.openxmlformats.org/officeDocument/2006/relationships/hyperlink" Target="https://www.whatnot.com/order/eZzEmrYrFPTX2ciq7zw7Hi" TargetMode="External"/><Relationship Id="rId202" Type="http://schemas.openxmlformats.org/officeDocument/2006/relationships/hyperlink" Target="https://www.whatnot.com/order/j5AumEDPb4dAWPPgEGjD26" TargetMode="External"/><Relationship Id="rId18" Type="http://schemas.openxmlformats.org/officeDocument/2006/relationships/hyperlink" Target="https://www.whatnot.com/order/3hBZtxnc5D7aSBGh5GQwZ2" TargetMode="External"/><Relationship Id="rId39" Type="http://schemas.openxmlformats.org/officeDocument/2006/relationships/hyperlink" Target="https://www.whatnot.com/order/V5Gh7hYUvoJshqsMYA2fjj" TargetMode="External"/><Relationship Id="rId50" Type="http://schemas.openxmlformats.org/officeDocument/2006/relationships/hyperlink" Target="https://www.whatnot.com/order/N3ommW2GZtgbdFUhrqPhaC" TargetMode="External"/><Relationship Id="rId104" Type="http://schemas.openxmlformats.org/officeDocument/2006/relationships/hyperlink" Target="https://www.whatnot.com/order/atV5mnNpi29X79RWUk3egh" TargetMode="External"/><Relationship Id="rId125" Type="http://schemas.openxmlformats.org/officeDocument/2006/relationships/hyperlink" Target="https://www.whatnot.com/order/Gzx3x3hroNb5oYG2Go9M4M" TargetMode="External"/><Relationship Id="rId146" Type="http://schemas.openxmlformats.org/officeDocument/2006/relationships/hyperlink" Target="https://www.whatnot.com/order/7uWiSpZyq2Roey5Rr4Z456" TargetMode="External"/><Relationship Id="rId167" Type="http://schemas.openxmlformats.org/officeDocument/2006/relationships/hyperlink" Target="https://www.whatnot.com/order/QmxKqJw97MkWL4F4CV22QD" TargetMode="External"/><Relationship Id="rId188" Type="http://schemas.openxmlformats.org/officeDocument/2006/relationships/hyperlink" Target="https://www.whatnot.com/order/F9dPhgureZfuamzmCSWsoz" TargetMode="External"/><Relationship Id="rId71" Type="http://schemas.openxmlformats.org/officeDocument/2006/relationships/hyperlink" Target="https://www.whatnot.com/order/apudhfkcpm8mjfcciD2gPJ" TargetMode="External"/><Relationship Id="rId92" Type="http://schemas.openxmlformats.org/officeDocument/2006/relationships/hyperlink" Target="https://www.whatnot.com/order/X5K6umEJWi23LicF99oSTD" TargetMode="External"/><Relationship Id="rId213" Type="http://schemas.openxmlformats.org/officeDocument/2006/relationships/hyperlink" Target="https://www.ebay.com/itm/298423082887" TargetMode="External"/><Relationship Id="rId2" Type="http://schemas.openxmlformats.org/officeDocument/2006/relationships/hyperlink" Target="https://www.whatnot.com/order/A2VyUVWvtd6f5zu7wQpMgK" TargetMode="External"/><Relationship Id="rId29" Type="http://schemas.openxmlformats.org/officeDocument/2006/relationships/hyperlink" Target="https://www.whatnot.com/order/27RrZ5UcQbAp2yynBpazpE" TargetMode="External"/><Relationship Id="rId40" Type="http://schemas.openxmlformats.org/officeDocument/2006/relationships/hyperlink" Target="https://www.whatnot.com/order/PPztzz2oNPCFrGQKEtGeKP" TargetMode="External"/><Relationship Id="rId115" Type="http://schemas.openxmlformats.org/officeDocument/2006/relationships/hyperlink" Target="https://www.whatnot.com/order/5X36yCiHaJsMeN64D6uPLA" TargetMode="External"/><Relationship Id="rId136" Type="http://schemas.openxmlformats.org/officeDocument/2006/relationships/hyperlink" Target="https://www.whatnot.com/order/YizRVYJABNSdo22iZwgKNb" TargetMode="External"/><Relationship Id="rId157" Type="http://schemas.openxmlformats.org/officeDocument/2006/relationships/hyperlink" Target="https://www.whatnot.com/order/iZbKHBvYo5zS45eekjhRzc" TargetMode="External"/><Relationship Id="rId178" Type="http://schemas.openxmlformats.org/officeDocument/2006/relationships/hyperlink" Target="https://www.whatnot.com/order/YzDdv3jRTf8P5R9sGqJ4Q7" TargetMode="External"/><Relationship Id="rId61" Type="http://schemas.openxmlformats.org/officeDocument/2006/relationships/hyperlink" Target="https://www.whatnot.com/order/8DwoNWn73teh8obUuAY5eP" TargetMode="External"/><Relationship Id="rId82" Type="http://schemas.openxmlformats.org/officeDocument/2006/relationships/hyperlink" Target="https://www.whatnot.com/order/MwfykcrBkKSMi8nZ7VXmSm" TargetMode="External"/><Relationship Id="rId199" Type="http://schemas.openxmlformats.org/officeDocument/2006/relationships/hyperlink" Target="https://www.whatnot.com/order/K7zApfgiyGLvandFaboi4m" TargetMode="External"/><Relationship Id="rId203" Type="http://schemas.openxmlformats.org/officeDocument/2006/relationships/hyperlink" Target="https://www.ebay.com/itm/298388905739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B428-A3AE-48DF-8BEF-EB9C1EA24A43}">
  <sheetPr codeName="Sheet1"/>
  <dimension ref="B1:AC863"/>
  <sheetViews>
    <sheetView zoomScale="85" zoomScaleNormal="85" workbookViewId="0">
      <pane ySplit="3" topLeftCell="A207" activePane="bottomLeft" state="frozen"/>
      <selection pane="bottomLeft" activeCell="G231" sqref="G231"/>
    </sheetView>
  </sheetViews>
  <sheetFormatPr defaultRowHeight="14.4" x14ac:dyDescent="0.3"/>
  <cols>
    <col min="1" max="1" width="2.88671875" customWidth="1"/>
    <col min="2" max="2" width="9.6640625" bestFit="1" customWidth="1"/>
    <col min="3" max="3" width="22.109375" bestFit="1" customWidth="1"/>
    <col min="4" max="4" width="17.5546875" style="3" bestFit="1" customWidth="1"/>
    <col min="5" max="5" width="9.5546875" style="15" bestFit="1" customWidth="1"/>
    <col min="6" max="6" width="9.6640625" bestFit="1" customWidth="1"/>
    <col min="7" max="7" width="11.109375" bestFit="1" customWidth="1"/>
    <col min="8" max="8" width="8" bestFit="1" customWidth="1"/>
    <col min="9" max="9" width="13.5546875" style="8" bestFit="1" customWidth="1"/>
    <col min="10" max="10" width="10" style="8" bestFit="1" customWidth="1"/>
    <col min="11" max="11" width="10" style="8" customWidth="1"/>
    <col min="12" max="14" width="14" customWidth="1"/>
    <col min="15" max="15" width="16.88671875" bestFit="1" customWidth="1"/>
    <col min="16" max="16" width="21.33203125" style="1" bestFit="1" customWidth="1"/>
    <col min="17" max="17" width="25.33203125" bestFit="1" customWidth="1"/>
    <col min="18" max="18" width="15.44140625" bestFit="1" customWidth="1"/>
    <col min="19" max="19" width="17" bestFit="1" customWidth="1"/>
    <col min="20" max="20" width="9.44140625" bestFit="1" customWidth="1"/>
    <col min="21" max="21" width="11.88671875" bestFit="1" customWidth="1"/>
    <col min="22" max="22" width="8.88671875" bestFit="1" customWidth="1"/>
    <col min="23" max="24" width="41.44140625" customWidth="1"/>
    <col min="25" max="25" width="14" customWidth="1"/>
    <col min="28" max="28" width="21.77734375" bestFit="1" customWidth="1"/>
    <col min="29" max="29" width="15" bestFit="1" customWidth="1"/>
  </cols>
  <sheetData>
    <row r="1" spans="2:29" x14ac:dyDescent="0.3">
      <c r="N1" s="1"/>
      <c r="P1" s="7" t="s">
        <v>3</v>
      </c>
      <c r="Q1" s="7" t="s">
        <v>2</v>
      </c>
      <c r="R1" s="7" t="s">
        <v>4</v>
      </c>
      <c r="W1" s="1"/>
      <c r="X1" s="1"/>
    </row>
    <row r="2" spans="2:29" x14ac:dyDescent="0.3">
      <c r="N2" s="1"/>
      <c r="P2" s="1">
        <f>SUM(G:G)</f>
        <v>197.80999999999995</v>
      </c>
      <c r="Q2" s="1">
        <f>SUM(F:F)</f>
        <v>1327.4099999999994</v>
      </c>
      <c r="R2" s="1">
        <f>SUM(H:H)</f>
        <v>149.48500000000004</v>
      </c>
      <c r="W2" s="1"/>
      <c r="X2" s="1"/>
      <c r="AA2" s="7"/>
      <c r="AB2" s="7"/>
      <c r="AC2" s="7"/>
    </row>
    <row r="3" spans="2:29" x14ac:dyDescent="0.3">
      <c r="B3" s="9" t="s">
        <v>118</v>
      </c>
      <c r="C3" s="9" t="s">
        <v>461</v>
      </c>
      <c r="D3" s="9" t="s">
        <v>462</v>
      </c>
      <c r="E3" s="7" t="s">
        <v>460</v>
      </c>
      <c r="F3" s="7" t="s">
        <v>2</v>
      </c>
      <c r="G3" s="7" t="s">
        <v>3</v>
      </c>
      <c r="H3" s="7" t="s">
        <v>4</v>
      </c>
      <c r="I3" s="9" t="s">
        <v>21</v>
      </c>
      <c r="J3" s="9" t="s">
        <v>459</v>
      </c>
      <c r="K3" s="9" t="s">
        <v>1756</v>
      </c>
      <c r="L3" s="7" t="s">
        <v>36</v>
      </c>
      <c r="M3" s="7" t="s">
        <v>35</v>
      </c>
      <c r="N3" s="7" t="s">
        <v>34</v>
      </c>
      <c r="O3" s="7" t="s">
        <v>6</v>
      </c>
      <c r="P3" s="11" t="s">
        <v>18</v>
      </c>
      <c r="Q3" s="7" t="s">
        <v>9</v>
      </c>
      <c r="R3" s="7" t="s">
        <v>8</v>
      </c>
      <c r="S3" s="7" t="s">
        <v>7</v>
      </c>
      <c r="T3" s="7" t="s">
        <v>51</v>
      </c>
      <c r="U3" s="7" t="s">
        <v>52</v>
      </c>
      <c r="V3" s="7" t="s">
        <v>1551</v>
      </c>
      <c r="W3" s="7" t="s">
        <v>711</v>
      </c>
      <c r="X3" s="7" t="s">
        <v>710</v>
      </c>
      <c r="Y3" s="7" t="s">
        <v>464</v>
      </c>
      <c r="AB3" s="56" t="s">
        <v>1148</v>
      </c>
      <c r="AC3" t="s">
        <v>1150</v>
      </c>
    </row>
    <row r="4" spans="2:29" x14ac:dyDescent="0.3">
      <c r="B4" s="10" t="s">
        <v>691</v>
      </c>
      <c r="C4" s="10" t="s">
        <v>5</v>
      </c>
      <c r="D4" s="5">
        <v>46145</v>
      </c>
      <c r="E4" s="6">
        <v>33</v>
      </c>
      <c r="F4" s="4">
        <v>7</v>
      </c>
      <c r="G4" s="4">
        <v>4.1100000000000003</v>
      </c>
      <c r="H4" s="4">
        <v>1.1399999999999999</v>
      </c>
      <c r="I4" s="10" t="s">
        <v>512</v>
      </c>
      <c r="J4" s="10">
        <v>6059255</v>
      </c>
      <c r="K4" s="10">
        <v>108</v>
      </c>
      <c r="L4" s="16" t="s">
        <v>47</v>
      </c>
      <c r="M4" s="53" t="s">
        <v>1331</v>
      </c>
      <c r="N4" t="str">
        <f t="shared" ref="N4:N67" si="0">IFERROR(_xlfn.TEXTAFTER(L4,"https://www."),"")&amp;CHAR(10)&amp;_xlfn.CONCAT(TEXT(F4,"$0.00")," + ",TEXT(P4,"$0.00")," (Shared Shipping) + ",TEXT(R4,"$0.00")," Tax = Total of ",TEXT(S4,"$0.00"))</f>
        <v>whatnot.com/order/Hqs3wb8GAkuyHj9LA3xEdv
$7.00 + $1.14 (Shared Shipping) + $0.83 Tax = Total of $8.97</v>
      </c>
      <c r="O4" s="1">
        <f t="shared" ref="O4:O67" si="1">SUM(F4:H4)</f>
        <v>12.25</v>
      </c>
      <c r="P4" s="1">
        <f t="shared" ref="P4:P35" si="2">SUMIFS(G:G,C:C,C4,D:D,D4)/COUNTIFS(C:C,C4,D:D,D4)</f>
        <v>1.1375000000000002</v>
      </c>
      <c r="Q4" s="1">
        <f t="shared" ref="Q4:Q67" si="3">+F4+P4</f>
        <v>8.1374999999999993</v>
      </c>
      <c r="R4" s="1">
        <f t="shared" ref="R4:R67" si="4">IF(H4=0,0,Q4*0.1025)</f>
        <v>0.83409374999999986</v>
      </c>
      <c r="S4" s="1">
        <f t="shared" ref="S4:S67" si="5">+Q4+R4</f>
        <v>8.9715937499999985</v>
      </c>
      <c r="T4" s="1">
        <f>IFERROR(_xlfn.XLOOKUP(J4,Collection!A:A,Collection!D:D,0)/100/_xlfn.XLOOKUP(J4,Collection!A:A,Collection!J:J,0),_xlfn.XLOOKUP(J4,Sold!A:A,Sold!D:D,0)/100/_xlfn.XLOOKUP(J4,Sold!A:A,Sold!J:J,0))</f>
        <v>6.47</v>
      </c>
      <c r="U4" s="1">
        <f t="shared" ref="U4:U67" si="6">IFERROR(T4-S4,0)</f>
        <v>-2.5015937499999987</v>
      </c>
      <c r="V4" s="18">
        <f>COUNTIF(Collection!A:A,J4)+COUNTIF(Sold!A:A,J4)</f>
        <v>1</v>
      </c>
      <c r="W4" t="str">
        <f>IFERROR(_xlfn.TEXTAFTER(_xlfn.XLOOKUP(J4,Collection!A:A,Collection!C:C,),"Cards "),_xlfn.TEXTAFTER(_xlfn.XLOOKUP(J4,Sold!A:A,Sold!C:C,),"Cards "))</f>
        <v>2023 Panini Hoops</v>
      </c>
      <c r="X4" s="18" t="str">
        <f>IFERROR(_xlfn.XLOOKUP(J4,Collection!A:A,Collection!B:B,),_xlfn.XLOOKUP(J4,Sold!A:A,Sold!B:B,))</f>
        <v>Victor Wembanyama #298</v>
      </c>
      <c r="Y4" s="53" t="s">
        <v>507</v>
      </c>
      <c r="AB4" s="8" t="s">
        <v>497</v>
      </c>
      <c r="AC4" s="2">
        <v>30.518474999999995</v>
      </c>
    </row>
    <row r="5" spans="2:29" x14ac:dyDescent="0.3">
      <c r="B5" s="10" t="s">
        <v>691</v>
      </c>
      <c r="C5" s="10" t="s">
        <v>5</v>
      </c>
      <c r="D5" s="5">
        <v>46145</v>
      </c>
      <c r="E5" s="6">
        <v>35</v>
      </c>
      <c r="F5" s="4">
        <v>8</v>
      </c>
      <c r="G5" s="4">
        <v>0.44</v>
      </c>
      <c r="H5" s="4">
        <v>0.87</v>
      </c>
      <c r="I5" s="10" t="s">
        <v>512</v>
      </c>
      <c r="J5" s="10">
        <v>12415755</v>
      </c>
      <c r="K5" s="10">
        <v>90</v>
      </c>
      <c r="L5" s="16" t="s">
        <v>48</v>
      </c>
      <c r="M5" s="53" t="s">
        <v>1332</v>
      </c>
      <c r="N5" t="str">
        <f t="shared" si="0"/>
        <v>whatnot.com/order/ATFJnWBvkv75frTYPbgk5o
$8.00 + $1.14 (Shared Shipping) + $0.94 Tax = Total of $10.07</v>
      </c>
      <c r="O5" s="1">
        <f t="shared" si="1"/>
        <v>9.3099999999999987</v>
      </c>
      <c r="P5" s="1">
        <f t="shared" si="2"/>
        <v>1.1375000000000002</v>
      </c>
      <c r="Q5" s="1">
        <f t="shared" si="3"/>
        <v>9.1374999999999993</v>
      </c>
      <c r="R5" s="1">
        <f t="shared" si="4"/>
        <v>0.93659374999999989</v>
      </c>
      <c r="S5" s="1">
        <f t="shared" si="5"/>
        <v>10.074093749999999</v>
      </c>
      <c r="T5" s="1">
        <f>IFERROR(_xlfn.XLOOKUP(J5,Collection!A:A,Collection!D:D,0)/100/_xlfn.XLOOKUP(J5,Collection!A:A,Collection!J:J,0),_xlfn.XLOOKUP(J5,Sold!A:A,Sold!D:D,0)/100/_xlfn.XLOOKUP(J5,Sold!A:A,Sold!J:J,0))</f>
        <v>9.49</v>
      </c>
      <c r="U5" s="1">
        <f t="shared" si="6"/>
        <v>-0.58409374999999919</v>
      </c>
      <c r="V5" s="18">
        <f>COUNTIF(Collection!A:A,J5)+COUNTIF(Sold!A:A,J5)</f>
        <v>1</v>
      </c>
      <c r="W5" t="str">
        <f>IFERROR(_xlfn.TEXTAFTER(_xlfn.XLOOKUP(J5,Collection!A:A,Collection!C:C,),"Cards "),_xlfn.TEXTAFTER(_xlfn.XLOOKUP(J5,Sold!A:A,Sold!C:C,),"Cards "))</f>
        <v>2026 Topps Collectors Kit</v>
      </c>
      <c r="X5" s="18" t="str">
        <f>IFERROR(_xlfn.XLOOKUP(J5,Collection!A:A,Collection!B:B,),_xlfn.XLOOKUP(J5,Sold!A:A,Sold!B:B,))</f>
        <v>Victor Wembanyama [Wave] #NBA-7</v>
      </c>
      <c r="Y5" s="53" t="s">
        <v>507</v>
      </c>
      <c r="AB5" s="8" t="s">
        <v>739</v>
      </c>
      <c r="AC5" s="2">
        <v>25.520132805429864</v>
      </c>
    </row>
    <row r="6" spans="2:29" x14ac:dyDescent="0.3">
      <c r="B6" s="10" t="s">
        <v>691</v>
      </c>
      <c r="C6" s="10" t="s">
        <v>5</v>
      </c>
      <c r="D6" s="5">
        <v>46145</v>
      </c>
      <c r="E6" s="6">
        <v>44</v>
      </c>
      <c r="F6" s="4">
        <v>3</v>
      </c>
      <c r="G6" s="4">
        <v>0</v>
      </c>
      <c r="H6" s="4">
        <v>0.31</v>
      </c>
      <c r="I6" s="10" t="s">
        <v>513</v>
      </c>
      <c r="J6" s="10">
        <v>10826665</v>
      </c>
      <c r="K6" s="10">
        <v>55</v>
      </c>
      <c r="L6" s="16" t="s">
        <v>49</v>
      </c>
      <c r="M6" s="53" t="s">
        <v>1333</v>
      </c>
      <c r="N6" t="str">
        <f t="shared" si="0"/>
        <v>whatnot.com/order/R4eDqBQtSQwNRiU33sZje5
$3.00 + $1.14 (Shared Shipping) + $0.42 Tax = Total of $4.56</v>
      </c>
      <c r="O6" s="1">
        <f t="shared" si="1"/>
        <v>3.31</v>
      </c>
      <c r="P6" s="1">
        <f t="shared" si="2"/>
        <v>1.1375000000000002</v>
      </c>
      <c r="Q6" s="1">
        <f t="shared" si="3"/>
        <v>4.1375000000000002</v>
      </c>
      <c r="R6" s="1">
        <f t="shared" si="4"/>
        <v>0.42409374999999999</v>
      </c>
      <c r="S6" s="1">
        <f t="shared" si="5"/>
        <v>4.5615937500000001</v>
      </c>
      <c r="T6" s="1">
        <f>IFERROR(_xlfn.XLOOKUP(J6,Collection!A:A,Collection!D:D,0)/100/_xlfn.XLOOKUP(J6,Collection!A:A,Collection!J:J,0),_xlfn.XLOOKUP(J6,Sold!A:A,Sold!D:D,0)/100/_xlfn.XLOOKUP(J6,Sold!A:A,Sold!J:J,0))</f>
        <v>3.25</v>
      </c>
      <c r="U6" s="1">
        <f t="shared" si="6"/>
        <v>-1.3115937500000001</v>
      </c>
      <c r="V6" s="18">
        <f>COUNTIF(Collection!A:A,J6)+COUNTIF(Sold!A:A,J6)</f>
        <v>1</v>
      </c>
      <c r="W6" t="str">
        <f>IFERROR(_xlfn.TEXTAFTER(_xlfn.XLOOKUP(J6,Collection!A:A,Collection!C:C,),"Cards "),_xlfn.TEXTAFTER(_xlfn.XLOOKUP(J6,Sold!A:A,Sold!C:C,),"Cards "))</f>
        <v>2025 Topps</v>
      </c>
      <c r="X6" s="18" t="str">
        <f>IFERROR(_xlfn.XLOOKUP(J6,Collection!A:A,Collection!B:B,),_xlfn.XLOOKUP(J6,Sold!A:A,Sold!B:B,))</f>
        <v>LeBron James [Holo Foil] #150</v>
      </c>
      <c r="Y6" s="53" t="s">
        <v>507</v>
      </c>
      <c r="AB6" s="8" t="s">
        <v>725</v>
      </c>
      <c r="AC6" s="2">
        <v>6.4982749999999978</v>
      </c>
    </row>
    <row r="7" spans="2:29" x14ac:dyDescent="0.3">
      <c r="B7" s="10" t="s">
        <v>691</v>
      </c>
      <c r="C7" s="10" t="s">
        <v>5</v>
      </c>
      <c r="D7" s="5">
        <v>46145</v>
      </c>
      <c r="E7" s="6" t="s">
        <v>0</v>
      </c>
      <c r="F7" s="4">
        <v>0</v>
      </c>
      <c r="G7" s="4">
        <v>0</v>
      </c>
      <c r="H7" s="4">
        <v>0</v>
      </c>
      <c r="I7" s="10" t="s">
        <v>463</v>
      </c>
      <c r="J7" s="10">
        <v>10895833</v>
      </c>
      <c r="K7" s="10">
        <v>478</v>
      </c>
      <c r="L7" s="16" t="s">
        <v>50</v>
      </c>
      <c r="M7" s="53" t="s">
        <v>1334</v>
      </c>
      <c r="N7" t="str">
        <f t="shared" si="0"/>
        <v>whatnot.com/order/6QdgQ3vUdPh6pHE5WaqAmr
$0.00 + $1.14 (Shared Shipping) + $0.00 Tax = Total of $1.14</v>
      </c>
      <c r="O7" s="1">
        <f t="shared" si="1"/>
        <v>0</v>
      </c>
      <c r="P7" s="1">
        <f t="shared" si="2"/>
        <v>1.1375000000000002</v>
      </c>
      <c r="Q7" s="1">
        <f t="shared" si="3"/>
        <v>1.1375000000000002</v>
      </c>
      <c r="R7" s="1">
        <f t="shared" si="4"/>
        <v>0</v>
      </c>
      <c r="S7" s="1">
        <f t="shared" si="5"/>
        <v>1.1375000000000002</v>
      </c>
      <c r="T7" s="1">
        <f>IFERROR(_xlfn.XLOOKUP(J7,Collection!A:A,Collection!D:D,0)/100/_xlfn.XLOOKUP(J7,Collection!A:A,Collection!J:J,0),_xlfn.XLOOKUP(J7,Sold!A:A,Sold!D:D,0)/100/_xlfn.XLOOKUP(J7,Sold!A:A,Sold!J:J,0))</f>
        <v>1.44</v>
      </c>
      <c r="U7" s="1">
        <f t="shared" si="6"/>
        <v>0.30249999999999977</v>
      </c>
      <c r="V7" s="18">
        <f>COUNTIF(Collection!A:A,J7)+COUNTIF(Sold!A:A,J7)</f>
        <v>1</v>
      </c>
      <c r="W7" t="str">
        <f>IFERROR(_xlfn.TEXTAFTER(_xlfn.XLOOKUP(J7,Collection!A:A,Collection!C:C,),"Cards "),_xlfn.TEXTAFTER(_xlfn.XLOOKUP(J7,Sold!A:A,Sold!C:C,),"Cards "))</f>
        <v>2025 Topps Holiday</v>
      </c>
      <c r="X7" s="18" t="str">
        <f>IFERROR(_xlfn.XLOOKUP(J7,Collection!A:A,Collection!B:B,),_xlfn.XLOOKUP(J7,Sold!A:A,Sold!B:B,))</f>
        <v>VJ Edgecombe #H163</v>
      </c>
      <c r="Y7" s="53" t="s">
        <v>507</v>
      </c>
      <c r="AB7" s="8" t="s">
        <v>29</v>
      </c>
      <c r="AC7" s="2">
        <v>5.2</v>
      </c>
    </row>
    <row r="8" spans="2:29" x14ac:dyDescent="0.3">
      <c r="B8" s="10" t="s">
        <v>691</v>
      </c>
      <c r="C8" s="10" t="s">
        <v>1</v>
      </c>
      <c r="D8" s="5">
        <v>46146</v>
      </c>
      <c r="E8" s="6">
        <v>144</v>
      </c>
      <c r="F8" s="4">
        <v>3</v>
      </c>
      <c r="G8" s="4">
        <v>1.0900000000000001</v>
      </c>
      <c r="H8" s="4">
        <v>0.42</v>
      </c>
      <c r="I8" s="10" t="s">
        <v>13</v>
      </c>
      <c r="J8" s="10">
        <v>5475661</v>
      </c>
      <c r="K8" s="10">
        <v>451</v>
      </c>
      <c r="L8" s="16" t="s">
        <v>37</v>
      </c>
      <c r="M8" s="53" t="s">
        <v>1335</v>
      </c>
      <c r="N8" t="str">
        <f t="shared" si="0"/>
        <v>whatnot.com/order/7TdKSNvxiGa3Bt8dCiKKbe
$3.00 + $0.45 (Shared Shipping) + $0.35 Tax = Total of $3.81</v>
      </c>
      <c r="O8" s="2">
        <f t="shared" si="1"/>
        <v>4.51</v>
      </c>
      <c r="P8" s="1">
        <f t="shared" si="2"/>
        <v>0.45454545454545453</v>
      </c>
      <c r="Q8" s="1">
        <f t="shared" si="3"/>
        <v>3.4545454545454546</v>
      </c>
      <c r="R8" s="1">
        <f t="shared" si="4"/>
        <v>0.35409090909090907</v>
      </c>
      <c r="S8" s="1">
        <f t="shared" si="5"/>
        <v>3.8086363636363636</v>
      </c>
      <c r="T8" s="1">
        <f>IFERROR(_xlfn.XLOOKUP(J8,Collection!A:A,Collection!D:D,0)/100/_xlfn.XLOOKUP(J8,Collection!A:A,Collection!J:J,0),_xlfn.XLOOKUP(J8,Sold!A:A,Sold!D:D,0)/100/_xlfn.XLOOKUP(J8,Sold!A:A,Sold!J:J,0))</f>
        <v>1.42</v>
      </c>
      <c r="U8" s="1">
        <f t="shared" si="6"/>
        <v>-2.3886363636363637</v>
      </c>
      <c r="V8" s="18">
        <f>COUNTIF(Collection!A:A,J8)+COUNTIF(Sold!A:A,J8)</f>
        <v>1</v>
      </c>
      <c r="W8" t="str">
        <f>IFERROR(_xlfn.TEXTAFTER(_xlfn.XLOOKUP(J8,Collection!A:A,Collection!C:C,),"Cards "),_xlfn.TEXTAFTER(_xlfn.XLOOKUP(J8,Sold!A:A,Sold!C:C,),"Cards "))</f>
        <v>2022 Panini Select Rookie Revolution</v>
      </c>
      <c r="X8" s="18" t="str">
        <f>IFERROR(_xlfn.XLOOKUP(J8,Collection!A:A,Collection!B:B,),_xlfn.XLOOKUP(J8,Sold!A:A,Sold!B:B,))</f>
        <v>Chet Holmgren #18</v>
      </c>
      <c r="Y8" s="53" t="s">
        <v>507</v>
      </c>
      <c r="AB8" s="8" t="s">
        <v>1124</v>
      </c>
      <c r="AC8" s="2">
        <v>3.4761249999999997</v>
      </c>
    </row>
    <row r="9" spans="2:29" x14ac:dyDescent="0.3">
      <c r="B9" s="10" t="s">
        <v>691</v>
      </c>
      <c r="C9" s="10" t="s">
        <v>1</v>
      </c>
      <c r="D9" s="5">
        <v>46146</v>
      </c>
      <c r="E9" s="6">
        <v>159</v>
      </c>
      <c r="F9" s="4">
        <v>4</v>
      </c>
      <c r="G9" s="4">
        <v>0.3</v>
      </c>
      <c r="H9" s="4">
        <v>0.45</v>
      </c>
      <c r="I9" s="10" t="s">
        <v>11</v>
      </c>
      <c r="J9" s="10">
        <v>4235113</v>
      </c>
      <c r="K9" s="10">
        <v>411</v>
      </c>
      <c r="L9" s="16" t="s">
        <v>33</v>
      </c>
      <c r="M9" s="53" t="s">
        <v>1336</v>
      </c>
      <c r="N9" t="str">
        <f t="shared" si="0"/>
        <v>whatnot.com/order/A2VyUVWvtd6f5zu7wQpMgK
$4.00 + $0.45 (Shared Shipping) + $0.46 Tax = Total of $4.91</v>
      </c>
      <c r="O9" s="2">
        <f t="shared" si="1"/>
        <v>4.75</v>
      </c>
      <c r="P9" s="1">
        <f t="shared" si="2"/>
        <v>0.45454545454545453</v>
      </c>
      <c r="Q9" s="1">
        <f t="shared" si="3"/>
        <v>4.4545454545454541</v>
      </c>
      <c r="R9" s="1">
        <f t="shared" si="4"/>
        <v>0.45659090909090905</v>
      </c>
      <c r="S9" s="1">
        <f t="shared" si="5"/>
        <v>4.9111363636363627</v>
      </c>
      <c r="T9" s="1">
        <f>IFERROR(_xlfn.XLOOKUP(J9,Collection!A:A,Collection!D:D,0)/100/_xlfn.XLOOKUP(J9,Collection!A:A,Collection!J:J,0),_xlfn.XLOOKUP(J9,Sold!A:A,Sold!D:D,0)/100/_xlfn.XLOOKUP(J9,Sold!A:A,Sold!J:J,0))</f>
        <v>1.27</v>
      </c>
      <c r="U9" s="1">
        <f t="shared" si="6"/>
        <v>-3.6411363636363627</v>
      </c>
      <c r="V9" s="18">
        <f>COUNTIF(Collection!A:A,J9)+COUNTIF(Sold!A:A,J9)</f>
        <v>1</v>
      </c>
      <c r="W9" t="str">
        <f>IFERROR(_xlfn.TEXTAFTER(_xlfn.XLOOKUP(J9,Collection!A:A,Collection!C:C,),"Cards "),_xlfn.TEXTAFTER(_xlfn.XLOOKUP(J9,Sold!A:A,Sold!C:C,),"Cards "))</f>
        <v>2021 Panini Select</v>
      </c>
      <c r="X9" s="18" t="str">
        <f>IFERROR(_xlfn.XLOOKUP(J9,Collection!A:A,Collection!B:B,),_xlfn.XLOOKUP(J9,Sold!A:A,Sold!B:B,))</f>
        <v>Luka Doncic [Blue Prizm] #12</v>
      </c>
      <c r="Y9" s="53" t="s">
        <v>507</v>
      </c>
      <c r="AB9" s="8" t="s">
        <v>28</v>
      </c>
      <c r="AC9" s="2">
        <v>2.5649999999999995</v>
      </c>
    </row>
    <row r="10" spans="2:29" x14ac:dyDescent="0.3">
      <c r="B10" s="10" t="s">
        <v>691</v>
      </c>
      <c r="C10" s="10" t="s">
        <v>1</v>
      </c>
      <c r="D10" s="5">
        <v>46146</v>
      </c>
      <c r="E10" s="6">
        <v>223</v>
      </c>
      <c r="F10" s="4">
        <v>4</v>
      </c>
      <c r="G10" s="4">
        <v>2.96</v>
      </c>
      <c r="H10" s="4">
        <v>0.71</v>
      </c>
      <c r="I10" s="10" t="s">
        <v>11</v>
      </c>
      <c r="J10" s="10">
        <v>4116797</v>
      </c>
      <c r="K10" s="10">
        <v>397</v>
      </c>
      <c r="L10" s="16" t="s">
        <v>38</v>
      </c>
      <c r="M10" s="53" t="s">
        <v>1337</v>
      </c>
      <c r="N10" t="str">
        <f t="shared" si="0"/>
        <v>whatnot.com/order/UfG2uFVzbc3XCQZDoAnZnQ
$4.00 + $0.45 (Shared Shipping) + $0.46 Tax = Total of $4.91</v>
      </c>
      <c r="O10" s="2">
        <f t="shared" si="1"/>
        <v>7.67</v>
      </c>
      <c r="P10" s="1">
        <f t="shared" si="2"/>
        <v>0.45454545454545453</v>
      </c>
      <c r="Q10" s="1">
        <f t="shared" si="3"/>
        <v>4.4545454545454541</v>
      </c>
      <c r="R10" s="1">
        <f t="shared" si="4"/>
        <v>0.45659090909090905</v>
      </c>
      <c r="S10" s="1">
        <f t="shared" si="5"/>
        <v>4.9111363636363627</v>
      </c>
      <c r="T10" s="1">
        <f>IFERROR(_xlfn.XLOOKUP(J10,Collection!A:A,Collection!D:D,0)/100/_xlfn.XLOOKUP(J10,Collection!A:A,Collection!J:J,0),_xlfn.XLOOKUP(J10,Sold!A:A,Sold!D:D,0)/100/_xlfn.XLOOKUP(J10,Sold!A:A,Sold!J:J,0))</f>
        <v>1.55</v>
      </c>
      <c r="U10" s="1">
        <f t="shared" si="6"/>
        <v>-3.3611363636363629</v>
      </c>
      <c r="V10" s="18">
        <f>COUNTIF(Collection!A:A,J10)+COUNTIF(Sold!A:A,J10)</f>
        <v>1</v>
      </c>
      <c r="W10" t="str">
        <f>IFERROR(_xlfn.TEXTAFTER(_xlfn.XLOOKUP(J10,Collection!A:A,Collection!C:C,),"Cards "),_xlfn.TEXTAFTER(_xlfn.XLOOKUP(J10,Sold!A:A,Sold!C:C,),"Cards "))</f>
        <v>2021 Panini Donruss Optic Splash</v>
      </c>
      <c r="X10" s="18" t="str">
        <f>IFERROR(_xlfn.XLOOKUP(J10,Collection!A:A,Collection!B:B,),_xlfn.XLOOKUP(J10,Sold!A:A,Sold!B:B,))</f>
        <v>Luka Doncic #4</v>
      </c>
      <c r="Y10" s="53" t="s">
        <v>507</v>
      </c>
      <c r="AB10" s="8" t="s">
        <v>32</v>
      </c>
      <c r="AC10" s="2">
        <v>1.88</v>
      </c>
    </row>
    <row r="11" spans="2:29" x14ac:dyDescent="0.3">
      <c r="B11" s="10" t="s">
        <v>691</v>
      </c>
      <c r="C11" s="10" t="s">
        <v>1</v>
      </c>
      <c r="D11" s="5">
        <v>46146</v>
      </c>
      <c r="E11" s="6">
        <v>233</v>
      </c>
      <c r="F11" s="4">
        <v>3</v>
      </c>
      <c r="G11" s="4">
        <v>0.45</v>
      </c>
      <c r="H11" s="4">
        <v>0.36</v>
      </c>
      <c r="I11" s="10" t="s">
        <v>14</v>
      </c>
      <c r="J11" s="10">
        <v>3782640</v>
      </c>
      <c r="K11" s="10">
        <v>328</v>
      </c>
      <c r="L11" s="16" t="s">
        <v>39</v>
      </c>
      <c r="M11" s="53" t="s">
        <v>1338</v>
      </c>
      <c r="N11" t="str">
        <f t="shared" si="0"/>
        <v>whatnot.com/order/JieocTtxhoCCzfkGLnBz49
$3.00 + $0.45 (Shared Shipping) + $0.35 Tax = Total of $3.81</v>
      </c>
      <c r="O11" s="2">
        <f t="shared" si="1"/>
        <v>3.81</v>
      </c>
      <c r="P11" s="1">
        <f t="shared" si="2"/>
        <v>0.45454545454545453</v>
      </c>
      <c r="Q11" s="1">
        <f t="shared" si="3"/>
        <v>3.4545454545454546</v>
      </c>
      <c r="R11" s="1">
        <f t="shared" si="4"/>
        <v>0.35409090909090907</v>
      </c>
      <c r="S11" s="1">
        <f t="shared" si="5"/>
        <v>3.8086363636363636</v>
      </c>
      <c r="T11" s="1">
        <f>IFERROR(_xlfn.XLOOKUP(J11,Collection!A:A,Collection!D:D,0)/100/_xlfn.XLOOKUP(J11,Collection!A:A,Collection!J:J,0),_xlfn.XLOOKUP(J11,Sold!A:A,Sold!D:D,0)/100/_xlfn.XLOOKUP(J11,Sold!A:A,Sold!J:J,0))</f>
        <v>1.46</v>
      </c>
      <c r="U11" s="1">
        <f t="shared" si="6"/>
        <v>-2.3486363636363636</v>
      </c>
      <c r="V11" s="18">
        <f>COUNTIF(Collection!A:A,J11)+COUNTIF(Sold!A:A,J11)</f>
        <v>1</v>
      </c>
      <c r="W11" t="str">
        <f>IFERROR(_xlfn.TEXTAFTER(_xlfn.XLOOKUP(J11,Collection!A:A,Collection!C:C,),"Cards "),_xlfn.TEXTAFTER(_xlfn.XLOOKUP(J11,Sold!A:A,Sold!C:C,),"Cards "))</f>
        <v>2021 Panini Prizm Emergent</v>
      </c>
      <c r="X11" s="18" t="str">
        <f>IFERROR(_xlfn.XLOOKUP(J11,Collection!A:A,Collection!B:B,),_xlfn.XLOOKUP(J11,Sold!A:A,Sold!B:B,))</f>
        <v>Cade Cunningham #22</v>
      </c>
      <c r="Y11" s="53" t="s">
        <v>507</v>
      </c>
      <c r="AB11" s="8" t="s">
        <v>777</v>
      </c>
      <c r="AC11" s="2">
        <v>1.5832750000000002</v>
      </c>
    </row>
    <row r="12" spans="2:29" x14ac:dyDescent="0.3">
      <c r="B12" s="10" t="s">
        <v>691</v>
      </c>
      <c r="C12" s="10" t="s">
        <v>1</v>
      </c>
      <c r="D12" s="5">
        <v>46146</v>
      </c>
      <c r="E12" s="6">
        <v>234</v>
      </c>
      <c r="F12" s="4">
        <v>3</v>
      </c>
      <c r="G12" s="4">
        <v>0</v>
      </c>
      <c r="H12" s="4">
        <v>0.31</v>
      </c>
      <c r="I12" s="10" t="s">
        <v>11</v>
      </c>
      <c r="J12" s="10">
        <v>5289892</v>
      </c>
      <c r="K12" s="10">
        <v>311</v>
      </c>
      <c r="L12" s="16" t="s">
        <v>40</v>
      </c>
      <c r="M12" s="53" t="s">
        <v>1339</v>
      </c>
      <c r="N12" t="str">
        <f t="shared" si="0"/>
        <v>whatnot.com/order/YdoZr7RTzDToYz6PByf22R
$3.00 + $0.45 (Shared Shipping) + $0.35 Tax = Total of $3.81</v>
      </c>
      <c r="O12" s="2">
        <f t="shared" si="1"/>
        <v>3.31</v>
      </c>
      <c r="P12" s="1">
        <f t="shared" si="2"/>
        <v>0.45454545454545453</v>
      </c>
      <c r="Q12" s="1">
        <f t="shared" si="3"/>
        <v>3.4545454545454546</v>
      </c>
      <c r="R12" s="1">
        <f t="shared" si="4"/>
        <v>0.35409090909090907</v>
      </c>
      <c r="S12" s="1">
        <f t="shared" si="5"/>
        <v>3.8086363636363636</v>
      </c>
      <c r="T12" s="1">
        <f>IFERROR(_xlfn.XLOOKUP(J12,Collection!A:A,Collection!D:D,0)/100/_xlfn.XLOOKUP(J12,Collection!A:A,Collection!J:J,0),_xlfn.XLOOKUP(J12,Sold!A:A,Sold!D:D,0)/100/_xlfn.XLOOKUP(J12,Sold!A:A,Sold!J:J,0))</f>
        <v>1.86</v>
      </c>
      <c r="U12" s="1">
        <f t="shared" si="6"/>
        <v>-1.9486363636363635</v>
      </c>
      <c r="V12" s="18">
        <f>COUNTIF(Collection!A:A,J12)+COUNTIF(Sold!A:A,J12)</f>
        <v>1</v>
      </c>
      <c r="W12" t="str">
        <f>IFERROR(_xlfn.TEXTAFTER(_xlfn.XLOOKUP(J12,Collection!A:A,Collection!C:C,),"Cards "),_xlfn.TEXTAFTER(_xlfn.XLOOKUP(J12,Sold!A:A,Sold!C:C,),"Cards "))</f>
        <v>2022 Panini Donruss Optic T Minus 3 2 1</v>
      </c>
      <c r="X12" s="18" t="str">
        <f>IFERROR(_xlfn.XLOOKUP(J12,Collection!A:A,Collection!B:B,),_xlfn.XLOOKUP(J12,Sold!A:A,Sold!B:B,))</f>
        <v>Luka Doncic [Purple] #7</v>
      </c>
      <c r="Y12" s="53" t="s">
        <v>507</v>
      </c>
      <c r="AB12" s="8" t="s">
        <v>476</v>
      </c>
      <c r="AC12" s="2">
        <v>1</v>
      </c>
    </row>
    <row r="13" spans="2:29" x14ac:dyDescent="0.3">
      <c r="B13" s="10" t="s">
        <v>691</v>
      </c>
      <c r="C13" s="10" t="s">
        <v>1</v>
      </c>
      <c r="D13" s="5">
        <v>46146</v>
      </c>
      <c r="E13" s="6">
        <v>242</v>
      </c>
      <c r="F13" s="4">
        <v>1</v>
      </c>
      <c r="G13" s="4">
        <v>0</v>
      </c>
      <c r="H13" s="4">
        <v>0.11</v>
      </c>
      <c r="I13" s="10" t="s">
        <v>712</v>
      </c>
      <c r="J13" s="10">
        <v>11473930</v>
      </c>
      <c r="K13" s="10">
        <v>134</v>
      </c>
      <c r="L13" s="16" t="s">
        <v>41</v>
      </c>
      <c r="M13" s="53" t="s">
        <v>1340</v>
      </c>
      <c r="N13" t="str">
        <f t="shared" si="0"/>
        <v>whatnot.com/order/fsZrqS9c5o3n2dqHjHqttF
$1.00 + $0.45 (Shared Shipping) + $0.15 Tax = Total of $1.60</v>
      </c>
      <c r="O13" s="2">
        <f t="shared" si="1"/>
        <v>1.1100000000000001</v>
      </c>
      <c r="P13" s="1">
        <f t="shared" si="2"/>
        <v>0.45454545454545453</v>
      </c>
      <c r="Q13" s="1">
        <f t="shared" si="3"/>
        <v>1.4545454545454546</v>
      </c>
      <c r="R13" s="1">
        <f t="shared" si="4"/>
        <v>0.14909090909090908</v>
      </c>
      <c r="S13" s="1">
        <f t="shared" si="5"/>
        <v>1.6036363636363637</v>
      </c>
      <c r="T13" s="1">
        <f>IFERROR(_xlfn.XLOOKUP(J13,Collection!A:A,Collection!D:D,0)/100/_xlfn.XLOOKUP(J13,Collection!A:A,Collection!J:J,0),_xlfn.XLOOKUP(J13,Sold!A:A,Sold!D:D,0)/100/_xlfn.XLOOKUP(J13,Sold!A:A,Sold!J:J,0))</f>
        <v>4.01</v>
      </c>
      <c r="U13" s="1">
        <f t="shared" si="6"/>
        <v>2.4063636363636363</v>
      </c>
      <c r="V13" s="18">
        <f>COUNTIF(Collection!A:A,J13)+COUNTIF(Sold!A:A,J13)</f>
        <v>1</v>
      </c>
      <c r="W13" t="str">
        <f>IFERROR(_xlfn.TEXTAFTER(_xlfn.XLOOKUP(J13,Collection!A:A,Collection!C:C,),"Cards "),_xlfn.TEXTAFTER(_xlfn.XLOOKUP(J13,Sold!A:A,Sold!C:C,),"Cards "))</f>
        <v>2025 Topps Chrome</v>
      </c>
      <c r="X13" s="18" t="str">
        <f>IFERROR(_xlfn.XLOOKUP(J13,Collection!A:A,Collection!B:B,),_xlfn.XLOOKUP(J13,Sold!A:A,Sold!B:B,))</f>
        <v>Daniel Gafford [Purple Refractor] #78</v>
      </c>
      <c r="Y13" s="53" t="s">
        <v>507</v>
      </c>
      <c r="AB13" s="8" t="s">
        <v>730</v>
      </c>
      <c r="AC13" s="2">
        <v>1</v>
      </c>
    </row>
    <row r="14" spans="2:29" x14ac:dyDescent="0.3">
      <c r="B14" s="10" t="s">
        <v>691</v>
      </c>
      <c r="C14" s="10" t="s">
        <v>1</v>
      </c>
      <c r="D14" s="5">
        <v>46146</v>
      </c>
      <c r="E14" s="6">
        <v>276</v>
      </c>
      <c r="F14" s="4">
        <v>1</v>
      </c>
      <c r="G14" s="4">
        <v>0.2</v>
      </c>
      <c r="H14" s="4">
        <v>0.12</v>
      </c>
      <c r="I14" s="10" t="s">
        <v>15</v>
      </c>
      <c r="J14" s="10">
        <v>5178537</v>
      </c>
      <c r="K14" s="10">
        <v>394</v>
      </c>
      <c r="L14" s="16" t="s">
        <v>42</v>
      </c>
      <c r="M14" s="53" t="s">
        <v>1341</v>
      </c>
      <c r="N14" t="str">
        <f t="shared" si="0"/>
        <v>whatnot.com/order/XWP5KdeeCdt8TKjdVmH5ek
$1.00 + $0.45 (Shared Shipping) + $0.15 Tax = Total of $1.60</v>
      </c>
      <c r="O14" s="2">
        <f t="shared" si="1"/>
        <v>1.3199999999999998</v>
      </c>
      <c r="P14" s="1">
        <f t="shared" si="2"/>
        <v>0.45454545454545453</v>
      </c>
      <c r="Q14" s="1">
        <f t="shared" si="3"/>
        <v>1.4545454545454546</v>
      </c>
      <c r="R14" s="1">
        <f t="shared" si="4"/>
        <v>0.14909090909090908</v>
      </c>
      <c r="S14" s="1">
        <f t="shared" si="5"/>
        <v>1.6036363636363637</v>
      </c>
      <c r="T14" s="1">
        <f>IFERROR(_xlfn.XLOOKUP(J14,Collection!A:A,Collection!D:D,0)/100/_xlfn.XLOOKUP(J14,Collection!A:A,Collection!J:J,0),_xlfn.XLOOKUP(J14,Sold!A:A,Sold!D:D,0)/100/_xlfn.XLOOKUP(J14,Sold!A:A,Sold!J:J,0))</f>
        <v>1.55</v>
      </c>
      <c r="U14" s="1">
        <f t="shared" si="6"/>
        <v>-5.3636363636363704E-2</v>
      </c>
      <c r="V14" s="18">
        <f>COUNTIF(Collection!A:A,J14)+COUNTIF(Sold!A:A,J14)</f>
        <v>1</v>
      </c>
      <c r="W14" t="str">
        <f>IFERROR(_xlfn.TEXTAFTER(_xlfn.XLOOKUP(J14,Collection!A:A,Collection!C:C,),"Cards "),_xlfn.TEXTAFTER(_xlfn.XLOOKUP(J14,Sold!A:A,Sold!C:C,),"Cards "))</f>
        <v>2022 Panini Contenders Suite Shots</v>
      </c>
      <c r="X14" s="18" t="str">
        <f>IFERROR(_xlfn.XLOOKUP(J14,Collection!A:A,Collection!B:B,),_xlfn.XLOOKUP(J14,Sold!A:A,Sold!B:B,))</f>
        <v>Jamal Murray #9</v>
      </c>
      <c r="Y14" s="53" t="s">
        <v>507</v>
      </c>
      <c r="AB14" s="8" t="s">
        <v>1058</v>
      </c>
      <c r="AC14" s="2">
        <v>0.68344999999999878</v>
      </c>
    </row>
    <row r="15" spans="2:29" x14ac:dyDescent="0.3">
      <c r="B15" s="10" t="s">
        <v>691</v>
      </c>
      <c r="C15" s="10" t="s">
        <v>1</v>
      </c>
      <c r="D15" s="5">
        <v>46146</v>
      </c>
      <c r="E15" s="6">
        <v>289</v>
      </c>
      <c r="F15" s="4">
        <v>4</v>
      </c>
      <c r="G15" s="4">
        <v>0</v>
      </c>
      <c r="H15" s="4">
        <v>0.41</v>
      </c>
      <c r="I15" s="10" t="s">
        <v>11</v>
      </c>
      <c r="J15" s="10">
        <v>5463744</v>
      </c>
      <c r="K15" s="10">
        <v>584</v>
      </c>
      <c r="L15" s="16" t="s">
        <v>43</v>
      </c>
      <c r="M15" s="53" t="s">
        <v>1342</v>
      </c>
      <c r="N15" t="str">
        <f t="shared" si="0"/>
        <v>whatnot.com/order/hQVu9JLwFefwSJcu3QwY6E
$4.00 + $0.45 (Shared Shipping) + $0.46 Tax = Total of $4.91</v>
      </c>
      <c r="O15" s="2">
        <f t="shared" si="1"/>
        <v>4.41</v>
      </c>
      <c r="P15" s="1">
        <f t="shared" si="2"/>
        <v>0.45454545454545453</v>
      </c>
      <c r="Q15" s="1">
        <f t="shared" si="3"/>
        <v>4.4545454545454541</v>
      </c>
      <c r="R15" s="1">
        <f t="shared" si="4"/>
        <v>0.45659090909090905</v>
      </c>
      <c r="S15" s="1">
        <f t="shared" si="5"/>
        <v>4.9111363636363627</v>
      </c>
      <c r="T15" s="1">
        <f>IFERROR(_xlfn.XLOOKUP(J15,Collection!A:A,Collection!D:D,0)/100/_xlfn.XLOOKUP(J15,Collection!A:A,Collection!J:J,0),_xlfn.XLOOKUP(J15,Sold!A:A,Sold!D:D,0)/100/_xlfn.XLOOKUP(J15,Sold!A:A,Sold!J:J,0))</f>
        <v>0.62</v>
      </c>
      <c r="U15" s="1">
        <f t="shared" si="6"/>
        <v>-4.2911363636363626</v>
      </c>
      <c r="V15" s="18">
        <f>COUNTIF(Collection!A:A,J15)+COUNTIF(Sold!A:A,J15)</f>
        <v>1</v>
      </c>
      <c r="W15" t="str">
        <f>IFERROR(_xlfn.TEXTAFTER(_xlfn.XLOOKUP(J15,Collection!A:A,Collection!C:C,),"Cards "),_xlfn.TEXTAFTER(_xlfn.XLOOKUP(J15,Sold!A:A,Sold!C:C,),"Cards "))</f>
        <v>2022 Panini Select</v>
      </c>
      <c r="X15" s="18" t="str">
        <f>IFERROR(_xlfn.XLOOKUP(J15,Collection!A:A,Collection!B:B,),_xlfn.XLOOKUP(J15,Sold!A:A,Sold!B:B,))</f>
        <v>Luka Doncic #151</v>
      </c>
      <c r="Y15" s="53" t="s">
        <v>507</v>
      </c>
      <c r="AB15" s="8" t="s">
        <v>1129</v>
      </c>
      <c r="AC15" s="2">
        <v>0.44252500000000028</v>
      </c>
    </row>
    <row r="16" spans="2:29" x14ac:dyDescent="0.3">
      <c r="B16" s="10" t="s">
        <v>691</v>
      </c>
      <c r="C16" s="10" t="s">
        <v>1</v>
      </c>
      <c r="D16" s="5">
        <v>46146</v>
      </c>
      <c r="E16" s="6">
        <v>293</v>
      </c>
      <c r="F16" s="4">
        <v>2</v>
      </c>
      <c r="G16" s="4">
        <v>0</v>
      </c>
      <c r="H16" s="4">
        <v>0.21</v>
      </c>
      <c r="I16" s="10" t="s">
        <v>10</v>
      </c>
      <c r="J16" s="10">
        <v>10190248</v>
      </c>
      <c r="K16" s="10">
        <v>443</v>
      </c>
      <c r="L16" s="16" t="s">
        <v>44</v>
      </c>
      <c r="M16" s="53" t="s">
        <v>1343</v>
      </c>
      <c r="N16" t="str">
        <f t="shared" si="0"/>
        <v>whatnot.com/order/HWhpJLX6J4h4DZZVCaeVYr
$2.00 + $0.45 (Shared Shipping) + $0.25 Tax = Total of $2.71</v>
      </c>
      <c r="O16" s="2">
        <f t="shared" si="1"/>
        <v>2.21</v>
      </c>
      <c r="P16" s="1">
        <f t="shared" si="2"/>
        <v>0.45454545454545453</v>
      </c>
      <c r="Q16" s="1">
        <f t="shared" si="3"/>
        <v>2.4545454545454546</v>
      </c>
      <c r="R16" s="1">
        <f t="shared" si="4"/>
        <v>0.25159090909090909</v>
      </c>
      <c r="S16" s="1">
        <f t="shared" si="5"/>
        <v>2.7061363636363636</v>
      </c>
      <c r="T16" s="1">
        <f>IFERROR(_xlfn.XLOOKUP(J16,Collection!A:A,Collection!D:D,0)/100/_xlfn.XLOOKUP(J16,Collection!A:A,Collection!J:J,0),_xlfn.XLOOKUP(J16,Sold!A:A,Sold!D:D,0)/100/_xlfn.XLOOKUP(J16,Sold!A:A,Sold!J:J,0))</f>
        <v>1.47</v>
      </c>
      <c r="U16" s="1">
        <f t="shared" si="6"/>
        <v>-1.2361363636363636</v>
      </c>
      <c r="V16" s="18">
        <f>COUNTIF(Collection!A:A,J16)+COUNTIF(Sold!A:A,J16)</f>
        <v>1</v>
      </c>
      <c r="W16" t="str">
        <f>IFERROR(_xlfn.TEXTAFTER(_xlfn.XLOOKUP(J16,Collection!A:A,Collection!C:C,),"Cards "),_xlfn.TEXTAFTER(_xlfn.XLOOKUP(J16,Sold!A:A,Sold!C:C,),"Cards "))</f>
        <v>2024 Panini Donruss Optic</v>
      </c>
      <c r="X16" s="18" t="str">
        <f>IFERROR(_xlfn.XLOOKUP(J16,Collection!A:A,Collection!B:B,),_xlfn.XLOOKUP(J16,Sold!A:A,Sold!B:B,))</f>
        <v>Nikola Jokic [Hyper Pink] #100</v>
      </c>
      <c r="Y16" s="53" t="s">
        <v>507</v>
      </c>
      <c r="AB16" s="8" t="s">
        <v>479</v>
      </c>
      <c r="AC16" s="2">
        <v>0.41077500000000011</v>
      </c>
    </row>
    <row r="17" spans="2:29" x14ac:dyDescent="0.3">
      <c r="B17" s="10" t="s">
        <v>691</v>
      </c>
      <c r="C17" s="10" t="s">
        <v>1</v>
      </c>
      <c r="D17" s="5">
        <v>46146</v>
      </c>
      <c r="E17" s="6">
        <v>302</v>
      </c>
      <c r="F17" s="4">
        <v>5</v>
      </c>
      <c r="G17" s="4">
        <v>0</v>
      </c>
      <c r="H17" s="4">
        <v>0.52</v>
      </c>
      <c r="I17" s="10" t="s">
        <v>16</v>
      </c>
      <c r="J17" s="10">
        <v>3727445</v>
      </c>
      <c r="K17" s="10">
        <v>274</v>
      </c>
      <c r="L17" s="16" t="s">
        <v>45</v>
      </c>
      <c r="M17" s="53" t="s">
        <v>1344</v>
      </c>
      <c r="N17" t="str">
        <f t="shared" si="0"/>
        <v>whatnot.com/order/o3mHoMSnpC2X8C3j6r4tiK
$5.00 + $0.45 (Shared Shipping) + $0.56 Tax = Total of $6.01</v>
      </c>
      <c r="O17" s="2">
        <f t="shared" si="1"/>
        <v>5.52</v>
      </c>
      <c r="P17" s="1">
        <f t="shared" si="2"/>
        <v>0.45454545454545453</v>
      </c>
      <c r="Q17" s="1">
        <f t="shared" si="3"/>
        <v>5.4545454545454541</v>
      </c>
      <c r="R17" s="1">
        <f t="shared" si="4"/>
        <v>0.55909090909090897</v>
      </c>
      <c r="S17" s="1">
        <f t="shared" si="5"/>
        <v>6.0136363636363628</v>
      </c>
      <c r="T17" s="1">
        <f>IFERROR(_xlfn.XLOOKUP(J17,Collection!A:A,Collection!D:D,0)/100/_xlfn.XLOOKUP(J17,Collection!A:A,Collection!J:J,0),_xlfn.XLOOKUP(J17,Sold!A:A,Sold!D:D,0)/100/_xlfn.XLOOKUP(J17,Sold!A:A,Sold!J:J,0))</f>
        <v>2.37</v>
      </c>
      <c r="U17" s="1">
        <f t="shared" si="6"/>
        <v>-3.6436363636363627</v>
      </c>
      <c r="V17" s="18">
        <f>COUNTIF(Collection!A:A,J17)+COUNTIF(Sold!A:A,J17)</f>
        <v>1</v>
      </c>
      <c r="W17" t="str">
        <f>IFERROR(_xlfn.TEXTAFTER(_xlfn.XLOOKUP(J17,Collection!A:A,Collection!C:C,),"Cards "),_xlfn.TEXTAFTER(_xlfn.XLOOKUP(J17,Sold!A:A,Sold!C:C,),"Cards "))</f>
        <v>2021 Panini Prizm</v>
      </c>
      <c r="X17" s="18" t="str">
        <f>IFERROR(_xlfn.XLOOKUP(J17,Collection!A:A,Collection!B:B,),_xlfn.XLOOKUP(J17,Sold!A:A,Sold!B:B,))</f>
        <v>Austin Reaves #165</v>
      </c>
      <c r="Y17" s="53" t="s">
        <v>507</v>
      </c>
      <c r="AB17" s="8" t="s">
        <v>474</v>
      </c>
      <c r="AC17" s="2">
        <v>0.28754999999999997</v>
      </c>
    </row>
    <row r="18" spans="2:29" x14ac:dyDescent="0.3">
      <c r="B18" s="10" t="s">
        <v>691</v>
      </c>
      <c r="C18" s="10" t="s">
        <v>1</v>
      </c>
      <c r="D18" s="5">
        <v>46146</v>
      </c>
      <c r="E18" s="6">
        <v>352</v>
      </c>
      <c r="F18" s="4">
        <v>5</v>
      </c>
      <c r="G18" s="4">
        <v>0</v>
      </c>
      <c r="H18" s="4">
        <v>0.52</v>
      </c>
      <c r="I18" s="10" t="s">
        <v>17</v>
      </c>
      <c r="J18" s="10">
        <v>3401118</v>
      </c>
      <c r="K18" s="10">
        <v>290</v>
      </c>
      <c r="L18" s="16" t="s">
        <v>46</v>
      </c>
      <c r="M18" s="53" t="s">
        <v>1345</v>
      </c>
      <c r="N18" t="str">
        <f t="shared" si="0"/>
        <v>whatnot.com/order/3bymbw4YA5kuEYFfvvyWw2
$5.00 + $0.45 (Shared Shipping) + $0.56 Tax = Total of $6.01</v>
      </c>
      <c r="O18" s="2">
        <f t="shared" si="1"/>
        <v>5.52</v>
      </c>
      <c r="P18" s="1">
        <f t="shared" si="2"/>
        <v>0.45454545454545453</v>
      </c>
      <c r="Q18" s="1">
        <f t="shared" si="3"/>
        <v>5.4545454545454541</v>
      </c>
      <c r="R18" s="1">
        <f t="shared" si="4"/>
        <v>0.55909090909090897</v>
      </c>
      <c r="S18" s="1">
        <f t="shared" si="5"/>
        <v>6.0136363636363628</v>
      </c>
      <c r="T18" s="1">
        <f>IFERROR(_xlfn.XLOOKUP(J18,Collection!A:A,Collection!D:D,0)/100/_xlfn.XLOOKUP(J18,Collection!A:A,Collection!J:J,0),_xlfn.XLOOKUP(J18,Sold!A:A,Sold!D:D,0)/100/_xlfn.XLOOKUP(J18,Sold!A:A,Sold!J:J,0))</f>
        <v>1.7</v>
      </c>
      <c r="U18" s="1">
        <f t="shared" si="6"/>
        <v>-4.3136363636363626</v>
      </c>
      <c r="V18" s="18">
        <f>COUNTIF(Collection!A:A,J18)+COUNTIF(Sold!A:A,J18)</f>
        <v>1</v>
      </c>
      <c r="W18" t="str">
        <f>IFERROR(_xlfn.TEXTAFTER(_xlfn.XLOOKUP(J18,Collection!A:A,Collection!C:C,),"Cards "),_xlfn.TEXTAFTER(_xlfn.XLOOKUP(J18,Sold!A:A,Sold!C:C,),"Cards "))</f>
        <v>2020 Panini Prizm Emergent</v>
      </c>
      <c r="X18" s="18" t="str">
        <f>IFERROR(_xlfn.XLOOKUP(J18,Collection!A:A,Collection!B:B,),_xlfn.XLOOKUP(J18,Sold!A:A,Sold!B:B,))</f>
        <v>Anthony Edwards #3</v>
      </c>
      <c r="Y18" s="53" t="s">
        <v>507</v>
      </c>
      <c r="AB18" s="8" t="s">
        <v>787</v>
      </c>
      <c r="AC18" s="2">
        <v>0.15862352941176483</v>
      </c>
    </row>
    <row r="19" spans="2:29" x14ac:dyDescent="0.3">
      <c r="B19" s="10" t="s">
        <v>691</v>
      </c>
      <c r="C19" s="10" t="s">
        <v>12</v>
      </c>
      <c r="D19" s="5">
        <v>46145</v>
      </c>
      <c r="E19" s="6">
        <v>44</v>
      </c>
      <c r="F19" s="4">
        <v>3</v>
      </c>
      <c r="G19" s="4">
        <v>0.78</v>
      </c>
      <c r="H19" s="4">
        <v>0.39</v>
      </c>
      <c r="I19" s="10" t="s">
        <v>11</v>
      </c>
      <c r="J19" s="10">
        <v>4166936</v>
      </c>
      <c r="K19" s="10">
        <v>474</v>
      </c>
      <c r="L19" s="16" t="s">
        <v>57</v>
      </c>
      <c r="M19" s="53" t="s">
        <v>1346</v>
      </c>
      <c r="N19" t="str">
        <f t="shared" si="0"/>
        <v>whatnot.com/order/gS3Pko5Lnk9cRAzYzXbJeF
$3.00 + $0.36 (Shared Shipping) + $0.34 Tax = Total of $3.71</v>
      </c>
      <c r="O19" s="1">
        <f t="shared" si="1"/>
        <v>4.17</v>
      </c>
      <c r="P19" s="1">
        <f t="shared" si="2"/>
        <v>0.36333333333333334</v>
      </c>
      <c r="Q19" s="1">
        <f t="shared" si="3"/>
        <v>3.3633333333333333</v>
      </c>
      <c r="R19" s="1">
        <f t="shared" si="4"/>
        <v>0.34474166666666667</v>
      </c>
      <c r="S19" s="1">
        <f t="shared" si="5"/>
        <v>3.708075</v>
      </c>
      <c r="T19" s="1">
        <f>IFERROR(_xlfn.XLOOKUP(J19,Collection!A:A,Collection!D:D,0)/100/_xlfn.XLOOKUP(J19,Collection!A:A,Collection!J:J,0),_xlfn.XLOOKUP(J19,Sold!A:A,Sold!D:D,0)/100/_xlfn.XLOOKUP(J19,Sold!A:A,Sold!J:J,0))</f>
        <v>1.3</v>
      </c>
      <c r="U19" s="1">
        <f t="shared" si="6"/>
        <v>-2.4080750000000002</v>
      </c>
      <c r="V19" s="18">
        <f>COUNTIF(Collection!A:A,J19)+COUNTIF(Sold!A:A,J19)</f>
        <v>1</v>
      </c>
      <c r="W19" t="str">
        <f>IFERROR(_xlfn.TEXTAFTER(_xlfn.XLOOKUP(J19,Collection!A:A,Collection!C:C,),"Cards "),_xlfn.TEXTAFTER(_xlfn.XLOOKUP(J19,Sold!A:A,Sold!C:C,),"Cards "))</f>
        <v>2021 Panini Chronicles</v>
      </c>
      <c r="X19" s="18" t="str">
        <f>IFERROR(_xlfn.XLOOKUP(J19,Collection!A:A,Collection!B:B,),_xlfn.XLOOKUP(J19,Sold!A:A,Sold!B:B,))</f>
        <v>Luka Doncic #304</v>
      </c>
      <c r="Y19" s="53" t="s">
        <v>507</v>
      </c>
      <c r="AB19" s="8" t="s">
        <v>962</v>
      </c>
      <c r="AC19" s="2">
        <v>0.14341250000000105</v>
      </c>
    </row>
    <row r="20" spans="2:29" x14ac:dyDescent="0.3">
      <c r="B20" s="10" t="s">
        <v>691</v>
      </c>
      <c r="C20" s="10" t="s">
        <v>12</v>
      </c>
      <c r="D20" s="5">
        <v>46145</v>
      </c>
      <c r="E20" s="6">
        <v>47</v>
      </c>
      <c r="F20" s="4">
        <v>1</v>
      </c>
      <c r="G20" s="4">
        <v>0.31</v>
      </c>
      <c r="H20" s="4">
        <v>0.15</v>
      </c>
      <c r="I20" s="10" t="s">
        <v>63</v>
      </c>
      <c r="J20" s="10">
        <v>10210235</v>
      </c>
      <c r="K20" s="10">
        <v>278</v>
      </c>
      <c r="L20" s="16" t="s">
        <v>56</v>
      </c>
      <c r="M20" s="53" t="s">
        <v>1347</v>
      </c>
      <c r="N20" t="str">
        <f t="shared" si="0"/>
        <v>whatnot.com/order/MBKbDgY5r4SpwfRrdpBamt
$1.00 + $0.36 (Shared Shipping) + $0.14 Tax = Total of $1.50</v>
      </c>
      <c r="O20" s="1">
        <f t="shared" si="1"/>
        <v>1.46</v>
      </c>
      <c r="P20" s="1">
        <f t="shared" si="2"/>
        <v>0.36333333333333334</v>
      </c>
      <c r="Q20" s="1">
        <f t="shared" si="3"/>
        <v>1.3633333333333333</v>
      </c>
      <c r="R20" s="1">
        <f t="shared" si="4"/>
        <v>0.13974166666666665</v>
      </c>
      <c r="S20" s="1">
        <f t="shared" si="5"/>
        <v>1.5030749999999999</v>
      </c>
      <c r="T20" s="1">
        <f>IFERROR(_xlfn.XLOOKUP(J20,Collection!A:A,Collection!D:D,0)/100/_xlfn.XLOOKUP(J20,Collection!A:A,Collection!J:J,0),_xlfn.XLOOKUP(J20,Sold!A:A,Sold!D:D,0)/100/_xlfn.XLOOKUP(J20,Sold!A:A,Sold!J:J,0))</f>
        <v>1.99</v>
      </c>
      <c r="U20" s="1">
        <f t="shared" si="6"/>
        <v>0.48692500000000005</v>
      </c>
      <c r="V20" s="18">
        <f>COUNTIF(Collection!A:A,J20)+COUNTIF(Sold!A:A,J20)</f>
        <v>1</v>
      </c>
      <c r="W20" t="str">
        <f>IFERROR(_xlfn.TEXTAFTER(_xlfn.XLOOKUP(J20,Collection!A:A,Collection!C:C,),"Cards "),_xlfn.TEXTAFTER(_xlfn.XLOOKUP(J20,Sold!A:A,Sold!C:C,),"Cards "))</f>
        <v>2024 Panini Donruss Optic Express Lane</v>
      </c>
      <c r="X20" s="18" t="str">
        <f>IFERROR(_xlfn.XLOOKUP(J20,Collection!A:A,Collection!B:B,),_xlfn.XLOOKUP(J20,Sold!A:A,Sold!B:B,))</f>
        <v>Stephen Curry [Holo] #13</v>
      </c>
      <c r="Y20" s="53" t="s">
        <v>507</v>
      </c>
      <c r="AB20" s="8" t="s">
        <v>713</v>
      </c>
      <c r="AC20" s="2">
        <v>9.00249999999998E-2</v>
      </c>
    </row>
    <row r="21" spans="2:29" x14ac:dyDescent="0.3">
      <c r="B21" s="10" t="s">
        <v>691</v>
      </c>
      <c r="C21" s="10" t="s">
        <v>12</v>
      </c>
      <c r="D21" s="5">
        <v>46145</v>
      </c>
      <c r="E21" s="6">
        <v>48</v>
      </c>
      <c r="F21" s="4">
        <v>1</v>
      </c>
      <c r="G21" s="4">
        <v>0</v>
      </c>
      <c r="H21" s="4">
        <v>0.11</v>
      </c>
      <c r="I21" s="10" t="s">
        <v>10</v>
      </c>
      <c r="J21" s="10">
        <v>11496915</v>
      </c>
      <c r="K21" s="10">
        <v>539</v>
      </c>
      <c r="L21" s="16" t="s">
        <v>55</v>
      </c>
      <c r="M21" s="53" t="s">
        <v>1348</v>
      </c>
      <c r="N21" t="str">
        <f t="shared" si="0"/>
        <v>whatnot.com/order/cJNMnCPndL2PTYmXUShR4H
$1.00 + $0.36 (Shared Shipping) + $0.14 Tax = Total of $1.50</v>
      </c>
      <c r="O21" s="1">
        <f t="shared" si="1"/>
        <v>1.1100000000000001</v>
      </c>
      <c r="P21" s="1">
        <f t="shared" si="2"/>
        <v>0.36333333333333334</v>
      </c>
      <c r="Q21" s="1">
        <f t="shared" si="3"/>
        <v>1.3633333333333333</v>
      </c>
      <c r="R21" s="1">
        <f t="shared" si="4"/>
        <v>0.13974166666666665</v>
      </c>
      <c r="S21" s="1">
        <f t="shared" si="5"/>
        <v>1.5030749999999999</v>
      </c>
      <c r="T21" s="1">
        <f>IFERROR(_xlfn.XLOOKUP(J21,Collection!A:A,Collection!D:D,0)/100/_xlfn.XLOOKUP(J21,Collection!A:A,Collection!J:J,0),_xlfn.XLOOKUP(J21,Sold!A:A,Sold!D:D,0)/100/_xlfn.XLOOKUP(J21,Sold!A:A,Sold!J:J,0))</f>
        <v>0.99</v>
      </c>
      <c r="U21" s="1">
        <f t="shared" si="6"/>
        <v>-0.51307499999999995</v>
      </c>
      <c r="V21" s="18">
        <f>COUNTIF(Collection!A:A,J21)+COUNTIF(Sold!A:A,J21)</f>
        <v>1</v>
      </c>
      <c r="W21" t="str">
        <f>IFERROR(_xlfn.TEXTAFTER(_xlfn.XLOOKUP(J21,Collection!A:A,Collection!C:C,),"Cards "),_xlfn.TEXTAFTER(_xlfn.XLOOKUP(J21,Sold!A:A,Sold!C:C,),"Cards "))</f>
        <v>2025 Topps Chrome Go Time</v>
      </c>
      <c r="X21" s="18" t="str">
        <f>IFERROR(_xlfn.XLOOKUP(J21,Collection!A:A,Collection!B:B,),_xlfn.XLOOKUP(J21,Sold!A:A,Sold!B:B,))</f>
        <v>Nikola Jokic #GT-9</v>
      </c>
      <c r="Y21" s="53" t="s">
        <v>507</v>
      </c>
      <c r="AB21" s="8" t="s">
        <v>481</v>
      </c>
      <c r="AC21" s="2">
        <v>0</v>
      </c>
    </row>
    <row r="22" spans="2:29" x14ac:dyDescent="0.3">
      <c r="B22" s="10" t="s">
        <v>691</v>
      </c>
      <c r="C22" s="10" t="s">
        <v>22</v>
      </c>
      <c r="D22" s="5">
        <v>46145</v>
      </c>
      <c r="E22" s="6">
        <v>1326</v>
      </c>
      <c r="F22" s="4">
        <v>6</v>
      </c>
      <c r="G22" s="4">
        <v>1.39</v>
      </c>
      <c r="H22" s="4">
        <v>0.76</v>
      </c>
      <c r="I22" s="10" t="s">
        <v>10</v>
      </c>
      <c r="J22" s="10">
        <v>11829461</v>
      </c>
      <c r="K22" s="10">
        <v>208</v>
      </c>
      <c r="L22" s="16" t="s">
        <v>53</v>
      </c>
      <c r="M22" s="53" t="s">
        <v>1349</v>
      </c>
      <c r="N22" t="str">
        <f t="shared" si="0"/>
        <v>whatnot.com/order/Wurw4zw2wFBAE84zbwVyWp
$6.00 + $2.48 (Shared Shipping) + $0.87 Tax = Total of $9.34</v>
      </c>
      <c r="O22" s="1">
        <f t="shared" si="1"/>
        <v>8.15</v>
      </c>
      <c r="P22" s="1">
        <f t="shared" si="2"/>
        <v>2.4750000000000001</v>
      </c>
      <c r="Q22" s="1">
        <f t="shared" si="3"/>
        <v>8.4749999999999996</v>
      </c>
      <c r="R22" s="1">
        <f t="shared" si="4"/>
        <v>0.86868749999999995</v>
      </c>
      <c r="S22" s="1">
        <f t="shared" si="5"/>
        <v>9.3436874999999997</v>
      </c>
      <c r="T22" s="1">
        <f>IFERROR(_xlfn.XLOOKUP(J22,Collection!A:A,Collection!D:D,0)/100/_xlfn.XLOOKUP(J22,Collection!A:A,Collection!J:J,0),_xlfn.XLOOKUP(J22,Sold!A:A,Sold!D:D,0)/100/_xlfn.XLOOKUP(J22,Sold!A:A,Sold!J:J,0))</f>
        <v>2.4900000000000002</v>
      </c>
      <c r="U22" s="1">
        <f t="shared" si="6"/>
        <v>-6.8536874999999995</v>
      </c>
      <c r="V22" s="18">
        <f>COUNTIF(Collection!A:A,J22)+COUNTIF(Sold!A:A,J22)</f>
        <v>1</v>
      </c>
      <c r="W22" t="str">
        <f>IFERROR(_xlfn.TEXTAFTER(_xlfn.XLOOKUP(J22,Collection!A:A,Collection!C:C,),"Cards "),_xlfn.TEXTAFTER(_xlfn.XLOOKUP(J22,Sold!A:A,Sold!C:C,),"Cards "))</f>
        <v>2025 Topps Match Attax</v>
      </c>
      <c r="X22" s="18" t="str">
        <f>IFERROR(_xlfn.XLOOKUP(J22,Collection!A:A,Collection!B:B,),_xlfn.XLOOKUP(J22,Sold!A:A,Sold!B:B,))</f>
        <v>Nikola Jokic [Blue] #60</v>
      </c>
      <c r="Y22" s="53" t="s">
        <v>507</v>
      </c>
      <c r="AB22" s="8" t="s">
        <v>966</v>
      </c>
      <c r="AC22" s="2">
        <v>0</v>
      </c>
    </row>
    <row r="23" spans="2:29" x14ac:dyDescent="0.3">
      <c r="B23" s="10" t="s">
        <v>691</v>
      </c>
      <c r="C23" s="10" t="s">
        <v>22</v>
      </c>
      <c r="D23" s="5">
        <v>46145</v>
      </c>
      <c r="E23" s="6">
        <v>1352</v>
      </c>
      <c r="F23" s="4">
        <v>8</v>
      </c>
      <c r="G23" s="4">
        <v>3.56</v>
      </c>
      <c r="H23" s="4">
        <v>1.18</v>
      </c>
      <c r="I23" s="10" t="s">
        <v>63</v>
      </c>
      <c r="J23" s="10">
        <v>11497213</v>
      </c>
      <c r="K23" s="10">
        <v>337</v>
      </c>
      <c r="L23" s="16" t="s">
        <v>54</v>
      </c>
      <c r="M23" s="53" t="s">
        <v>1350</v>
      </c>
      <c r="N23" t="str">
        <f t="shared" si="0"/>
        <v>whatnot.com/order/3hBZtxnc5D7aSBGh5GQwZ2
$8.00 + $2.48 (Shared Shipping) + $1.07 Tax = Total of $11.55</v>
      </c>
      <c r="O23" s="1">
        <f t="shared" si="1"/>
        <v>12.74</v>
      </c>
      <c r="P23" s="1">
        <f t="shared" si="2"/>
        <v>2.4750000000000001</v>
      </c>
      <c r="Q23" s="1">
        <f t="shared" si="3"/>
        <v>10.475</v>
      </c>
      <c r="R23" s="1">
        <f t="shared" si="4"/>
        <v>1.0736874999999999</v>
      </c>
      <c r="S23" s="1">
        <f t="shared" si="5"/>
        <v>11.5486875</v>
      </c>
      <c r="T23" s="1">
        <f>IFERROR(_xlfn.XLOOKUP(J23,Collection!A:A,Collection!D:D,0)/100/_xlfn.XLOOKUP(J23,Collection!A:A,Collection!J:J,0),_xlfn.XLOOKUP(J23,Sold!A:A,Sold!D:D,0)/100/_xlfn.XLOOKUP(J23,Sold!A:A,Sold!J:J,0))</f>
        <v>1.37</v>
      </c>
      <c r="U23" s="1">
        <f t="shared" si="6"/>
        <v>-10.178687499999999</v>
      </c>
      <c r="V23" s="18">
        <f>COUNTIF(Collection!A:A,J23)+COUNTIF(Sold!A:A,J23)</f>
        <v>1</v>
      </c>
      <c r="W23" t="str">
        <f>IFERROR(_xlfn.TEXTAFTER(_xlfn.XLOOKUP(J23,Collection!A:A,Collection!C:C,),"Cards "),_xlfn.TEXTAFTER(_xlfn.XLOOKUP(J23,Sold!A:A,Sold!C:C,),"Cards "))</f>
        <v>2025 Topps Chrome Ball Of Duty</v>
      </c>
      <c r="X23" s="18" t="str">
        <f>IFERROR(_xlfn.XLOOKUP(J23,Collection!A:A,Collection!B:B,),_xlfn.XLOOKUP(J23,Sold!A:A,Sold!B:B,))</f>
        <v>Stephen Curry #BD-9</v>
      </c>
      <c r="Y23" s="53" t="s">
        <v>507</v>
      </c>
      <c r="AB23" s="8" t="s">
        <v>25</v>
      </c>
      <c r="AC23" s="2">
        <v>0</v>
      </c>
    </row>
    <row r="24" spans="2:29" x14ac:dyDescent="0.3">
      <c r="B24" s="10" t="s">
        <v>691</v>
      </c>
      <c r="C24" s="10" t="s">
        <v>23</v>
      </c>
      <c r="D24" s="5">
        <v>46146</v>
      </c>
      <c r="E24" s="6">
        <v>216</v>
      </c>
      <c r="F24" s="4">
        <v>4</v>
      </c>
      <c r="G24" s="4">
        <v>0</v>
      </c>
      <c r="H24" s="4">
        <v>0.41</v>
      </c>
      <c r="I24" s="10" t="s">
        <v>467</v>
      </c>
      <c r="J24" s="10">
        <v>2478471</v>
      </c>
      <c r="K24" s="10">
        <v>128</v>
      </c>
      <c r="L24" s="16" t="s">
        <v>82</v>
      </c>
      <c r="M24" s="53" t="s">
        <v>1351</v>
      </c>
      <c r="N24" t="str">
        <f t="shared" si="0"/>
        <v>whatnot.com/order/3L3ttnP3dWr4gppLFyVTfw
$4.00 + $0.00 (Shared Shipping) + $0.41 Tax = Total of $4.41</v>
      </c>
      <c r="O24" s="1">
        <f t="shared" si="1"/>
        <v>4.41</v>
      </c>
      <c r="P24" s="1">
        <f t="shared" si="2"/>
        <v>0</v>
      </c>
      <c r="Q24" s="1">
        <f t="shared" si="3"/>
        <v>4</v>
      </c>
      <c r="R24" s="1">
        <f t="shared" si="4"/>
        <v>0.41</v>
      </c>
      <c r="S24" s="1">
        <f t="shared" si="5"/>
        <v>4.41</v>
      </c>
      <c r="T24" s="1">
        <f>IFERROR(_xlfn.XLOOKUP(J24,Collection!A:A,Collection!D:D,0)/100/_xlfn.XLOOKUP(J24,Collection!A:A,Collection!J:J,0),_xlfn.XLOOKUP(J24,Sold!A:A,Sold!D:D,0)/100/_xlfn.XLOOKUP(J24,Sold!A:A,Sold!J:J,0))</f>
        <v>3.89</v>
      </c>
      <c r="U24" s="1">
        <f t="shared" si="6"/>
        <v>-0.52</v>
      </c>
      <c r="V24" s="18">
        <f>COUNTIF(Collection!A:A,J24)+COUNTIF(Sold!A:A,J24)</f>
        <v>1</v>
      </c>
      <c r="W24" t="str">
        <f>IFERROR(_xlfn.TEXTAFTER(_xlfn.XLOOKUP(J24,Collection!A:A,Collection!C:C,),"Cards "),_xlfn.TEXTAFTER(_xlfn.XLOOKUP(J24,Sold!A:A,Sold!C:C,),"Cards "))</f>
        <v>2020 Panini Clearly Donruss</v>
      </c>
      <c r="X24" s="18" t="str">
        <f>IFERROR(_xlfn.XLOOKUP(J24,Collection!A:A,Collection!B:B,),_xlfn.XLOOKUP(J24,Sold!A:A,Sold!B:B,))</f>
        <v>Tyrese Haliburton #75</v>
      </c>
      <c r="Y24" s="53" t="s">
        <v>507</v>
      </c>
      <c r="AB24" s="8" t="s">
        <v>480</v>
      </c>
      <c r="AC24" s="2">
        <v>-0.48667499999999952</v>
      </c>
    </row>
    <row r="25" spans="2:29" x14ac:dyDescent="0.3">
      <c r="B25" s="10" t="s">
        <v>691</v>
      </c>
      <c r="C25" s="10" t="s">
        <v>23</v>
      </c>
      <c r="D25" s="5">
        <v>46146</v>
      </c>
      <c r="E25" s="6">
        <v>222</v>
      </c>
      <c r="F25" s="4">
        <v>4</v>
      </c>
      <c r="G25" s="4">
        <v>0</v>
      </c>
      <c r="H25" s="4">
        <v>0.41</v>
      </c>
      <c r="I25" s="10" t="s">
        <v>469</v>
      </c>
      <c r="J25" s="10">
        <v>4838082</v>
      </c>
      <c r="K25" s="10">
        <v>398</v>
      </c>
      <c r="L25" s="16" t="s">
        <v>83</v>
      </c>
      <c r="M25" s="53" t="s">
        <v>1352</v>
      </c>
      <c r="N25" t="str">
        <f t="shared" si="0"/>
        <v>whatnot.com/order/iCNDrAZ6Wd9xsmW5GPkgEJ
$4.00 + $0.00 (Shared Shipping) + $0.41 Tax = Total of $4.41</v>
      </c>
      <c r="O25" s="1">
        <f t="shared" si="1"/>
        <v>4.41</v>
      </c>
      <c r="P25" s="1">
        <f t="shared" si="2"/>
        <v>0</v>
      </c>
      <c r="Q25" s="1">
        <f t="shared" si="3"/>
        <v>4</v>
      </c>
      <c r="R25" s="1">
        <f t="shared" si="4"/>
        <v>0.41</v>
      </c>
      <c r="S25" s="1">
        <f t="shared" si="5"/>
        <v>4.41</v>
      </c>
      <c r="T25" s="1">
        <f>IFERROR(_xlfn.XLOOKUP(J25,Collection!A:A,Collection!D:D,0)/100/_xlfn.XLOOKUP(J25,Collection!A:A,Collection!J:J,0),_xlfn.XLOOKUP(J25,Sold!A:A,Sold!D:D,0)/100/_xlfn.XLOOKUP(J25,Sold!A:A,Sold!J:J,0))</f>
        <v>1.54</v>
      </c>
      <c r="U25" s="1">
        <f t="shared" si="6"/>
        <v>-2.87</v>
      </c>
      <c r="V25" s="18">
        <f>COUNTIF(Collection!A:A,J25)+COUNTIF(Sold!A:A,J25)</f>
        <v>1</v>
      </c>
      <c r="W25" t="str">
        <f>IFERROR(_xlfn.TEXTAFTER(_xlfn.XLOOKUP(J25,Collection!A:A,Collection!C:C,),"Cards "),_xlfn.TEXTAFTER(_xlfn.XLOOKUP(J25,Sold!A:A,Sold!C:C,),"Cards "))</f>
        <v>2022 Panini Donruss</v>
      </c>
      <c r="X25" s="18" t="str">
        <f>IFERROR(_xlfn.XLOOKUP(J25,Collection!A:A,Collection!B:B,),_xlfn.XLOOKUP(J25,Sold!A:A,Sold!B:B,))</f>
        <v>Giannis Antetokounmpo [Green Laser] #53</v>
      </c>
      <c r="Y25" s="53" t="s">
        <v>507</v>
      </c>
      <c r="AB25" s="8" t="s">
        <v>498</v>
      </c>
      <c r="AC25" s="2">
        <v>-0.59672499999999973</v>
      </c>
    </row>
    <row r="26" spans="2:29" x14ac:dyDescent="0.3">
      <c r="B26" s="10" t="s">
        <v>691</v>
      </c>
      <c r="C26" s="10" t="s">
        <v>23</v>
      </c>
      <c r="D26" s="5">
        <v>46146</v>
      </c>
      <c r="E26" s="6">
        <v>235</v>
      </c>
      <c r="F26" s="4">
        <v>6</v>
      </c>
      <c r="G26" s="4">
        <v>0</v>
      </c>
      <c r="H26" s="4">
        <v>0.62</v>
      </c>
      <c r="I26" s="10" t="s">
        <v>468</v>
      </c>
      <c r="J26" s="10">
        <v>4815724</v>
      </c>
      <c r="K26" s="10">
        <v>239</v>
      </c>
      <c r="L26" s="16" t="s">
        <v>84</v>
      </c>
      <c r="M26" s="53" t="s">
        <v>1353</v>
      </c>
      <c r="N26" t="str">
        <f t="shared" si="0"/>
        <v>whatnot.com/order/WpUhCqurDhocnQw9kQLniM
$6.00 + $0.00 (Shared Shipping) + $0.62 Tax = Total of $6.62</v>
      </c>
      <c r="O26" s="1">
        <f t="shared" si="1"/>
        <v>6.62</v>
      </c>
      <c r="P26" s="1">
        <f t="shared" si="2"/>
        <v>0</v>
      </c>
      <c r="Q26" s="1">
        <f t="shared" si="3"/>
        <v>6</v>
      </c>
      <c r="R26" s="1">
        <f t="shared" si="4"/>
        <v>0.61499999999999999</v>
      </c>
      <c r="S26" s="1">
        <f t="shared" si="5"/>
        <v>6.6150000000000002</v>
      </c>
      <c r="T26" s="1">
        <f>IFERROR(_xlfn.XLOOKUP(J26,Collection!A:A,Collection!D:D,0)/100/_xlfn.XLOOKUP(J26,Collection!A:A,Collection!J:J,0),_xlfn.XLOOKUP(J26,Sold!A:A,Sold!D:D,0)/100/_xlfn.XLOOKUP(J26,Sold!A:A,Sold!J:J,0))</f>
        <v>1.99</v>
      </c>
      <c r="U26" s="1">
        <f t="shared" si="6"/>
        <v>-4.625</v>
      </c>
      <c r="V26" s="18">
        <f>COUNTIF(Collection!A:A,J26)+COUNTIF(Sold!A:A,J26)</f>
        <v>1</v>
      </c>
      <c r="W26" t="str">
        <f>IFERROR(_xlfn.TEXTAFTER(_xlfn.XLOOKUP(J26,Collection!A:A,Collection!C:C,),"Cards "),_xlfn.TEXTAFTER(_xlfn.XLOOKUP(J26,Sold!A:A,Sold!C:C,),"Cards "))</f>
        <v>2022 Panini Prizm Draft Picks</v>
      </c>
      <c r="X26" s="18" t="str">
        <f>IFERROR(_xlfn.XLOOKUP(J26,Collection!A:A,Collection!B:B,),_xlfn.XLOOKUP(J26,Sold!A:A,Sold!B:B,))</f>
        <v>Shai Gilgeous Alexander [Silver] #43</v>
      </c>
      <c r="Y26" s="53" t="s">
        <v>507</v>
      </c>
      <c r="AB26" s="8" t="s">
        <v>471</v>
      </c>
      <c r="AC26" s="2">
        <v>-0.83422499999999999</v>
      </c>
    </row>
    <row r="27" spans="2:29" x14ac:dyDescent="0.3">
      <c r="B27" s="10" t="s">
        <v>691</v>
      </c>
      <c r="C27" s="10" t="s">
        <v>24</v>
      </c>
      <c r="D27" s="5">
        <v>46147</v>
      </c>
      <c r="E27" s="6">
        <v>7</v>
      </c>
      <c r="F27" s="4">
        <v>3</v>
      </c>
      <c r="G27" s="4">
        <v>4.55</v>
      </c>
      <c r="H27" s="4">
        <v>0.78</v>
      </c>
      <c r="I27" s="10" t="s">
        <v>466</v>
      </c>
      <c r="J27" s="10">
        <v>11881353</v>
      </c>
      <c r="K27" s="10">
        <v>288</v>
      </c>
      <c r="L27" s="16" t="s">
        <v>85</v>
      </c>
      <c r="M27" s="53" t="s">
        <v>1354</v>
      </c>
      <c r="N27" t="str">
        <f t="shared" si="0"/>
        <v>whatnot.com/order/84EtWmjxZp84PtP5CNdWys
$3.00 + $2.48 (Shared Shipping) + $0.56 Tax = Total of $6.04</v>
      </c>
      <c r="O27" s="1">
        <f t="shared" si="1"/>
        <v>8.33</v>
      </c>
      <c r="P27" s="1">
        <f t="shared" si="2"/>
        <v>2.4750000000000001</v>
      </c>
      <c r="Q27" s="1">
        <f t="shared" si="3"/>
        <v>5.4749999999999996</v>
      </c>
      <c r="R27" s="1">
        <f t="shared" si="4"/>
        <v>0.56118749999999995</v>
      </c>
      <c r="S27" s="1">
        <f t="shared" si="5"/>
        <v>6.0361874999999996</v>
      </c>
      <c r="T27" s="1">
        <f>IFERROR(_xlfn.XLOOKUP(J27,Collection!A:A,Collection!D:D,0)/100/_xlfn.XLOOKUP(J27,Collection!A:A,Collection!J:J,0),_xlfn.XLOOKUP(J27,Sold!A:A,Sold!D:D,0)/100/_xlfn.XLOOKUP(J27,Sold!A:A,Sold!J:J,0))</f>
        <v>1</v>
      </c>
      <c r="U27" s="1">
        <f t="shared" si="6"/>
        <v>-5.0361874999999996</v>
      </c>
      <c r="V27" s="18">
        <f>COUNTIF(Collection!A:A,J27)+COUNTIF(Sold!A:A,J27)</f>
        <v>1</v>
      </c>
      <c r="W27" t="str">
        <f>IFERROR(_xlfn.TEXTAFTER(_xlfn.XLOOKUP(J27,Collection!A:A,Collection!C:C,),"Cards "),_xlfn.TEXTAFTER(_xlfn.XLOOKUP(J27,Sold!A:A,Sold!C:C,),"Cards "))</f>
        <v>2026 Topps</v>
      </c>
      <c r="X27" s="18" t="str">
        <f>IFERROR(_xlfn.XLOOKUP(J27,Collection!A:A,Collection!B:B,),_xlfn.XLOOKUP(J27,Sold!A:A,Sold!B:B,))</f>
        <v>Shohei Ohtani #200</v>
      </c>
      <c r="Y27" s="53" t="s">
        <v>507</v>
      </c>
      <c r="AB27" s="8" t="s">
        <v>30</v>
      </c>
      <c r="AC27" s="2">
        <v>-1.1349749999999998</v>
      </c>
    </row>
    <row r="28" spans="2:29" x14ac:dyDescent="0.3">
      <c r="B28" s="10" t="s">
        <v>691</v>
      </c>
      <c r="C28" s="10" t="s">
        <v>24</v>
      </c>
      <c r="D28" s="5">
        <v>46147</v>
      </c>
      <c r="E28" s="6">
        <v>10</v>
      </c>
      <c r="F28" s="4">
        <v>3</v>
      </c>
      <c r="G28" s="4">
        <v>0.4</v>
      </c>
      <c r="H28" s="4">
        <v>0.36</v>
      </c>
      <c r="I28" s="10" t="s">
        <v>64</v>
      </c>
      <c r="J28" s="10">
        <v>131835</v>
      </c>
      <c r="K28" s="10">
        <v>125</v>
      </c>
      <c r="L28" s="16" t="s">
        <v>86</v>
      </c>
      <c r="M28" s="53" t="s">
        <v>1355</v>
      </c>
      <c r="N28" t="str">
        <f t="shared" si="0"/>
        <v>whatnot.com/order/jhwwvPX5xZkZWVs8CGhFXe
$3.00 + $2.48 (Shared Shipping) + $0.56 Tax = Total of $6.04</v>
      </c>
      <c r="O28" s="1">
        <f t="shared" si="1"/>
        <v>3.76</v>
      </c>
      <c r="P28" s="1">
        <f t="shared" si="2"/>
        <v>2.4750000000000001</v>
      </c>
      <c r="Q28" s="1">
        <f t="shared" si="3"/>
        <v>5.4749999999999996</v>
      </c>
      <c r="R28" s="1">
        <f t="shared" si="4"/>
        <v>0.56118749999999995</v>
      </c>
      <c r="S28" s="1">
        <f t="shared" si="5"/>
        <v>6.0361874999999996</v>
      </c>
      <c r="T28" s="1">
        <f>IFERROR(_xlfn.XLOOKUP(J28,Collection!A:A,Collection!D:D,0)/100/_xlfn.XLOOKUP(J28,Collection!A:A,Collection!J:J,0),_xlfn.XLOOKUP(J28,Sold!A:A,Sold!D:D,0)/100/_xlfn.XLOOKUP(J28,Sold!A:A,Sold!J:J,0))</f>
        <v>5.56</v>
      </c>
      <c r="U28" s="1">
        <f t="shared" si="6"/>
        <v>-0.47618749999999999</v>
      </c>
      <c r="V28" s="18">
        <f>COUNTIF(Collection!A:A,J28)+COUNTIF(Sold!A:A,J28)</f>
        <v>1</v>
      </c>
      <c r="W28" t="str">
        <f>IFERROR(_xlfn.TEXTAFTER(_xlfn.XLOOKUP(J28,Collection!A:A,Collection!C:C,),"Cards "),_xlfn.TEXTAFTER(_xlfn.XLOOKUP(J28,Sold!A:A,Sold!C:C,),"Cards "))</f>
        <v>2014 Panini Hoops</v>
      </c>
      <c r="X28" s="18" t="str">
        <f>IFERROR(_xlfn.XLOOKUP(J28,Collection!A:A,Collection!B:B,),_xlfn.XLOOKUP(J28,Sold!A:A,Sold!B:B,))</f>
        <v>Joel Embiid #263</v>
      </c>
      <c r="Y28" s="53" t="s">
        <v>507</v>
      </c>
      <c r="AB28" s="8" t="s">
        <v>1050</v>
      </c>
      <c r="AC28" s="2">
        <v>-1.1774500000000003</v>
      </c>
    </row>
    <row r="29" spans="2:29" x14ac:dyDescent="0.3">
      <c r="B29" s="10" t="s">
        <v>691</v>
      </c>
      <c r="C29" s="10" t="s">
        <v>25</v>
      </c>
      <c r="D29" s="5">
        <v>46148</v>
      </c>
      <c r="E29" s="6">
        <v>93</v>
      </c>
      <c r="F29" s="4">
        <v>1</v>
      </c>
      <c r="G29" s="4">
        <v>1.0900000000000001</v>
      </c>
      <c r="H29" s="4">
        <v>0.22</v>
      </c>
      <c r="I29" s="10" t="s">
        <v>80</v>
      </c>
      <c r="J29" s="17"/>
      <c r="K29" s="10" t="s">
        <v>1823</v>
      </c>
      <c r="L29" s="16" t="s">
        <v>87</v>
      </c>
      <c r="M29" s="53" t="s">
        <v>1356</v>
      </c>
      <c r="N29" t="str">
        <f t="shared" si="0"/>
        <v>whatnot.com/order/ZQa92YACdaqMGpqFzdMcVG
$1.00 + $1.09 (Shared Shipping) + $0.21 Tax = Total of $2.30</v>
      </c>
      <c r="O29" s="1">
        <f t="shared" si="1"/>
        <v>2.31</v>
      </c>
      <c r="P29" s="1">
        <f t="shared" si="2"/>
        <v>1.0900000000000001</v>
      </c>
      <c r="Q29" s="1">
        <f t="shared" si="3"/>
        <v>2.09</v>
      </c>
      <c r="R29" s="1">
        <f t="shared" si="4"/>
        <v>0.21422499999999997</v>
      </c>
      <c r="S29" s="1">
        <f t="shared" si="5"/>
        <v>2.3042249999999997</v>
      </c>
      <c r="T29" s="1" t="e">
        <f>IFERROR(_xlfn.XLOOKUP(J29,Collection!A:A,Collection!D:D,0)/100/_xlfn.XLOOKUP(J29,Collection!A:A,Collection!J:J,0),_xlfn.XLOOKUP(J29,Sold!A:A,Sold!D:D,0)/100/_xlfn.XLOOKUP(J29,Sold!A:A,Sold!J:J,0))</f>
        <v>#DIV/0!</v>
      </c>
      <c r="U29" s="1">
        <f t="shared" si="6"/>
        <v>0</v>
      </c>
      <c r="V29" s="18">
        <f>COUNTIF(Collection!A:A,J29)+COUNTIF(Sold!A:A,J29)</f>
        <v>0</v>
      </c>
      <c r="W29" t="e">
        <f>IFERROR(_xlfn.TEXTAFTER(_xlfn.XLOOKUP(J29,Collection!A:A,Collection!C:C,),"Cards "),_xlfn.TEXTAFTER(_xlfn.XLOOKUP(J29,Sold!A:A,Sold!C:C,),"Cards "))</f>
        <v>#N/A</v>
      </c>
      <c r="X29" s="18">
        <f>IFERROR(_xlfn.XLOOKUP(J29,Collection!A:A,Collection!B:B,),_xlfn.XLOOKUP(J29,Sold!A:A,Sold!B:B,))</f>
        <v>0</v>
      </c>
      <c r="Y29" s="53" t="s">
        <v>529</v>
      </c>
      <c r="AB29" s="8" t="s">
        <v>960</v>
      </c>
      <c r="AC29" s="2">
        <v>-1.5649500000000001</v>
      </c>
    </row>
    <row r="30" spans="2:29" x14ac:dyDescent="0.3">
      <c r="B30" s="10" t="s">
        <v>691</v>
      </c>
      <c r="C30" s="10" t="s">
        <v>26</v>
      </c>
      <c r="D30" s="5">
        <v>46148</v>
      </c>
      <c r="E30" s="6">
        <v>45</v>
      </c>
      <c r="F30" s="4">
        <v>5</v>
      </c>
      <c r="G30" s="4">
        <v>4.3499999999999996</v>
      </c>
      <c r="H30" s="4">
        <v>0.97</v>
      </c>
      <c r="I30" s="10" t="s">
        <v>16</v>
      </c>
      <c r="J30" s="10">
        <v>8776006</v>
      </c>
      <c r="K30" s="10">
        <v>253</v>
      </c>
      <c r="L30" s="16" t="s">
        <v>88</v>
      </c>
      <c r="M30" s="53" t="s">
        <v>1357</v>
      </c>
      <c r="N30" t="str">
        <f t="shared" si="0"/>
        <v>whatnot.com/order/9ki7HURGVDFpQYLubozunU
$5.00 + $0.21 (Shared Shipping) + $0.53 Tax = Total of $5.74</v>
      </c>
      <c r="O30" s="2">
        <f t="shared" si="1"/>
        <v>10.32</v>
      </c>
      <c r="P30" s="1">
        <f t="shared" si="2"/>
        <v>0.20714285714285713</v>
      </c>
      <c r="Q30" s="1">
        <f t="shared" si="3"/>
        <v>5.2071428571428573</v>
      </c>
      <c r="R30" s="1">
        <f t="shared" si="4"/>
        <v>0.53373214285714288</v>
      </c>
      <c r="S30" s="1">
        <f t="shared" si="5"/>
        <v>5.740875</v>
      </c>
      <c r="T30" s="1">
        <f>IFERROR(_xlfn.XLOOKUP(J30,Collection!A:A,Collection!D:D,0)/100/_xlfn.XLOOKUP(J30,Collection!A:A,Collection!J:J,0),_xlfn.XLOOKUP(J30,Sold!A:A,Sold!D:D,0)/100/_xlfn.XLOOKUP(J30,Sold!A:A,Sold!J:J,0))</f>
        <v>2.13</v>
      </c>
      <c r="U30" s="1">
        <f t="shared" si="6"/>
        <v>-3.6108750000000001</v>
      </c>
      <c r="V30" s="18">
        <f>COUNTIF(Collection!A:A,J30)+COUNTIF(Sold!A:A,J30)</f>
        <v>1</v>
      </c>
      <c r="W30" t="str">
        <f>IFERROR(_xlfn.TEXTAFTER(_xlfn.XLOOKUP(J30,Collection!A:A,Collection!C:C,),"Cards "),_xlfn.TEXTAFTER(_xlfn.XLOOKUP(J30,Sold!A:A,Sold!C:C,),"Cards "))</f>
        <v>2024 Panini Donruss</v>
      </c>
      <c r="X30" s="18" t="str">
        <f>IFERROR(_xlfn.XLOOKUP(J30,Collection!A:A,Collection!B:B,),_xlfn.XLOOKUP(J30,Sold!A:A,Sold!B:B,))</f>
        <v>Austin Reaves [Storm] #163</v>
      </c>
      <c r="Y30" s="53" t="s">
        <v>507</v>
      </c>
      <c r="AB30" s="8" t="s">
        <v>26</v>
      </c>
      <c r="AC30" s="2">
        <v>-2.2392542410714307</v>
      </c>
    </row>
    <row r="31" spans="2:29" x14ac:dyDescent="0.3">
      <c r="B31" s="10" t="s">
        <v>691</v>
      </c>
      <c r="C31" s="10" t="s">
        <v>26</v>
      </c>
      <c r="D31" s="5">
        <v>46148</v>
      </c>
      <c r="E31" s="6">
        <v>109</v>
      </c>
      <c r="F31" s="4">
        <v>15</v>
      </c>
      <c r="G31" s="4">
        <v>0</v>
      </c>
      <c r="H31" s="4">
        <v>1.54</v>
      </c>
      <c r="I31" s="10" t="s">
        <v>10</v>
      </c>
      <c r="J31" s="10">
        <v>95721</v>
      </c>
      <c r="K31" s="10">
        <v>51082129</v>
      </c>
      <c r="L31" s="16" t="s">
        <v>89</v>
      </c>
      <c r="M31" s="53" t="s">
        <v>1358</v>
      </c>
      <c r="N31" t="str">
        <f t="shared" si="0"/>
        <v>whatnot.com/order/27RrZ5UcQbAp2yynBpazpE
$15.00 + $0.21 (Shared Shipping) + $1.56 Tax = Total of $16.77</v>
      </c>
      <c r="O31" s="2">
        <f t="shared" si="1"/>
        <v>16.54</v>
      </c>
      <c r="P31" s="1">
        <f t="shared" si="2"/>
        <v>0.20714285714285713</v>
      </c>
      <c r="Q31" s="1">
        <f t="shared" si="3"/>
        <v>15.207142857142857</v>
      </c>
      <c r="R31" s="1">
        <f t="shared" si="4"/>
        <v>1.5587321428571428</v>
      </c>
      <c r="S31" s="1">
        <f t="shared" si="5"/>
        <v>16.765875000000001</v>
      </c>
      <c r="T31" s="1">
        <f>IFERROR(_xlfn.XLOOKUP(J31,Collection!A:A,Collection!D:D,0)/100/_xlfn.XLOOKUP(J31,Collection!A:A,Collection!J:J,0),_xlfn.XLOOKUP(J31,Sold!A:A,Sold!D:D,0)/100/_xlfn.XLOOKUP(J31,Sold!A:A,Sold!J:J,0))</f>
        <v>19.52</v>
      </c>
      <c r="U31" s="1">
        <f t="shared" si="6"/>
        <v>2.7541249999999984</v>
      </c>
      <c r="V31" s="18">
        <f>COUNTIF(Collection!A:A,J31)+COUNTIF(Sold!A:A,J31)</f>
        <v>1</v>
      </c>
      <c r="W31" t="str">
        <f>IFERROR(_xlfn.TEXTAFTER(_xlfn.XLOOKUP(J31,Collection!A:A,Collection!C:C,),"Cards "),_xlfn.TEXTAFTER(_xlfn.XLOOKUP(J31,Sold!A:A,Sold!C:C,),"Cards "))</f>
        <v>2019 Panini Prizm</v>
      </c>
      <c r="X31" s="18" t="str">
        <f>IFERROR(_xlfn.XLOOKUP(J31,Collection!A:A,Collection!B:B,),_xlfn.XLOOKUP(J31,Sold!A:A,Sold!B:B,))</f>
        <v>Nikola Jokic [Ruby Wave Prizm] #84</v>
      </c>
      <c r="Y31" s="53" t="s">
        <v>507</v>
      </c>
      <c r="AB31" s="8" t="s">
        <v>12</v>
      </c>
      <c r="AC31" s="2">
        <v>-2.4342250000000001</v>
      </c>
    </row>
    <row r="32" spans="2:29" x14ac:dyDescent="0.3">
      <c r="B32" s="10" t="s">
        <v>691</v>
      </c>
      <c r="C32" s="10" t="s">
        <v>26</v>
      </c>
      <c r="D32" s="5">
        <v>46148</v>
      </c>
      <c r="E32" s="6" t="s">
        <v>496</v>
      </c>
      <c r="F32" s="4">
        <v>0</v>
      </c>
      <c r="G32" s="4">
        <v>0</v>
      </c>
      <c r="H32" s="4">
        <v>0</v>
      </c>
      <c r="I32" s="10" t="s">
        <v>513</v>
      </c>
      <c r="J32" s="10">
        <v>9781694</v>
      </c>
      <c r="K32" s="10">
        <v>335</v>
      </c>
      <c r="L32" s="16" t="s">
        <v>90</v>
      </c>
      <c r="M32" s="53" t="s">
        <v>1359</v>
      </c>
      <c r="N32" t="str">
        <f t="shared" si="0"/>
        <v>whatnot.com/order/9Nw32iaBQX4B786bgpSBCs
$0.00 + $0.21 (Shared Shipping) + $0.00 Tax = Total of $0.21</v>
      </c>
      <c r="O32" s="2">
        <f t="shared" si="1"/>
        <v>0</v>
      </c>
      <c r="P32" s="1">
        <f t="shared" si="2"/>
        <v>0.20714285714285713</v>
      </c>
      <c r="Q32" s="1">
        <f t="shared" si="3"/>
        <v>0.20714285714285713</v>
      </c>
      <c r="R32" s="1">
        <f t="shared" si="4"/>
        <v>0</v>
      </c>
      <c r="S32" s="1">
        <f t="shared" si="5"/>
        <v>0.20714285714285713</v>
      </c>
      <c r="T32" s="1">
        <f>IFERROR(_xlfn.XLOOKUP(J32,Collection!A:A,Collection!D:D,0)/100/_xlfn.XLOOKUP(J32,Collection!A:A,Collection!J:J,0),_xlfn.XLOOKUP(J32,Sold!A:A,Sold!D:D,0)/100/_xlfn.XLOOKUP(J32,Sold!A:A,Sold!J:J,0))</f>
        <v>1.68</v>
      </c>
      <c r="U32" s="1">
        <f t="shared" si="6"/>
        <v>1.4728571428571429</v>
      </c>
      <c r="V32" s="18">
        <f>COUNTIF(Collection!A:A,J32)+COUNTIF(Sold!A:A,J32)</f>
        <v>1</v>
      </c>
      <c r="W32" t="str">
        <f>IFERROR(_xlfn.TEXTAFTER(_xlfn.XLOOKUP(J32,Collection!A:A,Collection!C:C,),"Cards "),_xlfn.TEXTAFTER(_xlfn.XLOOKUP(J32,Sold!A:A,Sold!C:C,),"Cards "))</f>
        <v>2024 Panini Select</v>
      </c>
      <c r="X32" s="18" t="str">
        <f>IFERROR(_xlfn.XLOOKUP(J32,Collection!A:A,Collection!B:B,),_xlfn.XLOOKUP(J32,Sold!A:A,Sold!B:B,))</f>
        <v>LeBron James [Blue Prizm] #54</v>
      </c>
      <c r="Y32" s="53" t="s">
        <v>526</v>
      </c>
      <c r="AB32" s="8" t="s">
        <v>753</v>
      </c>
      <c r="AC32" s="2">
        <v>-2.5945</v>
      </c>
    </row>
    <row r="33" spans="2:29" x14ac:dyDescent="0.3">
      <c r="B33" s="10" t="s">
        <v>691</v>
      </c>
      <c r="C33" s="10" t="s">
        <v>26</v>
      </c>
      <c r="D33" s="5">
        <v>46148</v>
      </c>
      <c r="E33" s="6" t="s">
        <v>496</v>
      </c>
      <c r="F33" s="4">
        <v>0</v>
      </c>
      <c r="G33" s="4">
        <v>0</v>
      </c>
      <c r="H33" s="4">
        <v>0</v>
      </c>
      <c r="I33" s="10" t="s">
        <v>76</v>
      </c>
      <c r="J33" s="10">
        <v>10198347</v>
      </c>
      <c r="K33" s="10">
        <v>537</v>
      </c>
      <c r="L33" s="16" t="s">
        <v>90</v>
      </c>
      <c r="M33" s="53" t="s">
        <v>1359</v>
      </c>
      <c r="N33" t="str">
        <f t="shared" si="0"/>
        <v>whatnot.com/order/9Nw32iaBQX4B786bgpSBCs
$0.00 + $0.21 (Shared Shipping) + $0.00 Tax = Total of $0.21</v>
      </c>
      <c r="O33" s="2">
        <f t="shared" si="1"/>
        <v>0</v>
      </c>
      <c r="P33" s="1">
        <f t="shared" si="2"/>
        <v>0.20714285714285713</v>
      </c>
      <c r="Q33" s="1">
        <f t="shared" si="3"/>
        <v>0.20714285714285713</v>
      </c>
      <c r="R33" s="1">
        <f t="shared" si="4"/>
        <v>0</v>
      </c>
      <c r="S33" s="1">
        <f t="shared" si="5"/>
        <v>0.20714285714285713</v>
      </c>
      <c r="T33" s="1">
        <f>IFERROR(_xlfn.XLOOKUP(J33,Collection!A:A,Collection!D:D,0)/100/_xlfn.XLOOKUP(J33,Collection!A:A,Collection!J:J,0),_xlfn.XLOOKUP(J33,Sold!A:A,Sold!D:D,0)/100/_xlfn.XLOOKUP(J33,Sold!A:A,Sold!J:J,0))</f>
        <v>1</v>
      </c>
      <c r="U33" s="1">
        <f t="shared" si="6"/>
        <v>0.79285714285714293</v>
      </c>
      <c r="V33" s="18">
        <f>COUNTIF(Collection!A:A,J33)+COUNTIF(Sold!A:A,J33)</f>
        <v>1</v>
      </c>
      <c r="W33" t="str">
        <f>IFERROR(_xlfn.TEXTAFTER(_xlfn.XLOOKUP(J33,Collection!A:A,Collection!C:C,),"Cards "),_xlfn.TEXTAFTER(_xlfn.XLOOKUP(J33,Sold!A:A,Sold!C:C,),"Cards "))</f>
        <v>2024 Panini Donruss Optic</v>
      </c>
      <c r="X33" s="18" t="str">
        <f>IFERROR(_xlfn.XLOOKUP(J33,Collection!A:A,Collection!B:B,),_xlfn.XLOOKUP(J33,Sold!A:A,Sold!B:B,))</f>
        <v>Jaylen Brown [Purple] #206</v>
      </c>
      <c r="Y33" s="53" t="s">
        <v>507</v>
      </c>
      <c r="AB33" s="8" t="s">
        <v>780</v>
      </c>
      <c r="AC33" s="2">
        <v>-2.6674500000000005</v>
      </c>
    </row>
    <row r="34" spans="2:29" x14ac:dyDescent="0.3">
      <c r="B34" s="10" t="s">
        <v>691</v>
      </c>
      <c r="C34" s="10" t="s">
        <v>26</v>
      </c>
      <c r="D34" s="5">
        <v>46148</v>
      </c>
      <c r="E34" s="6" t="s">
        <v>496</v>
      </c>
      <c r="F34" s="4">
        <v>0</v>
      </c>
      <c r="G34" s="4">
        <v>0</v>
      </c>
      <c r="H34" s="4">
        <v>0</v>
      </c>
      <c r="I34" s="10" t="s">
        <v>470</v>
      </c>
      <c r="J34" s="10">
        <v>9782911</v>
      </c>
      <c r="K34" s="10">
        <v>298</v>
      </c>
      <c r="L34" s="16" t="s">
        <v>90</v>
      </c>
      <c r="M34" s="53" t="s">
        <v>1359</v>
      </c>
      <c r="N34" t="str">
        <f t="shared" si="0"/>
        <v>whatnot.com/order/9Nw32iaBQX4B786bgpSBCs
$0.00 + $0.21 (Shared Shipping) + $0.00 Tax = Total of $0.21</v>
      </c>
      <c r="O34" s="2">
        <f t="shared" si="1"/>
        <v>0</v>
      </c>
      <c r="P34" s="1">
        <f t="shared" si="2"/>
        <v>0.20714285714285713</v>
      </c>
      <c r="Q34" s="1">
        <f t="shared" si="3"/>
        <v>0.20714285714285713</v>
      </c>
      <c r="R34" s="1">
        <f t="shared" si="4"/>
        <v>0</v>
      </c>
      <c r="S34" s="1">
        <f t="shared" si="5"/>
        <v>0.20714285714285713</v>
      </c>
      <c r="T34" s="1">
        <f>IFERROR(_xlfn.XLOOKUP(J34,Collection!A:A,Collection!D:D,0)/100/_xlfn.XLOOKUP(J34,Collection!A:A,Collection!J:J,0),_xlfn.XLOOKUP(J34,Sold!A:A,Sold!D:D,0)/100/_xlfn.XLOOKUP(J34,Sold!A:A,Sold!J:J,0))</f>
        <v>1.82</v>
      </c>
      <c r="U34" s="1">
        <f t="shared" si="6"/>
        <v>1.612857142857143</v>
      </c>
      <c r="V34" s="18">
        <f>COUNTIF(Collection!A:A,J34)+COUNTIF(Sold!A:A,J34)</f>
        <v>1</v>
      </c>
      <c r="W34" t="str">
        <f>IFERROR(_xlfn.TEXTAFTER(_xlfn.XLOOKUP(J34,Collection!A:A,Collection!C:C,),"Cards "),_xlfn.TEXTAFTER(_xlfn.XLOOKUP(J34,Sold!A:A,Sold!C:C,),"Cards "))</f>
        <v>2024 Panini Select</v>
      </c>
      <c r="X34" s="18" t="str">
        <f>IFERROR(_xlfn.XLOOKUP(J34,Collection!A:A,Collection!B:B,),_xlfn.XLOOKUP(J34,Sold!A:A,Sold!B:B,))</f>
        <v>Reed Sheppard [Blue Cracked Ice Prizm] #68</v>
      </c>
      <c r="Y34" s="53" t="s">
        <v>507</v>
      </c>
      <c r="AB34" s="8" t="s">
        <v>1040</v>
      </c>
      <c r="AC34" s="2">
        <v>-2.8825000000000003</v>
      </c>
    </row>
    <row r="35" spans="2:29" x14ac:dyDescent="0.3">
      <c r="B35" s="10" t="s">
        <v>691</v>
      </c>
      <c r="C35" s="10" t="s">
        <v>26</v>
      </c>
      <c r="D35" s="5">
        <v>46148</v>
      </c>
      <c r="E35" s="6" t="s">
        <v>496</v>
      </c>
      <c r="F35" s="4">
        <v>0</v>
      </c>
      <c r="G35" s="4">
        <v>0</v>
      </c>
      <c r="H35" s="4">
        <v>0</v>
      </c>
      <c r="I35" s="10" t="s">
        <v>63</v>
      </c>
      <c r="J35" s="10">
        <v>9265999</v>
      </c>
      <c r="K35" s="10">
        <v>377</v>
      </c>
      <c r="L35" s="16" t="s">
        <v>90</v>
      </c>
      <c r="M35" s="53" t="s">
        <v>1359</v>
      </c>
      <c r="N35" t="str">
        <f t="shared" si="0"/>
        <v>whatnot.com/order/9Nw32iaBQX4B786bgpSBCs
$0.00 + $0.21 (Shared Shipping) + $0.00 Tax = Total of $0.21</v>
      </c>
      <c r="O35" s="2">
        <f t="shared" si="1"/>
        <v>0</v>
      </c>
      <c r="P35" s="1">
        <f t="shared" si="2"/>
        <v>0.20714285714285713</v>
      </c>
      <c r="Q35" s="1">
        <f t="shared" si="3"/>
        <v>0.20714285714285713</v>
      </c>
      <c r="R35" s="1">
        <f t="shared" si="4"/>
        <v>0</v>
      </c>
      <c r="S35" s="1">
        <f t="shared" si="5"/>
        <v>0.20714285714285713</v>
      </c>
      <c r="T35" s="1">
        <f>IFERROR(_xlfn.XLOOKUP(J35,Collection!A:A,Collection!D:D,0)/100/_xlfn.XLOOKUP(J35,Collection!A:A,Collection!J:J,0),_xlfn.XLOOKUP(J35,Sold!A:A,Sold!D:D,0)/100/_xlfn.XLOOKUP(J35,Sold!A:A,Sold!J:J,0))</f>
        <v>1.71</v>
      </c>
      <c r="U35" s="1">
        <f t="shared" si="6"/>
        <v>1.5028571428571429</v>
      </c>
      <c r="V35" s="18">
        <f>COUNTIF(Collection!A:A,J35)+COUNTIF(Sold!A:A,J35)</f>
        <v>1</v>
      </c>
      <c r="W35" t="str">
        <f>IFERROR(_xlfn.TEXTAFTER(_xlfn.XLOOKUP(J35,Collection!A:A,Collection!C:C,),"Cards "),_xlfn.TEXTAFTER(_xlfn.XLOOKUP(J35,Sold!A:A,Sold!C:C,),"Cards "))</f>
        <v>2024 Panini Revolution Hardwood Legacy</v>
      </c>
      <c r="X35" s="18" t="str">
        <f>IFERROR(_xlfn.XLOOKUP(J35,Collection!A:A,Collection!B:B,),_xlfn.XLOOKUP(J35,Sold!A:A,Sold!B:B,))</f>
        <v>Stephen Curry #3</v>
      </c>
      <c r="Y35" s="53" t="s">
        <v>527</v>
      </c>
      <c r="AB35" s="8" t="s">
        <v>785</v>
      </c>
      <c r="AC35" s="2">
        <v>-3.5113750000000001</v>
      </c>
    </row>
    <row r="36" spans="2:29" x14ac:dyDescent="0.3">
      <c r="B36" s="10" t="s">
        <v>691</v>
      </c>
      <c r="C36" s="10" t="s">
        <v>26</v>
      </c>
      <c r="D36" s="5">
        <v>46148</v>
      </c>
      <c r="E36" s="6">
        <v>125</v>
      </c>
      <c r="F36" s="4">
        <v>2.36</v>
      </c>
      <c r="G36" s="4">
        <v>0</v>
      </c>
      <c r="H36" s="4">
        <v>0.24</v>
      </c>
      <c r="I36" s="10" t="s">
        <v>11</v>
      </c>
      <c r="J36" s="10">
        <v>8406896</v>
      </c>
      <c r="K36" s="10">
        <v>515</v>
      </c>
      <c r="L36" s="16" t="s">
        <v>91</v>
      </c>
      <c r="M36" s="53" t="s">
        <v>1360</v>
      </c>
      <c r="N36" t="str">
        <f t="shared" si="0"/>
        <v>whatnot.com/order/N3ommW2GZtgbdFUhrqPhaC
$2.36 + $0.21 (Shared Shipping) + $0.26 Tax = Total of $2.83</v>
      </c>
      <c r="O36" s="2">
        <f t="shared" si="1"/>
        <v>2.5999999999999996</v>
      </c>
      <c r="P36" s="1">
        <f t="shared" ref="P36:P67" si="7">SUMIFS(G:G,C:C,C36,D:D,D36)/COUNTIFS(C:C,C36,D:D,D36)</f>
        <v>0.20714285714285713</v>
      </c>
      <c r="Q36" s="1">
        <f t="shared" si="3"/>
        <v>2.5671428571428572</v>
      </c>
      <c r="R36" s="1">
        <f t="shared" si="4"/>
        <v>0.26313214285714287</v>
      </c>
      <c r="S36" s="1">
        <f t="shared" si="5"/>
        <v>2.8302749999999999</v>
      </c>
      <c r="T36" s="1">
        <f>IFERROR(_xlfn.XLOOKUP(J36,Collection!A:A,Collection!D:D,0)/100/_xlfn.XLOOKUP(J36,Collection!A:A,Collection!J:J,0),_xlfn.XLOOKUP(J36,Sold!A:A,Sold!D:D,0)/100/_xlfn.XLOOKUP(J36,Sold!A:A,Sold!J:J,0))</f>
        <v>1.02</v>
      </c>
      <c r="U36" s="1">
        <f t="shared" si="6"/>
        <v>-1.8102749999999999</v>
      </c>
      <c r="V36" s="18">
        <f>COUNTIF(Collection!A:A,J36)+COUNTIF(Sold!A:A,J36)</f>
        <v>1</v>
      </c>
      <c r="W36" t="str">
        <f>IFERROR(_xlfn.TEXTAFTER(_xlfn.XLOOKUP(J36,Collection!A:A,Collection!C:C,),"Cards "),_xlfn.TEXTAFTER(_xlfn.XLOOKUP(J36,Sold!A:A,Sold!C:C,),"Cards "))</f>
        <v>2024 Panini NBA Hoops Frequent Flyers</v>
      </c>
      <c r="X36" s="18" t="str">
        <f>IFERROR(_xlfn.XLOOKUP(J36,Collection!A:A,Collection!B:B,),_xlfn.XLOOKUP(J36,Sold!A:A,Sold!B:B,))</f>
        <v>Luka Doncic #3</v>
      </c>
      <c r="Y36" s="53" t="s">
        <v>507</v>
      </c>
      <c r="AB36" s="8" t="s">
        <v>477</v>
      </c>
      <c r="AC36" s="2">
        <v>-3.6547250000000004</v>
      </c>
    </row>
    <row r="37" spans="2:29" x14ac:dyDescent="0.3">
      <c r="B37" s="10" t="s">
        <v>691</v>
      </c>
      <c r="C37" s="10" t="s">
        <v>26</v>
      </c>
      <c r="D37" s="5">
        <v>46148</v>
      </c>
      <c r="E37" s="6">
        <v>125</v>
      </c>
      <c r="F37" s="4">
        <v>2.33</v>
      </c>
      <c r="G37" s="4">
        <v>0</v>
      </c>
      <c r="H37" s="4">
        <v>0.24</v>
      </c>
      <c r="I37" s="10" t="s">
        <v>11</v>
      </c>
      <c r="J37" s="10">
        <v>8537640</v>
      </c>
      <c r="K37" s="10">
        <v>361</v>
      </c>
      <c r="L37" s="16" t="s">
        <v>91</v>
      </c>
      <c r="M37" s="53" t="s">
        <v>1361</v>
      </c>
      <c r="N37" t="str">
        <f t="shared" si="0"/>
        <v>whatnot.com/order/N3ommW2GZtgbdFUhrqPhaC
$2.33 + $0.21 (Shared Shipping) + $0.26 Tax = Total of $2.80</v>
      </c>
      <c r="O37" s="2">
        <f t="shared" si="1"/>
        <v>2.5700000000000003</v>
      </c>
      <c r="P37" s="1">
        <f t="shared" si="7"/>
        <v>0.20714285714285713</v>
      </c>
      <c r="Q37" s="1">
        <f t="shared" si="3"/>
        <v>2.5371428571428574</v>
      </c>
      <c r="R37" s="1">
        <f t="shared" si="4"/>
        <v>0.26005714285714288</v>
      </c>
      <c r="S37" s="1">
        <f t="shared" si="5"/>
        <v>2.7972000000000001</v>
      </c>
      <c r="T37" s="1">
        <f>IFERROR(_xlfn.XLOOKUP(J37,Collection!A:A,Collection!D:D,0)/100/_xlfn.XLOOKUP(J37,Collection!A:A,Collection!J:J,0),_xlfn.XLOOKUP(J37,Sold!A:A,Sold!D:D,0)/100/_xlfn.XLOOKUP(J37,Sold!A:A,Sold!J:J,0))</f>
        <v>1.71</v>
      </c>
      <c r="U37" s="1">
        <f t="shared" si="6"/>
        <v>-1.0872000000000002</v>
      </c>
      <c r="V37" s="18">
        <f>COUNTIF(Collection!A:A,J37)+COUNTIF(Sold!A:A,J37)</f>
        <v>1</v>
      </c>
      <c r="W37" t="str">
        <f>IFERROR(_xlfn.TEXTAFTER(_xlfn.XLOOKUP(J37,Collection!A:A,Collection!C:C,),"Cards "),_xlfn.TEXTAFTER(_xlfn.XLOOKUP(J37,Sold!A:A,Sold!C:C,),"Cards "))</f>
        <v>2024 Panini Prizm</v>
      </c>
      <c r="X37" s="18" t="str">
        <f>IFERROR(_xlfn.XLOOKUP(J37,Collection!A:A,Collection!B:B,),_xlfn.XLOOKUP(J37,Sold!A:A,Sold!B:B,))</f>
        <v>Luka Doncic #89</v>
      </c>
      <c r="Y37" s="53" t="s">
        <v>507</v>
      </c>
      <c r="AB37" s="8" t="s">
        <v>5</v>
      </c>
      <c r="AC37" s="2">
        <v>-4.0947812499999987</v>
      </c>
    </row>
    <row r="38" spans="2:29" x14ac:dyDescent="0.3">
      <c r="B38" s="10" t="s">
        <v>691</v>
      </c>
      <c r="C38" s="10" t="s">
        <v>26</v>
      </c>
      <c r="D38" s="5">
        <v>46148</v>
      </c>
      <c r="E38" s="6">
        <v>125</v>
      </c>
      <c r="F38" s="4">
        <v>2.33</v>
      </c>
      <c r="G38" s="4">
        <v>0</v>
      </c>
      <c r="H38" s="4">
        <v>0.24</v>
      </c>
      <c r="I38" s="10" t="s">
        <v>11</v>
      </c>
      <c r="J38" s="10">
        <v>2948779</v>
      </c>
      <c r="K38" s="10">
        <v>365</v>
      </c>
      <c r="L38" s="16" t="s">
        <v>91</v>
      </c>
      <c r="M38" s="53" t="s">
        <v>1361</v>
      </c>
      <c r="N38" t="str">
        <f t="shared" si="0"/>
        <v>whatnot.com/order/N3ommW2GZtgbdFUhrqPhaC
$2.33 + $0.21 (Shared Shipping) + $0.26 Tax = Total of $2.80</v>
      </c>
      <c r="O38" s="2">
        <f t="shared" si="1"/>
        <v>2.5700000000000003</v>
      </c>
      <c r="P38" s="1">
        <f t="shared" si="7"/>
        <v>0.20714285714285713</v>
      </c>
      <c r="Q38" s="1">
        <f t="shared" si="3"/>
        <v>2.5371428571428574</v>
      </c>
      <c r="R38" s="1">
        <f t="shared" si="4"/>
        <v>0.26005714285714288</v>
      </c>
      <c r="S38" s="1">
        <f t="shared" si="5"/>
        <v>2.7972000000000001</v>
      </c>
      <c r="T38" s="1">
        <f>IFERROR(_xlfn.XLOOKUP(J38,Collection!A:A,Collection!D:D,0)/100/_xlfn.XLOOKUP(J38,Collection!A:A,Collection!J:J,0),_xlfn.XLOOKUP(J38,Sold!A:A,Sold!D:D,0)/100/_xlfn.XLOOKUP(J38,Sold!A:A,Sold!J:J,0))</f>
        <v>1.74</v>
      </c>
      <c r="U38" s="1">
        <f t="shared" si="6"/>
        <v>-1.0572000000000001</v>
      </c>
      <c r="V38" s="18">
        <f>COUNTIF(Collection!A:A,J38)+COUNTIF(Sold!A:A,J38)</f>
        <v>1</v>
      </c>
      <c r="W38" t="str">
        <f>IFERROR(_xlfn.TEXTAFTER(_xlfn.XLOOKUP(J38,Collection!A:A,Collection!C:C,),"Cards "),_xlfn.TEXTAFTER(_xlfn.XLOOKUP(J38,Sold!A:A,Sold!C:C,),"Cards "))</f>
        <v>2020 Panini Chronicles</v>
      </c>
      <c r="X38" s="18" t="str">
        <f>IFERROR(_xlfn.XLOOKUP(J38,Collection!A:A,Collection!B:B,),_xlfn.XLOOKUP(J38,Sold!A:A,Sold!B:B,))</f>
        <v>Luka Doncic [Pink] #228</v>
      </c>
      <c r="Y38" s="53" t="s">
        <v>507</v>
      </c>
      <c r="AB38" s="8" t="s">
        <v>1053</v>
      </c>
      <c r="AC38" s="2">
        <v>-4.4183500000000002</v>
      </c>
    </row>
    <row r="39" spans="2:29" x14ac:dyDescent="0.3">
      <c r="B39" s="10" t="s">
        <v>691</v>
      </c>
      <c r="C39" s="10" t="s">
        <v>26</v>
      </c>
      <c r="D39" s="5">
        <v>46148</v>
      </c>
      <c r="E39" s="6">
        <v>125</v>
      </c>
      <c r="F39" s="4">
        <v>2.33</v>
      </c>
      <c r="G39" s="4">
        <v>0</v>
      </c>
      <c r="H39" s="4">
        <v>0.24</v>
      </c>
      <c r="I39" s="10" t="s">
        <v>11</v>
      </c>
      <c r="J39" s="10">
        <v>6834778</v>
      </c>
      <c r="K39" s="10">
        <v>312</v>
      </c>
      <c r="L39" s="16" t="s">
        <v>91</v>
      </c>
      <c r="M39" s="53" t="s">
        <v>1361</v>
      </c>
      <c r="N39" t="str">
        <f t="shared" si="0"/>
        <v>whatnot.com/order/N3ommW2GZtgbdFUhrqPhaC
$2.33 + $0.21 (Shared Shipping) + $0.26 Tax = Total of $2.80</v>
      </c>
      <c r="O39" s="2">
        <f t="shared" si="1"/>
        <v>2.5700000000000003</v>
      </c>
      <c r="P39" s="1">
        <f t="shared" si="7"/>
        <v>0.20714285714285713</v>
      </c>
      <c r="Q39" s="1">
        <f t="shared" si="3"/>
        <v>2.5371428571428574</v>
      </c>
      <c r="R39" s="1">
        <f t="shared" si="4"/>
        <v>0.26005714285714288</v>
      </c>
      <c r="S39" s="1">
        <f t="shared" si="5"/>
        <v>2.7972000000000001</v>
      </c>
      <c r="T39" s="1">
        <f>IFERROR(_xlfn.XLOOKUP(J39,Collection!A:A,Collection!D:D,0)/100/_xlfn.XLOOKUP(J39,Collection!A:A,Collection!J:J,0),_xlfn.XLOOKUP(J39,Sold!A:A,Sold!D:D,0)/100/_xlfn.XLOOKUP(J39,Sold!A:A,Sold!J:J,0))</f>
        <v>2.0499999999999998</v>
      </c>
      <c r="U39" s="1">
        <f t="shared" si="6"/>
        <v>-0.74720000000000031</v>
      </c>
      <c r="V39" s="18">
        <f>COUNTIF(Collection!A:A,J39)+COUNTIF(Sold!A:A,J39)</f>
        <v>1</v>
      </c>
      <c r="W39" t="str">
        <f>IFERROR(_xlfn.TEXTAFTER(_xlfn.XLOOKUP(J39,Collection!A:A,Collection!C:C,),"Cards "),_xlfn.TEXTAFTER(_xlfn.XLOOKUP(J39,Sold!A:A,Sold!C:C,),"Cards "))</f>
        <v>2023 Donruss Optic Express Lane</v>
      </c>
      <c r="X39" s="18" t="str">
        <f>IFERROR(_xlfn.XLOOKUP(J39,Collection!A:A,Collection!B:B,),_xlfn.XLOOKUP(J39,Sold!A:A,Sold!B:B,))</f>
        <v>Luka Doncic  [Purple] #13</v>
      </c>
      <c r="Y39" s="53" t="s">
        <v>528</v>
      </c>
      <c r="AB39" s="8" t="s">
        <v>723</v>
      </c>
      <c r="AC39" s="2">
        <v>-4.4208749999999988</v>
      </c>
    </row>
    <row r="40" spans="2:29" x14ac:dyDescent="0.3">
      <c r="B40" s="10" t="s">
        <v>691</v>
      </c>
      <c r="C40" s="10" t="s">
        <v>26</v>
      </c>
      <c r="D40" s="5">
        <v>46148</v>
      </c>
      <c r="E40" s="6">
        <v>125</v>
      </c>
      <c r="F40" s="4">
        <v>2.33</v>
      </c>
      <c r="G40" s="4">
        <v>0</v>
      </c>
      <c r="H40" s="4">
        <v>0.24</v>
      </c>
      <c r="I40" s="10" t="s">
        <v>11</v>
      </c>
      <c r="J40" s="10">
        <v>2946119</v>
      </c>
      <c r="K40" s="10">
        <v>281</v>
      </c>
      <c r="L40" s="16" t="s">
        <v>91</v>
      </c>
      <c r="M40" s="53" t="s">
        <v>1361</v>
      </c>
      <c r="N40" t="str">
        <f t="shared" si="0"/>
        <v>whatnot.com/order/N3ommW2GZtgbdFUhrqPhaC
$2.33 + $0.21 (Shared Shipping) + $0.26 Tax = Total of $2.80</v>
      </c>
      <c r="O40" s="2">
        <f t="shared" si="1"/>
        <v>2.5700000000000003</v>
      </c>
      <c r="P40" s="1">
        <f t="shared" si="7"/>
        <v>0.20714285714285713</v>
      </c>
      <c r="Q40" s="1">
        <f t="shared" si="3"/>
        <v>2.5371428571428574</v>
      </c>
      <c r="R40" s="1">
        <f t="shared" si="4"/>
        <v>0.26005714285714288</v>
      </c>
      <c r="S40" s="1">
        <f t="shared" si="5"/>
        <v>2.7972000000000001</v>
      </c>
      <c r="T40" s="1">
        <f>IFERROR(_xlfn.XLOOKUP(J40,Collection!A:A,Collection!D:D,0)/100/_xlfn.XLOOKUP(J40,Collection!A:A,Collection!J:J,0),_xlfn.XLOOKUP(J40,Sold!A:A,Sold!D:D,0)/100/_xlfn.XLOOKUP(J40,Sold!A:A,Sold!J:J,0))</f>
        <v>1.99</v>
      </c>
      <c r="U40" s="1">
        <f t="shared" si="6"/>
        <v>-0.80720000000000014</v>
      </c>
      <c r="V40" s="18">
        <f>COUNTIF(Collection!A:A,J40)+COUNTIF(Sold!A:A,J40)</f>
        <v>1</v>
      </c>
      <c r="W40" t="str">
        <f>IFERROR(_xlfn.TEXTAFTER(_xlfn.XLOOKUP(J40,Collection!A:A,Collection!C:C,),"Cards "),_xlfn.TEXTAFTER(_xlfn.XLOOKUP(J40,Sold!A:A,Sold!C:C,),"Cards "))</f>
        <v>2020 Panini Chronicles</v>
      </c>
      <c r="X40" s="18" t="str">
        <f>IFERROR(_xlfn.XLOOKUP(J40,Collection!A:A,Collection!B:B,),_xlfn.XLOOKUP(J40,Sold!A:A,Sold!B:B,))</f>
        <v>Luka Doncic #519</v>
      </c>
      <c r="Y40" s="53" t="s">
        <v>507</v>
      </c>
      <c r="AB40" s="8" t="s">
        <v>1048</v>
      </c>
      <c r="AC40" s="2">
        <v>-4.47065</v>
      </c>
    </row>
    <row r="41" spans="2:29" x14ac:dyDescent="0.3">
      <c r="B41" s="10" t="s">
        <v>691</v>
      </c>
      <c r="C41" s="10" t="s">
        <v>26</v>
      </c>
      <c r="D41" s="5">
        <v>46148</v>
      </c>
      <c r="E41" s="6">
        <v>125</v>
      </c>
      <c r="F41" s="4">
        <v>2.33</v>
      </c>
      <c r="G41" s="4">
        <v>0</v>
      </c>
      <c r="H41" s="4">
        <v>0.24</v>
      </c>
      <c r="I41" s="10" t="s">
        <v>11</v>
      </c>
      <c r="J41" s="10">
        <v>11360390</v>
      </c>
      <c r="K41" s="10">
        <v>599</v>
      </c>
      <c r="L41" s="16" t="s">
        <v>91</v>
      </c>
      <c r="M41" s="53" t="s">
        <v>1361</v>
      </c>
      <c r="N41" t="str">
        <f t="shared" si="0"/>
        <v>whatnot.com/order/N3ommW2GZtgbdFUhrqPhaC
$2.33 + $0.21 (Shared Shipping) + $0.26 Tax = Total of $2.80</v>
      </c>
      <c r="O41" s="2">
        <f t="shared" si="1"/>
        <v>2.5700000000000003</v>
      </c>
      <c r="P41" s="1">
        <f t="shared" si="7"/>
        <v>0.20714285714285713</v>
      </c>
      <c r="Q41" s="1">
        <f t="shared" si="3"/>
        <v>2.5371428571428574</v>
      </c>
      <c r="R41" s="1">
        <f t="shared" si="4"/>
        <v>0.26005714285714288</v>
      </c>
      <c r="S41" s="1">
        <f t="shared" si="5"/>
        <v>2.7972000000000001</v>
      </c>
      <c r="T41" s="1">
        <f>IFERROR(_xlfn.XLOOKUP(J41,Collection!A:A,Collection!D:D,0)/100/_xlfn.XLOOKUP(J41,Collection!A:A,Collection!J:J,0),_xlfn.XLOOKUP(J41,Sold!A:A,Sold!D:D,0)/100/_xlfn.XLOOKUP(J41,Sold!A:A,Sold!J:J,0))</f>
        <v>0</v>
      </c>
      <c r="U41" s="1">
        <f t="shared" si="6"/>
        <v>-2.7972000000000001</v>
      </c>
      <c r="V41" s="18">
        <f>COUNTIF(Collection!A:A,J41)+COUNTIF(Sold!A:A,J41)</f>
        <v>1</v>
      </c>
      <c r="W41" t="str">
        <f>IFERROR(_xlfn.TEXTAFTER(_xlfn.XLOOKUP(J41,Collection!A:A,Collection!C:C,),"Cards "),_xlfn.TEXTAFTER(_xlfn.XLOOKUP(J41,Sold!A:A,Sold!C:C,),"Cards "))</f>
        <v>2020 Panini Chronicles Hometown Heroes Rookie Autographs</v>
      </c>
      <c r="X41" s="18" t="str">
        <f>IFERROR(_xlfn.XLOOKUP(J41,Collection!A:A,Collection!B:B,),_xlfn.XLOOKUP(J41,Sold!A:A,Sold!B:B,))</f>
        <v>Luka Doncic #554</v>
      </c>
      <c r="Y41" s="53" t="s">
        <v>507</v>
      </c>
      <c r="AB41" s="8" t="s">
        <v>751</v>
      </c>
      <c r="AC41" s="2">
        <v>-4.6838749999999996</v>
      </c>
    </row>
    <row r="42" spans="2:29" x14ac:dyDescent="0.3">
      <c r="B42" s="10" t="s">
        <v>691</v>
      </c>
      <c r="C42" s="10" t="s">
        <v>26</v>
      </c>
      <c r="D42" s="5">
        <v>46148</v>
      </c>
      <c r="E42" s="6">
        <v>125</v>
      </c>
      <c r="F42" s="4">
        <v>2.33</v>
      </c>
      <c r="G42" s="4">
        <v>0</v>
      </c>
      <c r="H42" s="4">
        <v>0.24</v>
      </c>
      <c r="I42" s="10" t="s">
        <v>11</v>
      </c>
      <c r="J42" s="10">
        <v>5001342</v>
      </c>
      <c r="K42" s="10">
        <v>362</v>
      </c>
      <c r="L42" s="16" t="s">
        <v>91</v>
      </c>
      <c r="M42" s="53" t="s">
        <v>1361</v>
      </c>
      <c r="N42" t="str">
        <f t="shared" si="0"/>
        <v>whatnot.com/order/N3ommW2GZtgbdFUhrqPhaC
$2.33 + $0.21 (Shared Shipping) + $0.26 Tax = Total of $2.80</v>
      </c>
      <c r="O42" s="2">
        <f t="shared" si="1"/>
        <v>2.5700000000000003</v>
      </c>
      <c r="P42" s="1">
        <f t="shared" si="7"/>
        <v>0.20714285714285713</v>
      </c>
      <c r="Q42" s="1">
        <f t="shared" si="3"/>
        <v>2.5371428571428574</v>
      </c>
      <c r="R42" s="1">
        <f t="shared" si="4"/>
        <v>0.26005714285714288</v>
      </c>
      <c r="S42" s="1">
        <f t="shared" si="5"/>
        <v>2.7972000000000001</v>
      </c>
      <c r="T42" s="1">
        <f>IFERROR(_xlfn.XLOOKUP(J42,Collection!A:A,Collection!D:D,0)/100/_xlfn.XLOOKUP(J42,Collection!A:A,Collection!J:J,0),_xlfn.XLOOKUP(J42,Sold!A:A,Sold!D:D,0)/100/_xlfn.XLOOKUP(J42,Sold!A:A,Sold!J:J,0))</f>
        <v>1.67</v>
      </c>
      <c r="U42" s="1">
        <f t="shared" si="6"/>
        <v>-1.1272000000000002</v>
      </c>
      <c r="V42" s="18">
        <f>COUNTIF(Collection!A:A,J42)+COUNTIF(Sold!A:A,J42)</f>
        <v>1</v>
      </c>
      <c r="W42" t="str">
        <f>IFERROR(_xlfn.TEXTAFTER(_xlfn.XLOOKUP(J42,Collection!A:A,Collection!C:C,),"Cards "),_xlfn.TEXTAFTER(_xlfn.XLOOKUP(J42,Sold!A:A,Sold!C:C,),"Cards "))</f>
        <v>2022 Panini Donruss Magicians</v>
      </c>
      <c r="X42" s="18" t="str">
        <f>IFERROR(_xlfn.XLOOKUP(J42,Collection!A:A,Collection!B:B,),_xlfn.XLOOKUP(J42,Sold!A:A,Sold!B:B,))</f>
        <v>Luka Doncic #2</v>
      </c>
      <c r="Y42" s="53" t="s">
        <v>507</v>
      </c>
      <c r="AB42" s="8" t="s">
        <v>756</v>
      </c>
      <c r="AC42" s="2">
        <v>-5.0730416666666684</v>
      </c>
    </row>
    <row r="43" spans="2:29" x14ac:dyDescent="0.3">
      <c r="B43" s="10" t="s">
        <v>691</v>
      </c>
      <c r="C43" s="10" t="s">
        <v>26</v>
      </c>
      <c r="D43" s="5">
        <v>46148</v>
      </c>
      <c r="E43" s="6">
        <v>125</v>
      </c>
      <c r="F43" s="4">
        <v>2.33</v>
      </c>
      <c r="G43" s="4">
        <v>0</v>
      </c>
      <c r="H43" s="4">
        <v>0.24</v>
      </c>
      <c r="I43" s="10" t="s">
        <v>11</v>
      </c>
      <c r="J43" s="17" t="s">
        <v>1045</v>
      </c>
      <c r="K43" s="10" t="s">
        <v>1823</v>
      </c>
      <c r="L43" s="16" t="s">
        <v>91</v>
      </c>
      <c r="M43" s="53" t="s">
        <v>1361</v>
      </c>
      <c r="N43" t="str">
        <f t="shared" si="0"/>
        <v>whatnot.com/order/N3ommW2GZtgbdFUhrqPhaC
$2.33 + $0.21 (Shared Shipping) + $0.26 Tax = Total of $2.80</v>
      </c>
      <c r="O43" s="2">
        <f t="shared" si="1"/>
        <v>2.5700000000000003</v>
      </c>
      <c r="P43" s="1">
        <f t="shared" si="7"/>
        <v>0.20714285714285713</v>
      </c>
      <c r="Q43" s="1">
        <f t="shared" si="3"/>
        <v>2.5371428571428574</v>
      </c>
      <c r="R43" s="1">
        <f t="shared" si="4"/>
        <v>0.26005714285714288</v>
      </c>
      <c r="S43" s="1">
        <f t="shared" si="5"/>
        <v>2.7972000000000001</v>
      </c>
      <c r="T43" s="1" t="e">
        <f>IFERROR(_xlfn.XLOOKUP(J43,Collection!A:A,Collection!D:D,0)/100/_xlfn.XLOOKUP(J43,Collection!A:A,Collection!J:J,0),_xlfn.XLOOKUP(J43,Sold!A:A,Sold!D:D,0)/100/_xlfn.XLOOKUP(J43,Sold!A:A,Sold!J:J,0))</f>
        <v>#DIV/0!</v>
      </c>
      <c r="U43" s="1">
        <f t="shared" si="6"/>
        <v>0</v>
      </c>
      <c r="V43" s="18">
        <f>COUNTIF(Collection!A:A,J43)+COUNTIF(Sold!A:A,J43)</f>
        <v>0</v>
      </c>
      <c r="W43" t="e">
        <f>IFERROR(_xlfn.TEXTAFTER(_xlfn.XLOOKUP(J43,Collection!A:A,Collection!C:C,),"Cards "),_xlfn.TEXTAFTER(_xlfn.XLOOKUP(J43,Sold!A:A,Sold!C:C,),"Cards "))</f>
        <v>#N/A</v>
      </c>
      <c r="X43" s="18" t="e">
        <f>IFERROR(_xlfn.XLOOKUP(J43,Collection!A:A,Collection!B:B,),_xlfn.XLOOKUP(J43,Sold!A:A,Sold!B:B,))</f>
        <v>#N/A</v>
      </c>
      <c r="Y43" s="53" t="s">
        <v>514</v>
      </c>
      <c r="AB43" s="8" t="s">
        <v>24</v>
      </c>
      <c r="AC43" s="2">
        <v>-5.5123749999999996</v>
      </c>
    </row>
    <row r="44" spans="2:29" x14ac:dyDescent="0.3">
      <c r="B44" s="10" t="s">
        <v>691</v>
      </c>
      <c r="C44" s="10" t="s">
        <v>26</v>
      </c>
      <c r="D44" s="5">
        <v>46148</v>
      </c>
      <c r="E44" s="6">
        <v>125</v>
      </c>
      <c r="F44" s="4">
        <v>2.33</v>
      </c>
      <c r="G44" s="4">
        <v>0</v>
      </c>
      <c r="H44" s="4">
        <v>0.24</v>
      </c>
      <c r="I44" s="10" t="s">
        <v>11</v>
      </c>
      <c r="J44" s="10">
        <v>6284400</v>
      </c>
      <c r="K44" s="10">
        <v>436</v>
      </c>
      <c r="L44" s="16" t="s">
        <v>91</v>
      </c>
      <c r="M44" s="53" t="s">
        <v>1361</v>
      </c>
      <c r="N44" t="str">
        <f t="shared" si="0"/>
        <v>whatnot.com/order/N3ommW2GZtgbdFUhrqPhaC
$2.33 + $0.21 (Shared Shipping) + $0.26 Tax = Total of $2.80</v>
      </c>
      <c r="O44" s="2">
        <f t="shared" si="1"/>
        <v>2.5700000000000003</v>
      </c>
      <c r="P44" s="1">
        <f t="shared" si="7"/>
        <v>0.20714285714285713</v>
      </c>
      <c r="Q44" s="1">
        <f t="shared" si="3"/>
        <v>2.5371428571428574</v>
      </c>
      <c r="R44" s="1">
        <f t="shared" si="4"/>
        <v>0.26005714285714288</v>
      </c>
      <c r="S44" s="1">
        <f t="shared" si="5"/>
        <v>2.7972000000000001</v>
      </c>
      <c r="T44" s="1">
        <f>IFERROR(_xlfn.XLOOKUP(J44,Collection!A:A,Collection!D:D,0)/100/_xlfn.XLOOKUP(J44,Collection!A:A,Collection!J:J,0),_xlfn.XLOOKUP(J44,Sold!A:A,Sold!D:D,0)/100/_xlfn.XLOOKUP(J44,Sold!A:A,Sold!J:J,0))</f>
        <v>1.21</v>
      </c>
      <c r="U44" s="1">
        <f t="shared" si="6"/>
        <v>-1.5872000000000002</v>
      </c>
      <c r="V44" s="18">
        <f>COUNTIF(Collection!A:A,J44)+COUNTIF(Sold!A:A,J44)</f>
        <v>1</v>
      </c>
      <c r="W44" t="str">
        <f>IFERROR(_xlfn.TEXTAFTER(_xlfn.XLOOKUP(J44,Collection!A:A,Collection!C:C,),"Cards "),_xlfn.TEXTAFTER(_xlfn.XLOOKUP(J44,Sold!A:A,Sold!C:C,),"Cards "))</f>
        <v>2023 Panini Donruss</v>
      </c>
      <c r="X44" s="18" t="str">
        <f>IFERROR(_xlfn.XLOOKUP(J44,Collection!A:A,Collection!B:B,),_xlfn.XLOOKUP(J44,Sold!A:A,Sold!B:B,))</f>
        <v>Luka Doncic #141</v>
      </c>
      <c r="Y44" s="53" t="s">
        <v>507</v>
      </c>
      <c r="AB44" s="8" t="s">
        <v>692</v>
      </c>
      <c r="AC44" s="2">
        <v>-6.0411590909090869</v>
      </c>
    </row>
    <row r="45" spans="2:29" x14ac:dyDescent="0.3">
      <c r="B45" s="10" t="s">
        <v>691</v>
      </c>
      <c r="C45" s="10" t="s">
        <v>26</v>
      </c>
      <c r="D45" s="5">
        <v>46148</v>
      </c>
      <c r="E45" s="6">
        <v>126</v>
      </c>
      <c r="F45" s="4">
        <v>2.5</v>
      </c>
      <c r="G45" s="4">
        <v>0</v>
      </c>
      <c r="H45" s="4">
        <v>0.26</v>
      </c>
      <c r="I45" s="10" t="s">
        <v>11</v>
      </c>
      <c r="J45" s="10">
        <v>6422084</v>
      </c>
      <c r="K45" s="10">
        <v>387</v>
      </c>
      <c r="L45" s="16" t="s">
        <v>92</v>
      </c>
      <c r="M45" s="53" t="s">
        <v>1362</v>
      </c>
      <c r="N45" t="str">
        <f t="shared" si="0"/>
        <v>whatnot.com/order/8DwoNWn73teh8obUuAY5eP
$2.50 + $0.21 (Shared Shipping) + $0.28 Tax = Total of $2.98</v>
      </c>
      <c r="O45" s="2">
        <f t="shared" si="1"/>
        <v>2.76</v>
      </c>
      <c r="P45" s="1">
        <f t="shared" si="7"/>
        <v>0.20714285714285713</v>
      </c>
      <c r="Q45" s="1">
        <f t="shared" si="3"/>
        <v>2.7071428571428573</v>
      </c>
      <c r="R45" s="1">
        <f t="shared" si="4"/>
        <v>0.27748214285714284</v>
      </c>
      <c r="S45" s="1">
        <f t="shared" si="5"/>
        <v>2.9846250000000003</v>
      </c>
      <c r="T45" s="1">
        <f>IFERROR(_xlfn.XLOOKUP(J45,Collection!A:A,Collection!D:D,0)/100/_xlfn.XLOOKUP(J45,Collection!A:A,Collection!J:J,0),_xlfn.XLOOKUP(J45,Sold!A:A,Sold!D:D,0)/100/_xlfn.XLOOKUP(J45,Sold!A:A,Sold!J:J,0))</f>
        <v>1.58</v>
      </c>
      <c r="U45" s="1">
        <f t="shared" si="6"/>
        <v>-1.4046250000000002</v>
      </c>
      <c r="V45" s="18">
        <f>COUNTIF(Collection!A:A,J45)+COUNTIF(Sold!A:A,J45)</f>
        <v>1</v>
      </c>
      <c r="W45" t="str">
        <f>IFERROR(_xlfn.TEXTAFTER(_xlfn.XLOOKUP(J45,Collection!A:A,Collection!C:C,),"Cards "),_xlfn.TEXTAFTER(_xlfn.XLOOKUP(J45,Sold!A:A,Sold!C:C,),"Cards "))</f>
        <v>2023 Panini Prizm Global Reach</v>
      </c>
      <c r="X45" s="18" t="str">
        <f>IFERROR(_xlfn.XLOOKUP(J45,Collection!A:A,Collection!B:B,),_xlfn.XLOOKUP(J45,Sold!A:A,Sold!B:B,))</f>
        <v>Luka Doncic #1</v>
      </c>
      <c r="Y45" s="53" t="s">
        <v>507</v>
      </c>
      <c r="AB45" s="8" t="s">
        <v>31</v>
      </c>
      <c r="AC45" s="2">
        <v>-6.8175999999999988</v>
      </c>
    </row>
    <row r="46" spans="2:29" x14ac:dyDescent="0.3">
      <c r="B46" s="10" t="s">
        <v>691</v>
      </c>
      <c r="C46" s="10" t="s">
        <v>26</v>
      </c>
      <c r="D46" s="5">
        <v>46148</v>
      </c>
      <c r="E46" s="6">
        <v>126</v>
      </c>
      <c r="F46" s="4">
        <v>2.5</v>
      </c>
      <c r="G46" s="4">
        <v>0</v>
      </c>
      <c r="H46" s="4">
        <v>0.26</v>
      </c>
      <c r="I46" s="10" t="s">
        <v>11</v>
      </c>
      <c r="J46" s="10">
        <v>9265985</v>
      </c>
      <c r="K46" s="10">
        <v>378</v>
      </c>
      <c r="L46" s="16" t="s">
        <v>92</v>
      </c>
      <c r="M46" s="53" t="s">
        <v>1362</v>
      </c>
      <c r="N46" t="str">
        <f t="shared" si="0"/>
        <v>whatnot.com/order/8DwoNWn73teh8obUuAY5eP
$2.50 + $0.21 (Shared Shipping) + $0.28 Tax = Total of $2.98</v>
      </c>
      <c r="O46" s="2">
        <f t="shared" si="1"/>
        <v>2.76</v>
      </c>
      <c r="P46" s="1">
        <f t="shared" si="7"/>
        <v>0.20714285714285713</v>
      </c>
      <c r="Q46" s="1">
        <f t="shared" si="3"/>
        <v>2.7071428571428573</v>
      </c>
      <c r="R46" s="1">
        <f t="shared" si="4"/>
        <v>0.27748214285714284</v>
      </c>
      <c r="S46" s="1">
        <f t="shared" si="5"/>
        <v>2.9846250000000003</v>
      </c>
      <c r="T46" s="1">
        <f>IFERROR(_xlfn.XLOOKUP(J46,Collection!A:A,Collection!D:D,0)/100/_xlfn.XLOOKUP(J46,Collection!A:A,Collection!J:J,0),_xlfn.XLOOKUP(J46,Sold!A:A,Sold!D:D,0)/100/_xlfn.XLOOKUP(J46,Sold!A:A,Sold!J:J,0))</f>
        <v>1.69</v>
      </c>
      <c r="U46" s="1">
        <f t="shared" si="6"/>
        <v>-1.2946250000000004</v>
      </c>
      <c r="V46" s="18">
        <f>COUNTIF(Collection!A:A,J46)+COUNTIF(Sold!A:A,J46)</f>
        <v>1</v>
      </c>
      <c r="W46" t="str">
        <f>IFERROR(_xlfn.TEXTAFTER(_xlfn.XLOOKUP(J46,Collection!A:A,Collection!C:C,),"Cards "),_xlfn.TEXTAFTER(_xlfn.XLOOKUP(J46,Sold!A:A,Sold!C:C,),"Cards "))</f>
        <v>2024 Panini Revolution Hardwood Legacy</v>
      </c>
      <c r="X46" s="18" t="str">
        <f>IFERROR(_xlfn.XLOOKUP(J46,Collection!A:A,Collection!B:B,),_xlfn.XLOOKUP(J46,Sold!A:A,Sold!B:B,))</f>
        <v>Luka Doncic #1</v>
      </c>
      <c r="Y46" s="53" t="s">
        <v>507</v>
      </c>
      <c r="AB46" s="8" t="s">
        <v>27</v>
      </c>
      <c r="AC46" s="2">
        <v>-7.0114250000000009</v>
      </c>
    </row>
    <row r="47" spans="2:29" x14ac:dyDescent="0.3">
      <c r="B47" s="10" t="s">
        <v>691</v>
      </c>
      <c r="C47" s="10" t="s">
        <v>26</v>
      </c>
      <c r="D47" s="5">
        <v>46148</v>
      </c>
      <c r="E47" s="6">
        <v>126</v>
      </c>
      <c r="F47" s="4">
        <v>2.5</v>
      </c>
      <c r="G47" s="4">
        <v>0</v>
      </c>
      <c r="H47" s="4">
        <v>0.26</v>
      </c>
      <c r="I47" s="10" t="s">
        <v>11</v>
      </c>
      <c r="J47" s="10">
        <v>10339925</v>
      </c>
      <c r="K47" s="10">
        <v>216</v>
      </c>
      <c r="L47" s="16" t="s">
        <v>92</v>
      </c>
      <c r="M47" s="53" t="s">
        <v>1362</v>
      </c>
      <c r="N47" t="str">
        <f t="shared" si="0"/>
        <v>whatnot.com/order/8DwoNWn73teh8obUuAY5eP
$2.50 + $0.21 (Shared Shipping) + $0.28 Tax = Total of $2.98</v>
      </c>
      <c r="O47" s="2">
        <f t="shared" si="1"/>
        <v>2.76</v>
      </c>
      <c r="P47" s="1">
        <f t="shared" si="7"/>
        <v>0.20714285714285713</v>
      </c>
      <c r="Q47" s="1">
        <f t="shared" si="3"/>
        <v>2.7071428571428573</v>
      </c>
      <c r="R47" s="1">
        <f t="shared" si="4"/>
        <v>0.27748214285714284</v>
      </c>
      <c r="S47" s="1">
        <f t="shared" si="5"/>
        <v>2.9846250000000003</v>
      </c>
      <c r="T47" s="1">
        <f>IFERROR(_xlfn.XLOOKUP(J47,Collection!A:A,Collection!D:D,0)/100/_xlfn.XLOOKUP(J47,Collection!A:A,Collection!J:J,0),_xlfn.XLOOKUP(J47,Sold!A:A,Sold!D:D,0)/100/_xlfn.XLOOKUP(J47,Sold!A:A,Sold!J:J,0))</f>
        <v>2.3199999999999998</v>
      </c>
      <c r="U47" s="1">
        <f t="shared" si="6"/>
        <v>-0.66462500000000047</v>
      </c>
      <c r="V47" s="18">
        <f>COUNTIF(Collection!A:A,J47)+COUNTIF(Sold!A:A,J47)</f>
        <v>1</v>
      </c>
      <c r="W47" t="str">
        <f>IFERROR(_xlfn.TEXTAFTER(_xlfn.XLOOKUP(J47,Collection!A:A,Collection!C:C,),"Cards "),_xlfn.TEXTAFTER(_xlfn.XLOOKUP(J47,Sold!A:A,Sold!C:C,),"Cards "))</f>
        <v>2024 Panini Mosaic Elevate</v>
      </c>
      <c r="X47" s="18" t="str">
        <f>IFERROR(_xlfn.XLOOKUP(J47,Collection!A:A,Collection!B:B,),_xlfn.XLOOKUP(J47,Sold!A:A,Sold!B:B,))</f>
        <v>Luka Doncic [Mosaic] #16</v>
      </c>
      <c r="Y47" s="53" t="s">
        <v>530</v>
      </c>
      <c r="AB47" s="8" t="s">
        <v>483</v>
      </c>
      <c r="AC47" s="2">
        <v>-9.2182749999999984</v>
      </c>
    </row>
    <row r="48" spans="2:29" x14ac:dyDescent="0.3">
      <c r="B48" s="10" t="s">
        <v>691</v>
      </c>
      <c r="C48" s="10" t="s">
        <v>26</v>
      </c>
      <c r="D48" s="5">
        <v>46148</v>
      </c>
      <c r="E48" s="6">
        <v>126</v>
      </c>
      <c r="F48" s="4">
        <v>2.5</v>
      </c>
      <c r="G48" s="4">
        <v>0</v>
      </c>
      <c r="H48" s="4">
        <v>0.26</v>
      </c>
      <c r="I48" s="10" t="s">
        <v>11</v>
      </c>
      <c r="J48" s="10">
        <v>6713723</v>
      </c>
      <c r="K48" s="10">
        <v>323</v>
      </c>
      <c r="L48" s="16" t="s">
        <v>92</v>
      </c>
      <c r="M48" s="53" t="s">
        <v>1362</v>
      </c>
      <c r="N48" t="str">
        <f t="shared" si="0"/>
        <v>whatnot.com/order/8DwoNWn73teh8obUuAY5eP
$2.50 + $0.21 (Shared Shipping) + $0.28 Tax = Total of $2.98</v>
      </c>
      <c r="O48" s="2">
        <f t="shared" si="1"/>
        <v>2.76</v>
      </c>
      <c r="P48" s="1">
        <f t="shared" si="7"/>
        <v>0.20714285714285713</v>
      </c>
      <c r="Q48" s="1">
        <f t="shared" si="3"/>
        <v>2.7071428571428573</v>
      </c>
      <c r="R48" s="1">
        <f t="shared" si="4"/>
        <v>0.27748214285714284</v>
      </c>
      <c r="S48" s="1">
        <f t="shared" si="5"/>
        <v>2.9846250000000003</v>
      </c>
      <c r="T48" s="1">
        <f>IFERROR(_xlfn.XLOOKUP(J48,Collection!A:A,Collection!D:D,0)/100/_xlfn.XLOOKUP(J48,Collection!A:A,Collection!J:J,0),_xlfn.XLOOKUP(J48,Sold!A:A,Sold!D:D,0)/100/_xlfn.XLOOKUP(J48,Sold!A:A,Sold!J:J,0))</f>
        <v>1.35</v>
      </c>
      <c r="U48" s="1">
        <f t="shared" si="6"/>
        <v>-1.6346250000000002</v>
      </c>
      <c r="V48" s="18">
        <f>COUNTIF(Collection!A:A,J48)+COUNTIF(Sold!A:A,J48)</f>
        <v>1</v>
      </c>
      <c r="W48" t="str">
        <f>IFERROR(_xlfn.TEXTAFTER(_xlfn.XLOOKUP(J48,Collection!A:A,Collection!C:C,),"Cards "),_xlfn.TEXTAFTER(_xlfn.XLOOKUP(J48,Sold!A:A,Sold!C:C,),"Cards "))</f>
        <v>2023 Panini Select Thunder Lane</v>
      </c>
      <c r="X48" s="18" t="str">
        <f>IFERROR(_xlfn.XLOOKUP(J48,Collection!A:A,Collection!B:B,),_xlfn.XLOOKUP(J48,Sold!A:A,Sold!B:B,))</f>
        <v>Luka Doncic #3</v>
      </c>
      <c r="Y48" s="53" t="s">
        <v>507</v>
      </c>
      <c r="AB48" s="8" t="s">
        <v>1056</v>
      </c>
      <c r="AC48" s="2">
        <v>-13.002474999999999</v>
      </c>
    </row>
    <row r="49" spans="2:29" x14ac:dyDescent="0.3">
      <c r="B49" s="10" t="s">
        <v>691</v>
      </c>
      <c r="C49" s="10" t="s">
        <v>26</v>
      </c>
      <c r="D49" s="5">
        <v>46148</v>
      </c>
      <c r="E49" s="6">
        <v>126</v>
      </c>
      <c r="F49" s="4">
        <v>2.5</v>
      </c>
      <c r="G49" s="4">
        <v>0</v>
      </c>
      <c r="H49" s="4">
        <v>0.25</v>
      </c>
      <c r="I49" s="10" t="s">
        <v>11</v>
      </c>
      <c r="J49" s="10">
        <v>8560255</v>
      </c>
      <c r="K49" s="10">
        <v>393</v>
      </c>
      <c r="L49" s="16" t="s">
        <v>92</v>
      </c>
      <c r="M49" s="53" t="s">
        <v>1362</v>
      </c>
      <c r="N49" t="str">
        <f t="shared" si="0"/>
        <v>whatnot.com/order/8DwoNWn73teh8obUuAY5eP
$2.50 + $0.21 (Shared Shipping) + $0.28 Tax = Total of $2.98</v>
      </c>
      <c r="O49" s="2">
        <f t="shared" si="1"/>
        <v>2.75</v>
      </c>
      <c r="P49" s="1">
        <f t="shared" si="7"/>
        <v>0.20714285714285713</v>
      </c>
      <c r="Q49" s="1">
        <f t="shared" si="3"/>
        <v>2.7071428571428573</v>
      </c>
      <c r="R49" s="1">
        <f t="shared" si="4"/>
        <v>0.27748214285714284</v>
      </c>
      <c r="S49" s="1">
        <f t="shared" si="5"/>
        <v>2.9846250000000003</v>
      </c>
      <c r="T49" s="1">
        <f>IFERROR(_xlfn.XLOOKUP(J49,Collection!A:A,Collection!D:D,0)/100/_xlfn.XLOOKUP(J49,Collection!A:A,Collection!J:J,0),_xlfn.XLOOKUP(J49,Sold!A:A,Sold!D:D,0)/100/_xlfn.XLOOKUP(J49,Sold!A:A,Sold!J:J,0))</f>
        <v>1.44</v>
      </c>
      <c r="U49" s="1">
        <f t="shared" si="6"/>
        <v>-1.5446250000000004</v>
      </c>
      <c r="V49" s="18">
        <f>COUNTIF(Collection!A:A,J49)+COUNTIF(Sold!A:A,J49)</f>
        <v>1</v>
      </c>
      <c r="W49" t="str">
        <f>IFERROR(_xlfn.TEXTAFTER(_xlfn.XLOOKUP(J49,Collection!A:A,Collection!C:C,),"Cards "),_xlfn.TEXTAFTER(_xlfn.XLOOKUP(J49,Sold!A:A,Sold!C:C,),"Cards "))</f>
        <v>2024 Panini Prizm Deep Space</v>
      </c>
      <c r="X49" s="18" t="str">
        <f>IFERROR(_xlfn.XLOOKUP(J49,Collection!A:A,Collection!B:B,),_xlfn.XLOOKUP(J49,Sold!A:A,Sold!B:B,))</f>
        <v>Luka Doncic #4</v>
      </c>
      <c r="Y49" s="53" t="s">
        <v>507</v>
      </c>
      <c r="AB49" s="8" t="s">
        <v>22</v>
      </c>
      <c r="AC49" s="2">
        <v>-17.032374999999998</v>
      </c>
    </row>
    <row r="50" spans="2:29" x14ac:dyDescent="0.3">
      <c r="B50" s="10" t="s">
        <v>691</v>
      </c>
      <c r="C50" s="10" t="s">
        <v>26</v>
      </c>
      <c r="D50" s="5">
        <v>46148</v>
      </c>
      <c r="E50" s="6">
        <v>126</v>
      </c>
      <c r="F50" s="4">
        <v>2.5</v>
      </c>
      <c r="G50" s="4">
        <v>0</v>
      </c>
      <c r="H50" s="4">
        <v>0.25</v>
      </c>
      <c r="I50" s="10" t="s">
        <v>11</v>
      </c>
      <c r="J50" s="10">
        <v>3727503</v>
      </c>
      <c r="K50" s="10">
        <v>396</v>
      </c>
      <c r="L50" s="16" t="s">
        <v>92</v>
      </c>
      <c r="M50" s="53" t="s">
        <v>1362</v>
      </c>
      <c r="N50" t="str">
        <f t="shared" si="0"/>
        <v>whatnot.com/order/8DwoNWn73teh8obUuAY5eP
$2.50 + $0.21 (Shared Shipping) + $0.28 Tax = Total of $2.98</v>
      </c>
      <c r="O50" s="2">
        <f t="shared" si="1"/>
        <v>2.75</v>
      </c>
      <c r="P50" s="1">
        <f t="shared" si="7"/>
        <v>0.20714285714285713</v>
      </c>
      <c r="Q50" s="1">
        <f t="shared" si="3"/>
        <v>2.7071428571428573</v>
      </c>
      <c r="R50" s="1">
        <f t="shared" si="4"/>
        <v>0.27748214285714284</v>
      </c>
      <c r="S50" s="1">
        <f t="shared" si="5"/>
        <v>2.9846250000000003</v>
      </c>
      <c r="T50" s="1">
        <f>IFERROR(_xlfn.XLOOKUP(J50,Collection!A:A,Collection!D:D,0)/100/_xlfn.XLOOKUP(J50,Collection!A:A,Collection!J:J,0),_xlfn.XLOOKUP(J50,Sold!A:A,Sold!D:D,0)/100/_xlfn.XLOOKUP(J50,Sold!A:A,Sold!J:J,0))</f>
        <v>1.47</v>
      </c>
      <c r="U50" s="1">
        <f t="shared" si="6"/>
        <v>-1.5146250000000003</v>
      </c>
      <c r="V50" s="18">
        <f>COUNTIF(Collection!A:A,J50)+COUNTIF(Sold!A:A,J50)</f>
        <v>1</v>
      </c>
      <c r="W50" t="str">
        <f>IFERROR(_xlfn.TEXTAFTER(_xlfn.XLOOKUP(J50,Collection!A:A,Collection!C:C,),"Cards "),_xlfn.TEXTAFTER(_xlfn.XLOOKUP(J50,Sold!A:A,Sold!C:C,),"Cards "))</f>
        <v>2021 Panini Prizm</v>
      </c>
      <c r="X50" s="18" t="str">
        <f>IFERROR(_xlfn.XLOOKUP(J50,Collection!A:A,Collection!B:B,),_xlfn.XLOOKUP(J50,Sold!A:A,Sold!B:B,))</f>
        <v>Luka Doncic #223</v>
      </c>
      <c r="Y50" s="53" t="s">
        <v>507</v>
      </c>
      <c r="AB50" s="8" t="s">
        <v>745</v>
      </c>
      <c r="AC50" s="2">
        <v>-18.728749999999998</v>
      </c>
    </row>
    <row r="51" spans="2:29" x14ac:dyDescent="0.3">
      <c r="B51" s="10" t="s">
        <v>691</v>
      </c>
      <c r="C51" s="10" t="s">
        <v>27</v>
      </c>
      <c r="D51" s="5">
        <v>46149</v>
      </c>
      <c r="E51" s="6" t="s">
        <v>492</v>
      </c>
      <c r="F51" s="4">
        <v>0</v>
      </c>
      <c r="G51" s="4">
        <v>0</v>
      </c>
      <c r="H51" s="4">
        <v>0</v>
      </c>
      <c r="I51" s="10" t="s">
        <v>720</v>
      </c>
      <c r="J51" s="10">
        <v>12627605</v>
      </c>
      <c r="K51" s="10">
        <v>426</v>
      </c>
      <c r="L51" s="16" t="s">
        <v>93</v>
      </c>
      <c r="M51" s="53" t="s">
        <v>1363</v>
      </c>
      <c r="N51" t="str">
        <f t="shared" si="0"/>
        <v>whatnot.com/order/ezSKfFW6zDG5UWaRKJYAXA
$0.00 + $0.00 (Shared Shipping) + $0.00 Tax = Total of $0.00</v>
      </c>
      <c r="O51" s="1">
        <f t="shared" si="1"/>
        <v>0</v>
      </c>
      <c r="P51" s="1">
        <f t="shared" si="7"/>
        <v>0</v>
      </c>
      <c r="Q51" s="1">
        <f t="shared" si="3"/>
        <v>0</v>
      </c>
      <c r="R51" s="1">
        <f t="shared" si="4"/>
        <v>0</v>
      </c>
      <c r="S51" s="1">
        <f t="shared" si="5"/>
        <v>0</v>
      </c>
      <c r="T51" s="1">
        <f>IFERROR(_xlfn.XLOOKUP(J51,Collection!A:A,Collection!D:D,0)/100/_xlfn.XLOOKUP(J51,Collection!A:A,Collection!J:J,0),_xlfn.XLOOKUP(J51,Sold!A:A,Sold!D:D,0)/100/_xlfn.XLOOKUP(J51,Sold!A:A,Sold!J:J,0))</f>
        <v>1.5</v>
      </c>
      <c r="U51" s="1">
        <f t="shared" si="6"/>
        <v>1.5</v>
      </c>
      <c r="V51" s="18">
        <f>COUNTIF(Collection!A:A,J51)+COUNTIF(Sold!A:A,J51)</f>
        <v>1</v>
      </c>
      <c r="W51" t="str">
        <f>IFERROR(_xlfn.TEXTAFTER(_xlfn.XLOOKUP(J51,Collection!A:A,Collection!C:C,),"Cards "),_xlfn.TEXTAFTER(_xlfn.XLOOKUP(J51,Sold!A:A,Sold!C:C,),"Cards "))</f>
        <v>2025 Bowman Prospects</v>
      </c>
      <c r="X51" s="18" t="str">
        <f>IFERROR(_xlfn.XLOOKUP(J51,Collection!A:A,Collection!B:B,),_xlfn.XLOOKUP(J51,Sold!A:A,Sold!B:B,))</f>
        <v>Cotie McMahon #BPP-30</v>
      </c>
      <c r="Y51" s="53" t="s">
        <v>507</v>
      </c>
      <c r="AB51" s="8" t="s">
        <v>1146</v>
      </c>
      <c r="AC51" s="2">
        <v>-19.721500000000002</v>
      </c>
    </row>
    <row r="52" spans="2:29" x14ac:dyDescent="0.3">
      <c r="B52" s="10" t="s">
        <v>691</v>
      </c>
      <c r="C52" s="10" t="s">
        <v>27</v>
      </c>
      <c r="D52" s="5">
        <v>46149</v>
      </c>
      <c r="E52" s="6" t="s">
        <v>493</v>
      </c>
      <c r="F52" s="4">
        <v>0</v>
      </c>
      <c r="G52" s="4">
        <v>0</v>
      </c>
      <c r="H52" s="4">
        <v>0</v>
      </c>
      <c r="I52" s="10" t="s">
        <v>721</v>
      </c>
      <c r="J52" s="10">
        <v>10818673</v>
      </c>
      <c r="K52" s="10">
        <v>567</v>
      </c>
      <c r="L52" s="16" t="s">
        <v>94</v>
      </c>
      <c r="M52" s="53" t="s">
        <v>1364</v>
      </c>
      <c r="N52" t="str">
        <f t="shared" si="0"/>
        <v>whatnot.com/order/Xz3tx8zp8BHqHykj7qkN3x
$0.00 + $0.00 (Shared Shipping) + $0.00 Tax = Total of $0.00</v>
      </c>
      <c r="O52" s="1">
        <f t="shared" si="1"/>
        <v>0</v>
      </c>
      <c r="P52" s="1">
        <f t="shared" si="7"/>
        <v>0</v>
      </c>
      <c r="Q52" s="1">
        <f t="shared" si="3"/>
        <v>0</v>
      </c>
      <c r="R52" s="1">
        <f t="shared" si="4"/>
        <v>0</v>
      </c>
      <c r="S52" s="1">
        <f t="shared" si="5"/>
        <v>0</v>
      </c>
      <c r="T52" s="1">
        <f>IFERROR(_xlfn.XLOOKUP(J52,Collection!A:A,Collection!D:D,0)/100/_xlfn.XLOOKUP(J52,Collection!A:A,Collection!J:J,0),_xlfn.XLOOKUP(J52,Sold!A:A,Sold!D:D,0)/100/_xlfn.XLOOKUP(J52,Sold!A:A,Sold!J:J,0))</f>
        <v>0.99</v>
      </c>
      <c r="U52" s="1">
        <f t="shared" si="6"/>
        <v>0.99</v>
      </c>
      <c r="V52" s="18">
        <f>COUNTIF(Collection!A:A,J52)+COUNTIF(Sold!A:A,J52)</f>
        <v>1</v>
      </c>
      <c r="W52" t="str">
        <f>IFERROR(_xlfn.TEXTAFTER(_xlfn.XLOOKUP(J52,Collection!A:A,Collection!C:C,),"Cards "),_xlfn.TEXTAFTER(_xlfn.XLOOKUP(J52,Sold!A:A,Sold!C:C,),"Cards "))</f>
        <v>2025 Topps</v>
      </c>
      <c r="X52" s="18" t="str">
        <f>IFERROR(_xlfn.XLOOKUP(J52,Collection!A:A,Collection!B:B,),_xlfn.XLOOKUP(J52,Sold!A:A,Sold!B:B,))</f>
        <v>Tidjane Salaun #71</v>
      </c>
      <c r="Y52" s="53" t="s">
        <v>507</v>
      </c>
      <c r="AB52" s="8" t="s">
        <v>788</v>
      </c>
      <c r="AC52" s="2">
        <v>-21.840000000000003</v>
      </c>
    </row>
    <row r="53" spans="2:29" x14ac:dyDescent="0.3">
      <c r="B53" s="10" t="s">
        <v>691</v>
      </c>
      <c r="C53" s="10" t="s">
        <v>28</v>
      </c>
      <c r="D53" s="5">
        <v>46150</v>
      </c>
      <c r="E53" s="6">
        <v>6</v>
      </c>
      <c r="F53" s="4">
        <v>1</v>
      </c>
      <c r="G53" s="4">
        <v>1.39</v>
      </c>
      <c r="H53" s="4">
        <v>0.25</v>
      </c>
      <c r="I53" s="10" t="s">
        <v>11</v>
      </c>
      <c r="J53" s="10">
        <v>2857292</v>
      </c>
      <c r="K53" s="10">
        <v>110</v>
      </c>
      <c r="L53" s="16" t="s">
        <v>95</v>
      </c>
      <c r="M53" s="53" t="s">
        <v>1365</v>
      </c>
      <c r="N53" t="str">
        <f t="shared" si="0"/>
        <v>whatnot.com/order/THjJHwGpnJ2cNFaSnvcckW
$1.00 + $1.00 (Shared Shipping) + $0.21 Tax = Total of $2.21</v>
      </c>
      <c r="O53" s="2">
        <f t="shared" si="1"/>
        <v>2.6399999999999997</v>
      </c>
      <c r="P53" s="1">
        <f t="shared" si="7"/>
        <v>1</v>
      </c>
      <c r="Q53" s="1">
        <f t="shared" si="3"/>
        <v>2</v>
      </c>
      <c r="R53" s="1">
        <f t="shared" si="4"/>
        <v>0.20499999999999999</v>
      </c>
      <c r="S53" s="1">
        <f t="shared" si="5"/>
        <v>2.2050000000000001</v>
      </c>
      <c r="T53" s="1">
        <f>IFERROR(_xlfn.XLOOKUP(J53,Collection!A:A,Collection!D:D,0)/100/_xlfn.XLOOKUP(J53,Collection!A:A,Collection!J:J,0),_xlfn.XLOOKUP(J53,Sold!A:A,Sold!D:D,0)/100/_xlfn.XLOOKUP(J53,Sold!A:A,Sold!J:J,0))</f>
        <v>5.87</v>
      </c>
      <c r="U53" s="1">
        <f t="shared" si="6"/>
        <v>3.665</v>
      </c>
      <c r="V53" s="18">
        <f>COUNTIF(Collection!A:A,J53)+COUNTIF(Sold!A:A,J53)</f>
        <v>1</v>
      </c>
      <c r="W53" t="str">
        <f>IFERROR(_xlfn.TEXTAFTER(_xlfn.XLOOKUP(J53,Collection!A:A,Collection!C:C,),"Cards "),_xlfn.TEXTAFTER(_xlfn.XLOOKUP(J53,Sold!A:A,Sold!C:C,),"Cards "))</f>
        <v>2019 Panini Chronicles</v>
      </c>
      <c r="X53" s="18" t="str">
        <f>IFERROR(_xlfn.XLOOKUP(J53,Collection!A:A,Collection!B:B,),_xlfn.XLOOKUP(J53,Sold!A:A,Sold!B:B,))</f>
        <v>Luka Doncic [Teal] #15</v>
      </c>
      <c r="Y53" s="53" t="s">
        <v>507</v>
      </c>
      <c r="AB53" s="8" t="s">
        <v>1</v>
      </c>
      <c r="AC53" s="2">
        <v>-27.75087499999999</v>
      </c>
    </row>
    <row r="54" spans="2:29" x14ac:dyDescent="0.3">
      <c r="B54" s="10" t="s">
        <v>691</v>
      </c>
      <c r="C54" s="10" t="s">
        <v>28</v>
      </c>
      <c r="D54" s="5">
        <v>46150</v>
      </c>
      <c r="E54" s="6">
        <v>7</v>
      </c>
      <c r="F54" s="4">
        <v>1</v>
      </c>
      <c r="G54" s="4">
        <v>3.36</v>
      </c>
      <c r="H54" s="4">
        <v>0.46</v>
      </c>
      <c r="I54" s="10" t="s">
        <v>509</v>
      </c>
      <c r="J54" s="17" t="s">
        <v>1045</v>
      </c>
      <c r="K54" s="10" t="s">
        <v>1823</v>
      </c>
      <c r="L54" s="16" t="s">
        <v>96</v>
      </c>
      <c r="M54" s="53" t="s">
        <v>1366</v>
      </c>
      <c r="N54" t="str">
        <f t="shared" si="0"/>
        <v>whatnot.com/order/EifBu6qeaD4paxGVjbK2N2
$1.00 + $1.00 (Shared Shipping) + $0.21 Tax = Total of $2.21</v>
      </c>
      <c r="O54" s="2">
        <f t="shared" si="1"/>
        <v>4.8199999999999994</v>
      </c>
      <c r="P54" s="1">
        <f t="shared" si="7"/>
        <v>1</v>
      </c>
      <c r="Q54" s="1">
        <f t="shared" si="3"/>
        <v>2</v>
      </c>
      <c r="R54" s="1">
        <f t="shared" si="4"/>
        <v>0.20499999999999999</v>
      </c>
      <c r="S54" s="1">
        <f t="shared" si="5"/>
        <v>2.2050000000000001</v>
      </c>
      <c r="T54" s="1" t="e">
        <f>IFERROR(_xlfn.XLOOKUP(J54,Collection!A:A,Collection!D:D,0)/100/_xlfn.XLOOKUP(J54,Collection!A:A,Collection!J:J,0),_xlfn.XLOOKUP(J54,Sold!A:A,Sold!D:D,0)/100/_xlfn.XLOOKUP(J54,Sold!A:A,Sold!J:J,0))</f>
        <v>#DIV/0!</v>
      </c>
      <c r="U54" s="1">
        <f t="shared" si="6"/>
        <v>0</v>
      </c>
      <c r="V54" s="18">
        <f>COUNTIF(Collection!A:A,J54)+COUNTIF(Sold!A:A,J54)</f>
        <v>0</v>
      </c>
      <c r="W54" t="e">
        <f>IFERROR(_xlfn.TEXTAFTER(_xlfn.XLOOKUP(J54,Collection!A:A,Collection!C:C,),"Cards "),_xlfn.TEXTAFTER(_xlfn.XLOOKUP(J54,Sold!A:A,Sold!C:C,),"Cards "))</f>
        <v>#N/A</v>
      </c>
      <c r="X54" s="18" t="e">
        <f>IFERROR(_xlfn.XLOOKUP(J54,Collection!A:A,Collection!B:B,),_xlfn.XLOOKUP(J54,Sold!A:A,Sold!B:B,))</f>
        <v>#N/A</v>
      </c>
      <c r="Y54" s="53" t="s">
        <v>514</v>
      </c>
      <c r="AB54" s="8" t="s">
        <v>23</v>
      </c>
      <c r="AC54" s="2">
        <v>-28.697500000000002</v>
      </c>
    </row>
    <row r="55" spans="2:29" x14ac:dyDescent="0.3">
      <c r="B55" s="10" t="s">
        <v>691</v>
      </c>
      <c r="C55" s="10" t="s">
        <v>28</v>
      </c>
      <c r="D55" s="5">
        <v>46150</v>
      </c>
      <c r="E55" s="6">
        <v>9</v>
      </c>
      <c r="F55" s="4">
        <v>2</v>
      </c>
      <c r="G55" s="4">
        <v>0.25</v>
      </c>
      <c r="H55" s="4">
        <v>0.24</v>
      </c>
      <c r="I55" s="10" t="s">
        <v>510</v>
      </c>
      <c r="J55" s="10">
        <v>12613839</v>
      </c>
      <c r="K55" s="10">
        <v>79</v>
      </c>
      <c r="L55" s="16" t="s">
        <v>97</v>
      </c>
      <c r="M55" s="53" t="s">
        <v>1367</v>
      </c>
      <c r="N55" t="str">
        <f t="shared" si="0"/>
        <v>whatnot.com/order/jUyUBmgt9rDM2xSirWQMVK
$2.00 + $1.00 (Shared Shipping) + $0.31 Tax = Total of $3.31</v>
      </c>
      <c r="O55" s="2">
        <f t="shared" si="1"/>
        <v>2.4900000000000002</v>
      </c>
      <c r="P55" s="1">
        <f t="shared" si="7"/>
        <v>1</v>
      </c>
      <c r="Q55" s="1">
        <f t="shared" si="3"/>
        <v>3</v>
      </c>
      <c r="R55" s="1">
        <f t="shared" si="4"/>
        <v>0.3075</v>
      </c>
      <c r="S55" s="1">
        <f t="shared" si="5"/>
        <v>3.3075000000000001</v>
      </c>
      <c r="T55" s="1">
        <f>IFERROR(_xlfn.XLOOKUP(J55,Collection!A:A,Collection!D:D,0)/100/_xlfn.XLOOKUP(J55,Collection!A:A,Collection!J:J,0),_xlfn.XLOOKUP(J55,Sold!A:A,Sold!D:D,0)/100/_xlfn.XLOOKUP(J55,Sold!A:A,Sold!J:J,0))</f>
        <v>3.71</v>
      </c>
      <c r="U55" s="1">
        <f t="shared" si="6"/>
        <v>0.40249999999999986</v>
      </c>
      <c r="V55" s="18">
        <f>COUNTIF(Collection!A:A,J55)+COUNTIF(Sold!A:A,J55)</f>
        <v>2</v>
      </c>
      <c r="W55" t="str">
        <f>IFERROR(_xlfn.TEXTAFTER(_xlfn.XLOOKUP(J55,Collection!A:A,Collection!C:C,),"Cards "),_xlfn.TEXTAFTER(_xlfn.XLOOKUP(J55,Sold!A:A,Sold!C:C,),"Cards "))</f>
        <v>2025 Bowman</v>
      </c>
      <c r="X55" s="18" t="str">
        <f>IFERROR(_xlfn.XLOOKUP(J55,Collection!A:A,Collection!B:B,),_xlfn.XLOOKUP(J55,Sold!A:A,Sold!B:B,))</f>
        <v>Cooper Flagg #1</v>
      </c>
      <c r="Y55" s="53" t="s">
        <v>507</v>
      </c>
      <c r="AB55" s="8" t="s">
        <v>1149</v>
      </c>
      <c r="AC55" s="2">
        <v>-152.85726741380554</v>
      </c>
    </row>
    <row r="56" spans="2:29" x14ac:dyDescent="0.3">
      <c r="B56" s="10" t="s">
        <v>691</v>
      </c>
      <c r="C56" s="10" t="s">
        <v>28</v>
      </c>
      <c r="D56" s="5">
        <v>46150</v>
      </c>
      <c r="E56" s="6">
        <v>10</v>
      </c>
      <c r="F56" s="4">
        <v>1</v>
      </c>
      <c r="G56" s="4">
        <v>0</v>
      </c>
      <c r="H56" s="4">
        <v>0.11</v>
      </c>
      <c r="I56" s="10" t="s">
        <v>511</v>
      </c>
      <c r="J56" s="10">
        <v>156688</v>
      </c>
      <c r="K56" s="10">
        <v>209</v>
      </c>
      <c r="L56" s="16" t="s">
        <v>98</v>
      </c>
      <c r="M56" s="53" t="s">
        <v>1368</v>
      </c>
      <c r="N56" t="str">
        <f t="shared" si="0"/>
        <v>whatnot.com/order/o8pD2uRJ2uJBZu72TvBaqn
$1.00 + $1.00 (Shared Shipping) + $0.21 Tax = Total of $2.21</v>
      </c>
      <c r="O56" s="2">
        <f t="shared" si="1"/>
        <v>1.1100000000000001</v>
      </c>
      <c r="P56" s="1">
        <f t="shared" si="7"/>
        <v>1</v>
      </c>
      <c r="Q56" s="1">
        <f t="shared" si="3"/>
        <v>2</v>
      </c>
      <c r="R56" s="1">
        <f t="shared" si="4"/>
        <v>0.20499999999999999</v>
      </c>
      <c r="S56" s="1">
        <f t="shared" si="5"/>
        <v>2.2050000000000001</v>
      </c>
      <c r="T56" s="1">
        <f>IFERROR(_xlfn.XLOOKUP(J56,Collection!A:A,Collection!D:D,0)/100/_xlfn.XLOOKUP(J56,Collection!A:A,Collection!J:J,0),_xlfn.XLOOKUP(J56,Sold!A:A,Sold!D:D,0)/100/_xlfn.XLOOKUP(J56,Sold!A:A,Sold!J:J,0))</f>
        <v>2</v>
      </c>
      <c r="U56" s="1">
        <f t="shared" si="6"/>
        <v>-0.20500000000000007</v>
      </c>
      <c r="V56" s="18">
        <f>COUNTIF(Collection!A:A,J56)+COUNTIF(Sold!A:A,J56)</f>
        <v>1</v>
      </c>
      <c r="W56" t="str">
        <f>IFERROR(_xlfn.TEXTAFTER(_xlfn.XLOOKUP(J56,Collection!A:A,Collection!C:C,),"Cards "),_xlfn.TEXTAFTER(_xlfn.XLOOKUP(J56,Sold!A:A,Sold!C:C,),"Cards "))</f>
        <v>2019 Panini Chronicles</v>
      </c>
      <c r="X56" s="18" t="str">
        <f>IFERROR(_xlfn.XLOOKUP(J56,Collection!A:A,Collection!B:B,),_xlfn.XLOOKUP(J56,Sold!A:A,Sold!B:B,))</f>
        <v>JA Morant #168</v>
      </c>
      <c r="Y56" s="53" t="s">
        <v>507</v>
      </c>
    </row>
    <row r="57" spans="2:29" x14ac:dyDescent="0.3">
      <c r="B57" s="10" t="s">
        <v>691</v>
      </c>
      <c r="C57" s="10" t="s">
        <v>28</v>
      </c>
      <c r="D57" s="5">
        <v>46150</v>
      </c>
      <c r="E57" s="6">
        <v>24</v>
      </c>
      <c r="F57" s="4">
        <v>2</v>
      </c>
      <c r="G57" s="4">
        <v>0</v>
      </c>
      <c r="H57" s="4">
        <v>0.21</v>
      </c>
      <c r="I57" s="10" t="s">
        <v>79</v>
      </c>
      <c r="J57" s="10">
        <v>11474841</v>
      </c>
      <c r="K57" s="10">
        <v>235</v>
      </c>
      <c r="L57" s="16" t="s">
        <v>99</v>
      </c>
      <c r="M57" s="53" t="s">
        <v>1369</v>
      </c>
      <c r="N57" t="str">
        <f t="shared" si="0"/>
        <v>whatnot.com/order/V5Gh7hYUvoJshqsMYA2fjj
$2.00 + $1.00 (Shared Shipping) + $0.31 Tax = Total of $3.31</v>
      </c>
      <c r="O57" s="2">
        <f t="shared" si="1"/>
        <v>2.21</v>
      </c>
      <c r="P57" s="1">
        <f t="shared" si="7"/>
        <v>1</v>
      </c>
      <c r="Q57" s="1">
        <f t="shared" si="3"/>
        <v>3</v>
      </c>
      <c r="R57" s="1">
        <f t="shared" si="4"/>
        <v>0.3075</v>
      </c>
      <c r="S57" s="1">
        <f t="shared" si="5"/>
        <v>3.3075000000000001</v>
      </c>
      <c r="T57" s="1">
        <f>IFERROR(_xlfn.XLOOKUP(J57,Collection!A:A,Collection!D:D,0)/100/_xlfn.XLOOKUP(J57,Collection!A:A,Collection!J:J,0),_xlfn.XLOOKUP(J57,Sold!A:A,Sold!D:D,0)/100/_xlfn.XLOOKUP(J57,Sold!A:A,Sold!J:J,0))</f>
        <v>2.0099999999999998</v>
      </c>
      <c r="U57" s="1">
        <f t="shared" si="6"/>
        <v>-1.2975000000000003</v>
      </c>
      <c r="V57" s="18">
        <f>COUNTIF(Collection!A:A,J57)+COUNTIF(Sold!A:A,J57)</f>
        <v>1</v>
      </c>
      <c r="W57" t="str">
        <f>IFERROR(_xlfn.TEXTAFTER(_xlfn.XLOOKUP(J57,Collection!A:A,Collection!C:C,),"Cards "),_xlfn.TEXTAFTER(_xlfn.XLOOKUP(J57,Sold!A:A,Sold!C:C,),"Cards "))</f>
        <v>2025 Topps Chrome</v>
      </c>
      <c r="X57" s="18" t="str">
        <f>IFERROR(_xlfn.XLOOKUP(J57,Collection!A:A,Collection!B:B,),_xlfn.XLOOKUP(J57,Sold!A:A,Sold!B:B,))</f>
        <v>Cade Cunningham [Refractor] #88</v>
      </c>
      <c r="Y57" s="53" t="s">
        <v>507</v>
      </c>
    </row>
    <row r="58" spans="2:29" x14ac:dyDescent="0.3">
      <c r="B58" s="10" t="s">
        <v>691</v>
      </c>
      <c r="C58" s="10" t="s">
        <v>29</v>
      </c>
      <c r="D58" s="5">
        <v>46149</v>
      </c>
      <c r="E58" s="6" t="s">
        <v>495</v>
      </c>
      <c r="F58" s="4">
        <v>0</v>
      </c>
      <c r="G58" s="4">
        <v>0</v>
      </c>
      <c r="H58" s="4">
        <v>0</v>
      </c>
      <c r="I58" s="10" t="s">
        <v>69</v>
      </c>
      <c r="J58" s="10">
        <v>145531</v>
      </c>
      <c r="K58" s="10">
        <v>66</v>
      </c>
      <c r="L58" s="16" t="s">
        <v>100</v>
      </c>
      <c r="M58" s="53" t="s">
        <v>1370</v>
      </c>
      <c r="N58" t="str">
        <f t="shared" si="0"/>
        <v>whatnot.com/order/PPztzz2oNPCFrGQKEtGeKP
$0.00 + $0.00 (Shared Shipping) + $0.00 Tax = Total of $0.00</v>
      </c>
      <c r="O58" s="1">
        <f t="shared" si="1"/>
        <v>0</v>
      </c>
      <c r="P58" s="1">
        <f t="shared" si="7"/>
        <v>0</v>
      </c>
      <c r="Q58" s="1">
        <f t="shared" si="3"/>
        <v>0</v>
      </c>
      <c r="R58" s="1">
        <f t="shared" si="4"/>
        <v>0</v>
      </c>
      <c r="S58" s="1">
        <f t="shared" si="5"/>
        <v>0</v>
      </c>
      <c r="T58" s="1">
        <f>IFERROR(_xlfn.XLOOKUP(J58,Collection!A:A,Collection!D:D,0)/100/_xlfn.XLOOKUP(J58,Collection!A:A,Collection!J:J,0),_xlfn.XLOOKUP(J58,Sold!A:A,Sold!D:D,0)/100/_xlfn.XLOOKUP(J58,Sold!A:A,Sold!J:J,0))</f>
        <v>5.2</v>
      </c>
      <c r="U58" s="1">
        <f t="shared" si="6"/>
        <v>5.2</v>
      </c>
      <c r="V58" s="18">
        <f>COUNTIF(Collection!A:A,J58)+COUNTIF(Sold!A:A,J58)</f>
        <v>1</v>
      </c>
      <c r="W58" t="str">
        <f>IFERROR(_xlfn.TEXTAFTER(_xlfn.XLOOKUP(J58,Collection!A:A,Collection!C:C,),"Cards "),_xlfn.TEXTAFTER(_xlfn.XLOOKUP(J58,Sold!A:A,Sold!C:C,),"Cards "))</f>
        <v>2003 SP Authentic</v>
      </c>
      <c r="X58" s="18" t="str">
        <f>IFERROR(_xlfn.XLOOKUP(J58,Collection!A:A,Collection!B:B,),_xlfn.XLOOKUP(J58,Sold!A:A,Sold!B:B,))</f>
        <v>Kobe Bryant #35</v>
      </c>
      <c r="Y58" s="53" t="s">
        <v>507</v>
      </c>
    </row>
    <row r="59" spans="2:29" x14ac:dyDescent="0.3">
      <c r="B59" s="10" t="s">
        <v>691</v>
      </c>
      <c r="C59" s="10" t="s">
        <v>30</v>
      </c>
      <c r="D59" s="5">
        <v>46149</v>
      </c>
      <c r="E59" s="6">
        <v>1</v>
      </c>
      <c r="F59" s="4">
        <v>1</v>
      </c>
      <c r="G59" s="4">
        <v>1.39</v>
      </c>
      <c r="H59" s="4">
        <v>0.25</v>
      </c>
      <c r="I59" s="10" t="s">
        <v>16</v>
      </c>
      <c r="J59" s="10">
        <v>8395765</v>
      </c>
      <c r="K59" s="10">
        <v>420</v>
      </c>
      <c r="L59" s="16" t="s">
        <v>101</v>
      </c>
      <c r="M59" s="53" t="s">
        <v>1371</v>
      </c>
      <c r="N59" t="str">
        <f t="shared" si="0"/>
        <v>whatnot.com/order/CyF3nZr4GRuqeEQwgYCVcq
$1.00 + $1.39 (Shared Shipping) + $0.24 Tax = Total of $2.63</v>
      </c>
      <c r="O59" s="1">
        <f t="shared" si="1"/>
        <v>2.6399999999999997</v>
      </c>
      <c r="P59" s="1">
        <f t="shared" si="7"/>
        <v>1.39</v>
      </c>
      <c r="Q59" s="1">
        <f t="shared" si="3"/>
        <v>2.3899999999999997</v>
      </c>
      <c r="R59" s="1">
        <f t="shared" si="4"/>
        <v>0.24497499999999994</v>
      </c>
      <c r="S59" s="1">
        <f t="shared" si="5"/>
        <v>2.6349749999999998</v>
      </c>
      <c r="T59" s="1">
        <f>IFERROR(_xlfn.XLOOKUP(J59,Collection!A:A,Collection!D:D,0)/100/_xlfn.XLOOKUP(J59,Collection!A:A,Collection!J:J,0),_xlfn.XLOOKUP(J59,Sold!A:A,Sold!D:D,0)/100/_xlfn.XLOOKUP(J59,Sold!A:A,Sold!J:J,0))</f>
        <v>1.5</v>
      </c>
      <c r="U59" s="1">
        <f t="shared" si="6"/>
        <v>-1.1349749999999998</v>
      </c>
      <c r="V59" s="18">
        <f>COUNTIF(Collection!A:A,J59)+COUNTIF(Sold!A:A,J59)</f>
        <v>1</v>
      </c>
      <c r="W59" t="str">
        <f>IFERROR(_xlfn.TEXTAFTER(_xlfn.XLOOKUP(J59,Collection!A:A,Collection!C:C,),"Cards "),_xlfn.TEXTAFTER(_xlfn.XLOOKUP(J59,Sold!A:A,Sold!C:C,),"Cards "))</f>
        <v>2024 Panini NBA Hoops</v>
      </c>
      <c r="X59" s="18" t="str">
        <f>IFERROR(_xlfn.XLOOKUP(J59,Collection!A:A,Collection!B:B,),_xlfn.XLOOKUP(J59,Sold!A:A,Sold!B:B,))</f>
        <v>Austin Reaves [Winter] #138</v>
      </c>
      <c r="Y59" s="53" t="s">
        <v>525</v>
      </c>
    </row>
    <row r="60" spans="2:29" x14ac:dyDescent="0.3">
      <c r="B60" s="10" t="s">
        <v>691</v>
      </c>
      <c r="C60" s="10" t="s">
        <v>31</v>
      </c>
      <c r="D60" s="5">
        <v>46150</v>
      </c>
      <c r="E60" s="6" t="s">
        <v>495</v>
      </c>
      <c r="F60" s="4">
        <v>0</v>
      </c>
      <c r="G60" s="4">
        <v>0</v>
      </c>
      <c r="H60" s="4">
        <v>0</v>
      </c>
      <c r="I60" s="10" t="s">
        <v>750</v>
      </c>
      <c r="J60" s="10">
        <v>8151713</v>
      </c>
      <c r="K60" s="10">
        <v>310</v>
      </c>
      <c r="L60" s="16" t="s">
        <v>102</v>
      </c>
      <c r="M60" s="53" t="s">
        <v>1372</v>
      </c>
      <c r="N60" t="str">
        <f t="shared" si="0"/>
        <v>whatnot.com/order/mjPJ8grwnTa5xjehNNp2Qq
$0.00 + $1.72 (Shared Shipping) + $0.00 Tax = Total of $1.72</v>
      </c>
      <c r="O60" s="1">
        <f t="shared" si="1"/>
        <v>0</v>
      </c>
      <c r="P60" s="1">
        <f t="shared" si="7"/>
        <v>1.72</v>
      </c>
      <c r="Q60" s="1">
        <f t="shared" si="3"/>
        <v>1.72</v>
      </c>
      <c r="R60" s="1">
        <f t="shared" si="4"/>
        <v>0</v>
      </c>
      <c r="S60" s="1">
        <f t="shared" si="5"/>
        <v>1.72</v>
      </c>
      <c r="T60" s="1">
        <f>IFERROR(_xlfn.XLOOKUP(J60,Collection!A:A,Collection!D:D,0)/100/_xlfn.XLOOKUP(J60,Collection!A:A,Collection!J:J,0),_xlfn.XLOOKUP(J60,Sold!A:A,Sold!D:D,0)/100/_xlfn.XLOOKUP(J60,Sold!A:A,Sold!J:J,0))</f>
        <v>1.89</v>
      </c>
      <c r="U60" s="1">
        <f t="shared" si="6"/>
        <v>0.16999999999999993</v>
      </c>
      <c r="V60" s="18">
        <f>COUNTIF(Collection!A:A,J60)+COUNTIF(Sold!A:A,J60)</f>
        <v>1</v>
      </c>
      <c r="W60" t="str">
        <f>IFERROR(_xlfn.TEXTAFTER(_xlfn.XLOOKUP(J60,Collection!A:A,Collection!C:C,),"Cards "),_xlfn.TEXTAFTER(_xlfn.XLOOKUP(J60,Sold!A:A,Sold!C:C,),"Cards "))</f>
        <v>2023 Topps Cosmic Chrome</v>
      </c>
      <c r="X60" s="18" t="str">
        <f>IFERROR(_xlfn.XLOOKUP(J60,Collection!A:A,Collection!B:B,),_xlfn.XLOOKUP(J60,Sold!A:A,Sold!B:B,))</f>
        <v>Robert Parish #140</v>
      </c>
      <c r="Y60" s="53" t="s">
        <v>507</v>
      </c>
    </row>
    <row r="61" spans="2:29" x14ac:dyDescent="0.3">
      <c r="B61" s="10" t="s">
        <v>691</v>
      </c>
      <c r="C61" s="10" t="s">
        <v>31</v>
      </c>
      <c r="D61" s="5">
        <v>46150</v>
      </c>
      <c r="E61" s="6">
        <v>10</v>
      </c>
      <c r="F61" s="4">
        <v>3</v>
      </c>
      <c r="G61" s="4">
        <v>3.77</v>
      </c>
      <c r="H61" s="4">
        <v>0.71</v>
      </c>
      <c r="I61" s="10" t="s">
        <v>508</v>
      </c>
      <c r="J61" s="10">
        <v>2102671</v>
      </c>
      <c r="K61" s="10">
        <v>178</v>
      </c>
      <c r="L61" s="16" t="s">
        <v>103</v>
      </c>
      <c r="M61" s="53" t="s">
        <v>1373</v>
      </c>
      <c r="N61" t="str">
        <f t="shared" si="0"/>
        <v>whatnot.com/order/76LD29BivfBZrNXYeJq5xV
$3.00 + $1.72 (Shared Shipping) + $0.48 Tax = Total of $5.20</v>
      </c>
      <c r="O61" s="1">
        <f t="shared" si="1"/>
        <v>7.4799999999999995</v>
      </c>
      <c r="P61" s="1">
        <f t="shared" si="7"/>
        <v>1.72</v>
      </c>
      <c r="Q61" s="1">
        <f t="shared" si="3"/>
        <v>4.72</v>
      </c>
      <c r="R61" s="1">
        <f t="shared" si="4"/>
        <v>0.48379999999999995</v>
      </c>
      <c r="S61" s="1">
        <f t="shared" si="5"/>
        <v>5.2037999999999993</v>
      </c>
      <c r="T61" s="1">
        <f>IFERROR(_xlfn.XLOOKUP(J61,Collection!A:A,Collection!D:D,0)/100/_xlfn.XLOOKUP(J61,Collection!A:A,Collection!J:J,0),_xlfn.XLOOKUP(J61,Sold!A:A,Sold!D:D,0)/100/_xlfn.XLOOKUP(J61,Sold!A:A,Sold!J:J,0))</f>
        <v>2.17</v>
      </c>
      <c r="U61" s="1">
        <f t="shared" si="6"/>
        <v>-3.0337999999999994</v>
      </c>
      <c r="V61" s="18">
        <f>COUNTIF(Collection!A:A,J61)+COUNTIF(Sold!A:A,J61)</f>
        <v>1</v>
      </c>
      <c r="W61" t="str">
        <f>IFERROR(_xlfn.TEXTAFTER(_xlfn.XLOOKUP(J61,Collection!A:A,Collection!C:C,),"Cards "),_xlfn.TEXTAFTER(_xlfn.XLOOKUP(J61,Sold!A:A,Sold!C:C,),"Cards "))</f>
        <v>2019 Panini Revolution Rookie Autographs</v>
      </c>
      <c r="X61" s="18" t="str">
        <f>IFERROR(_xlfn.XLOOKUP(J61,Collection!A:A,Collection!B:B,),_xlfn.XLOOKUP(J61,Sold!A:A,Sold!B:B,))</f>
        <v>Jarrett Culver #JCV</v>
      </c>
      <c r="Y61" s="53" t="s">
        <v>507</v>
      </c>
    </row>
    <row r="62" spans="2:29" x14ac:dyDescent="0.3">
      <c r="B62" s="10" t="s">
        <v>691</v>
      </c>
      <c r="C62" s="10" t="s">
        <v>31</v>
      </c>
      <c r="D62" s="5">
        <v>46150</v>
      </c>
      <c r="E62" s="6">
        <v>2</v>
      </c>
      <c r="F62" s="4">
        <v>3</v>
      </c>
      <c r="G62" s="4">
        <v>1.39</v>
      </c>
      <c r="H62" s="4">
        <v>0.45</v>
      </c>
      <c r="I62" s="10" t="s">
        <v>75</v>
      </c>
      <c r="J62" s="10">
        <v>4343792</v>
      </c>
      <c r="K62" s="10">
        <v>486</v>
      </c>
      <c r="L62" s="16" t="s">
        <v>104</v>
      </c>
      <c r="M62" s="53" t="s">
        <v>1374</v>
      </c>
      <c r="N62" t="str">
        <f t="shared" si="0"/>
        <v>whatnot.com/order/4QyCs9xsuozDF4z5kAMs7r
$3.00 + $1.72 (Shared Shipping) + $0.48 Tax = Total of $5.20</v>
      </c>
      <c r="O62" s="1">
        <f t="shared" si="1"/>
        <v>4.84</v>
      </c>
      <c r="P62" s="1">
        <f t="shared" si="7"/>
        <v>1.72</v>
      </c>
      <c r="Q62" s="1">
        <f t="shared" si="3"/>
        <v>4.72</v>
      </c>
      <c r="R62" s="1">
        <f t="shared" si="4"/>
        <v>0.48379999999999995</v>
      </c>
      <c r="S62" s="1">
        <f t="shared" si="5"/>
        <v>5.2037999999999993</v>
      </c>
      <c r="T62" s="1">
        <f>IFERROR(_xlfn.XLOOKUP(J62,Collection!A:A,Collection!D:D,0)/100/_xlfn.XLOOKUP(J62,Collection!A:A,Collection!J:J,0),_xlfn.XLOOKUP(J62,Sold!A:A,Sold!D:D,0)/100/_xlfn.XLOOKUP(J62,Sold!A:A,Sold!J:J,0))</f>
        <v>1.25</v>
      </c>
      <c r="U62" s="1">
        <f t="shared" si="6"/>
        <v>-3.9537999999999993</v>
      </c>
      <c r="V62" s="18">
        <f>COUNTIF(Collection!A:A,J62)+COUNTIF(Sold!A:A,J62)</f>
        <v>1</v>
      </c>
      <c r="W62" t="str">
        <f>IFERROR(_xlfn.TEXTAFTER(_xlfn.XLOOKUP(J62,Collection!A:A,Collection!C:C,),"Cards "),_xlfn.TEXTAFTER(_xlfn.XLOOKUP(J62,Sold!A:A,Sold!C:C,),"Cards "))</f>
        <v>2022 Panini Chronicles Draft Picks Revolution</v>
      </c>
      <c r="X62" s="18" t="str">
        <f>IFERROR(_xlfn.XLOOKUP(J62,Collection!A:A,Collection!B:B,),_xlfn.XLOOKUP(J62,Sold!A:A,Sold!B:B,))</f>
        <v>Kyrie Irving #63</v>
      </c>
      <c r="Y62" s="53" t="s">
        <v>507</v>
      </c>
    </row>
    <row r="63" spans="2:29" x14ac:dyDescent="0.3">
      <c r="B63" s="10" t="s">
        <v>691</v>
      </c>
      <c r="C63" s="10" t="s">
        <v>497</v>
      </c>
      <c r="D63" s="5">
        <v>46150</v>
      </c>
      <c r="E63" s="6">
        <v>1</v>
      </c>
      <c r="F63" s="4">
        <v>1.6666666666666667</v>
      </c>
      <c r="G63" s="4">
        <f t="shared" ref="G63:G71" si="8">9.21/9</f>
        <v>1.0233333333333334</v>
      </c>
      <c r="H63" s="4">
        <f t="shared" ref="H63:H71" si="9">2.48/9</f>
        <v>0.27555555555555555</v>
      </c>
      <c r="I63" s="10" t="s">
        <v>512</v>
      </c>
      <c r="J63" s="10">
        <v>12615262</v>
      </c>
      <c r="K63" s="10">
        <v>414</v>
      </c>
      <c r="L63" s="16" t="s">
        <v>106</v>
      </c>
      <c r="M63" s="53" t="s">
        <v>1375</v>
      </c>
      <c r="N63" t="str">
        <f t="shared" si="0"/>
        <v>whatnot.com/order/7eozouSEnosHtokHHfAAYH
$1.67 + $1.02 (Shared Shipping) + $0.28 Tax = Total of $2.97</v>
      </c>
      <c r="O63" s="2">
        <f t="shared" si="1"/>
        <v>2.9655555555555559</v>
      </c>
      <c r="P63" s="1">
        <f t="shared" si="7"/>
        <v>1.0233333333333334</v>
      </c>
      <c r="Q63" s="1">
        <f t="shared" si="3"/>
        <v>2.6900000000000004</v>
      </c>
      <c r="R63" s="1">
        <f t="shared" si="4"/>
        <v>0.275725</v>
      </c>
      <c r="S63" s="1">
        <f t="shared" si="5"/>
        <v>2.9657250000000004</v>
      </c>
      <c r="T63" s="1">
        <f>IFERROR(_xlfn.XLOOKUP(J63,Collection!A:A,Collection!D:D,0)/100/_xlfn.XLOOKUP(J63,Collection!A:A,Collection!J:J,0),_xlfn.XLOOKUP(J63,Sold!A:A,Sold!D:D,0)/100/_xlfn.XLOOKUP(J63,Sold!A:A,Sold!J:J,0))</f>
        <v>1.35</v>
      </c>
      <c r="U63" s="1">
        <f t="shared" si="6"/>
        <v>-1.6157250000000003</v>
      </c>
      <c r="V63" s="18">
        <f>COUNTIF(Collection!A:A,J63)+COUNTIF(Sold!A:A,J63)</f>
        <v>2</v>
      </c>
      <c r="W63" t="str">
        <f>IFERROR(_xlfn.TEXTAFTER(_xlfn.XLOOKUP(J63,Collection!A:A,Collection!C:C,),"Cards "),_xlfn.TEXTAFTER(_xlfn.XLOOKUP(J63,Sold!A:A,Sold!C:C,),"Cards "))</f>
        <v>2025 Bowman</v>
      </c>
      <c r="X63" s="18" t="str">
        <f>IFERROR(_xlfn.XLOOKUP(J63,Collection!A:A,Collection!B:B,),_xlfn.XLOOKUP(J63,Sold!A:A,Sold!B:B,))</f>
        <v>Victor Wembanyama #143</v>
      </c>
      <c r="Y63" s="53" t="s">
        <v>507</v>
      </c>
    </row>
    <row r="64" spans="2:29" x14ac:dyDescent="0.3">
      <c r="B64" s="10" t="s">
        <v>691</v>
      </c>
      <c r="C64" s="10" t="s">
        <v>497</v>
      </c>
      <c r="D64" s="5">
        <v>46150</v>
      </c>
      <c r="E64" s="6">
        <v>1</v>
      </c>
      <c r="F64" s="4">
        <v>1.6666666666666667</v>
      </c>
      <c r="G64" s="4">
        <f t="shared" si="8"/>
        <v>1.0233333333333334</v>
      </c>
      <c r="H64" s="4">
        <f t="shared" si="9"/>
        <v>0.27555555555555555</v>
      </c>
      <c r="I64" s="10" t="s">
        <v>10</v>
      </c>
      <c r="J64" s="10">
        <v>12643617</v>
      </c>
      <c r="K64" s="10">
        <v>455</v>
      </c>
      <c r="L64" s="16" t="s">
        <v>106</v>
      </c>
      <c r="M64" s="53" t="s">
        <v>1375</v>
      </c>
      <c r="N64" t="str">
        <f t="shared" si="0"/>
        <v>whatnot.com/order/7eozouSEnosHtokHHfAAYH
$1.67 + $1.02 (Shared Shipping) + $0.28 Tax = Total of $2.97</v>
      </c>
      <c r="O64" s="2">
        <f t="shared" si="1"/>
        <v>2.9655555555555559</v>
      </c>
      <c r="P64" s="1">
        <f t="shared" si="7"/>
        <v>1.0233333333333334</v>
      </c>
      <c r="Q64" s="1">
        <f t="shared" si="3"/>
        <v>2.6900000000000004</v>
      </c>
      <c r="R64" s="1">
        <f t="shared" si="4"/>
        <v>0.275725</v>
      </c>
      <c r="S64" s="1">
        <f t="shared" si="5"/>
        <v>2.9657250000000004</v>
      </c>
      <c r="T64" s="1">
        <f>IFERROR(_xlfn.XLOOKUP(J64,Collection!A:A,Collection!D:D,0)/100/_xlfn.XLOOKUP(J64,Collection!A:A,Collection!J:J,0),_xlfn.XLOOKUP(J64,Sold!A:A,Sold!D:D,0)/100/_xlfn.XLOOKUP(J64,Sold!A:A,Sold!J:J,0))</f>
        <v>1.25</v>
      </c>
      <c r="U64" s="1">
        <f t="shared" si="6"/>
        <v>-1.7157250000000004</v>
      </c>
      <c r="V64" s="18">
        <f>COUNTIF(Collection!A:A,J64)+COUNTIF(Sold!A:A,J64)</f>
        <v>1</v>
      </c>
      <c r="W64" t="str">
        <f>IFERROR(_xlfn.TEXTAFTER(_xlfn.XLOOKUP(J64,Collection!A:A,Collection!C:C,),"Cards "),_xlfn.TEXTAFTER(_xlfn.XLOOKUP(J64,Sold!A:A,Sold!C:C,),"Cards "))</f>
        <v>2025 Bowman Young Kings</v>
      </c>
      <c r="X64" s="18" t="str">
        <f>IFERROR(_xlfn.XLOOKUP(J64,Collection!A:A,Collection!B:B,),_xlfn.XLOOKUP(J64,Sold!A:A,Sold!B:B,))</f>
        <v>Nikola Jokic #YK-6</v>
      </c>
      <c r="Y64" s="53" t="s">
        <v>507</v>
      </c>
    </row>
    <row r="65" spans="2:25" x14ac:dyDescent="0.3">
      <c r="B65" s="10" t="s">
        <v>691</v>
      </c>
      <c r="C65" s="10" t="s">
        <v>497</v>
      </c>
      <c r="D65" s="5">
        <v>46150</v>
      </c>
      <c r="E65" s="6">
        <v>1</v>
      </c>
      <c r="F65" s="4">
        <v>1.6666666666666667</v>
      </c>
      <c r="G65" s="4">
        <f t="shared" si="8"/>
        <v>1.0233333333333334</v>
      </c>
      <c r="H65" s="4">
        <f t="shared" si="9"/>
        <v>0.27555555555555555</v>
      </c>
      <c r="I65" s="10" t="s">
        <v>10</v>
      </c>
      <c r="J65" s="10">
        <v>2892569</v>
      </c>
      <c r="K65" s="10">
        <v>177</v>
      </c>
      <c r="L65" s="16" t="s">
        <v>106</v>
      </c>
      <c r="M65" s="53" t="s">
        <v>1375</v>
      </c>
      <c r="N65" t="str">
        <f t="shared" si="0"/>
        <v>whatnot.com/order/7eozouSEnosHtokHHfAAYH
$1.67 + $1.02 (Shared Shipping) + $0.28 Tax = Total of $2.97</v>
      </c>
      <c r="O65" s="2">
        <f t="shared" si="1"/>
        <v>2.9655555555555559</v>
      </c>
      <c r="P65" s="1">
        <f t="shared" si="7"/>
        <v>1.0233333333333334</v>
      </c>
      <c r="Q65" s="1">
        <f t="shared" si="3"/>
        <v>2.6900000000000004</v>
      </c>
      <c r="R65" s="1">
        <f t="shared" si="4"/>
        <v>0.275725</v>
      </c>
      <c r="S65" s="1">
        <f t="shared" si="5"/>
        <v>2.9657250000000004</v>
      </c>
      <c r="T65" s="1">
        <f>IFERROR(_xlfn.XLOOKUP(J65,Collection!A:A,Collection!D:D,0)/100/_xlfn.XLOOKUP(J65,Collection!A:A,Collection!J:J,0),_xlfn.XLOOKUP(J65,Sold!A:A,Sold!D:D,0)/100/_xlfn.XLOOKUP(J65,Sold!A:A,Sold!J:J,0))</f>
        <v>3</v>
      </c>
      <c r="U65" s="1">
        <f t="shared" si="6"/>
        <v>3.4274999999999611E-2</v>
      </c>
      <c r="V65" s="18">
        <f>COUNTIF(Collection!A:A,J65)+COUNTIF(Sold!A:A,J65)</f>
        <v>1</v>
      </c>
      <c r="W65" t="str">
        <f>IFERROR(_xlfn.TEXTAFTER(_xlfn.XLOOKUP(J65,Collection!A:A,Collection!C:C,),"Cards "),_xlfn.TEXTAFTER(_xlfn.XLOOKUP(J65,Sold!A:A,Sold!C:C,),"Cards "))</f>
        <v>2019 Panini Hoops Lights Camera Action</v>
      </c>
      <c r="X65" s="18" t="str">
        <f>IFERROR(_xlfn.XLOOKUP(J65,Collection!A:A,Collection!B:B,),_xlfn.XLOOKUP(J65,Sold!A:A,Sold!B:B,))</f>
        <v>Nikola Jokic [Holo] #28</v>
      </c>
      <c r="Y65" s="53" t="s">
        <v>515</v>
      </c>
    </row>
    <row r="66" spans="2:25" x14ac:dyDescent="0.3">
      <c r="B66" s="10" t="s">
        <v>691</v>
      </c>
      <c r="C66" s="10" t="s">
        <v>497</v>
      </c>
      <c r="D66" s="5">
        <v>46150</v>
      </c>
      <c r="E66" s="6">
        <v>1</v>
      </c>
      <c r="F66" s="4">
        <v>1.6666666666666667</v>
      </c>
      <c r="G66" s="4">
        <f t="shared" si="8"/>
        <v>1.0233333333333334</v>
      </c>
      <c r="H66" s="4">
        <f t="shared" si="9"/>
        <v>0.27555555555555555</v>
      </c>
      <c r="I66" s="10" t="s">
        <v>512</v>
      </c>
      <c r="J66" s="10">
        <v>9778816</v>
      </c>
      <c r="K66" s="10">
        <v>83</v>
      </c>
      <c r="L66" s="16" t="s">
        <v>106</v>
      </c>
      <c r="M66" s="53" t="s">
        <v>1375</v>
      </c>
      <c r="N66" t="str">
        <f t="shared" si="0"/>
        <v>whatnot.com/order/7eozouSEnosHtokHHfAAYH
$1.67 + $1.02 (Shared Shipping) + $0.28 Tax = Total of $2.97</v>
      </c>
      <c r="O66" s="2">
        <f t="shared" si="1"/>
        <v>2.9655555555555559</v>
      </c>
      <c r="P66" s="1">
        <f t="shared" si="7"/>
        <v>1.0233333333333334</v>
      </c>
      <c r="Q66" s="1">
        <f t="shared" si="3"/>
        <v>2.6900000000000004</v>
      </c>
      <c r="R66" s="1">
        <f t="shared" si="4"/>
        <v>0.275725</v>
      </c>
      <c r="S66" s="1">
        <f t="shared" si="5"/>
        <v>2.9657250000000004</v>
      </c>
      <c r="T66" s="1">
        <f>IFERROR(_xlfn.XLOOKUP(J66,Collection!A:A,Collection!D:D,0)/100/_xlfn.XLOOKUP(J66,Collection!A:A,Collection!J:J,0),_xlfn.XLOOKUP(J66,Sold!A:A,Sold!D:D,0)/100/_xlfn.XLOOKUP(J66,Sold!A:A,Sold!J:J,0))</f>
        <v>42.54</v>
      </c>
      <c r="U66" s="1">
        <f t="shared" si="6"/>
        <v>39.574275</v>
      </c>
      <c r="V66" s="18">
        <f>COUNTIF(Collection!A:A,J66)+COUNTIF(Sold!A:A,J66)</f>
        <v>1</v>
      </c>
      <c r="W66" t="str">
        <f>IFERROR(_xlfn.TEXTAFTER(_xlfn.XLOOKUP(J66,Collection!A:A,Collection!C:C,),"Cards "),_xlfn.TEXTAFTER(_xlfn.XLOOKUP(J66,Sold!A:A,Sold!C:C,),"Cards "))</f>
        <v>2024 Panini Select</v>
      </c>
      <c r="X66" s="18" t="str">
        <f>IFERROR(_xlfn.XLOOKUP(J66,Collection!A:A,Collection!B:B,),_xlfn.XLOOKUP(J66,Sold!A:A,Sold!B:B,))</f>
        <v>Victor Wembanyama [Orange Cracked Ice Prizm] #9</v>
      </c>
      <c r="Y66" s="53" t="s">
        <v>507</v>
      </c>
    </row>
    <row r="67" spans="2:25" x14ac:dyDescent="0.3">
      <c r="B67" s="10" t="s">
        <v>691</v>
      </c>
      <c r="C67" s="10" t="s">
        <v>497</v>
      </c>
      <c r="D67" s="5">
        <v>46150</v>
      </c>
      <c r="E67" s="6">
        <v>1</v>
      </c>
      <c r="F67" s="4">
        <v>1.6666666666666667</v>
      </c>
      <c r="G67" s="4">
        <f t="shared" si="8"/>
        <v>1.0233333333333334</v>
      </c>
      <c r="H67" s="4">
        <f t="shared" si="9"/>
        <v>0.27555555555555555</v>
      </c>
      <c r="I67" s="10" t="s">
        <v>468</v>
      </c>
      <c r="J67" s="10">
        <v>2963876</v>
      </c>
      <c r="K67" s="10">
        <v>381</v>
      </c>
      <c r="L67" s="16" t="s">
        <v>106</v>
      </c>
      <c r="M67" s="53" t="s">
        <v>1375</v>
      </c>
      <c r="N67" t="str">
        <f t="shared" si="0"/>
        <v>whatnot.com/order/7eozouSEnosHtokHHfAAYH
$1.67 + $1.02 (Shared Shipping) + $0.28 Tax = Total of $2.97</v>
      </c>
      <c r="O67" s="2">
        <f t="shared" si="1"/>
        <v>2.9655555555555559</v>
      </c>
      <c r="P67" s="1">
        <f t="shared" si="7"/>
        <v>1.0233333333333334</v>
      </c>
      <c r="Q67" s="1">
        <f t="shared" si="3"/>
        <v>2.6900000000000004</v>
      </c>
      <c r="R67" s="1">
        <f t="shared" si="4"/>
        <v>0.275725</v>
      </c>
      <c r="S67" s="1">
        <f t="shared" si="5"/>
        <v>2.9657250000000004</v>
      </c>
      <c r="T67" s="1">
        <f>IFERROR(_xlfn.XLOOKUP(J67,Collection!A:A,Collection!D:D,0)/100/_xlfn.XLOOKUP(J67,Collection!A:A,Collection!J:J,0),_xlfn.XLOOKUP(J67,Sold!A:A,Sold!D:D,0)/100/_xlfn.XLOOKUP(J67,Sold!A:A,Sold!J:J,0))</f>
        <v>1.79</v>
      </c>
      <c r="U67" s="1">
        <f t="shared" si="6"/>
        <v>-1.1757250000000004</v>
      </c>
      <c r="V67" s="18">
        <f>COUNTIF(Collection!A:A,J67)+COUNTIF(Sold!A:A,J67)</f>
        <v>1</v>
      </c>
      <c r="W67" t="str">
        <f>IFERROR(_xlfn.TEXTAFTER(_xlfn.XLOOKUP(J67,Collection!A:A,Collection!C:C,),"Cards "),_xlfn.TEXTAFTER(_xlfn.XLOOKUP(J67,Sold!A:A,Sold!C:C,),"Cards "))</f>
        <v>2020 Panini Illusions</v>
      </c>
      <c r="X67" s="18" t="str">
        <f>IFERROR(_xlfn.XLOOKUP(J67,Collection!A:A,Collection!B:B,),_xlfn.XLOOKUP(J67,Sold!A:A,Sold!B:B,))</f>
        <v>Shai Gilgeous-Alexander #35</v>
      </c>
      <c r="Y67" s="53" t="s">
        <v>507</v>
      </c>
    </row>
    <row r="68" spans="2:25" x14ac:dyDescent="0.3">
      <c r="B68" s="10" t="s">
        <v>691</v>
      </c>
      <c r="C68" s="10" t="s">
        <v>497</v>
      </c>
      <c r="D68" s="5">
        <v>46150</v>
      </c>
      <c r="E68" s="6">
        <v>1</v>
      </c>
      <c r="F68" s="4">
        <v>1.6666666666666667</v>
      </c>
      <c r="G68" s="4">
        <f t="shared" si="8"/>
        <v>1.0233333333333334</v>
      </c>
      <c r="H68" s="4">
        <f t="shared" si="9"/>
        <v>0.27555555555555555</v>
      </c>
      <c r="I68" s="10" t="s">
        <v>468</v>
      </c>
      <c r="J68" s="10">
        <v>3727518</v>
      </c>
      <c r="K68" s="10">
        <v>363</v>
      </c>
      <c r="L68" s="16" t="s">
        <v>106</v>
      </c>
      <c r="M68" s="53" t="s">
        <v>1375</v>
      </c>
      <c r="N68" t="str">
        <f t="shared" ref="N68:N131" si="10">IFERROR(_xlfn.TEXTAFTER(L68,"https://www."),"")&amp;CHAR(10)&amp;_xlfn.CONCAT(TEXT(F68,"$0.00")," + ",TEXT(P68,"$0.00")," (Shared Shipping) + ",TEXT(R68,"$0.00")," Tax = Total of ",TEXT(S68,"$0.00"))</f>
        <v>whatnot.com/order/7eozouSEnosHtokHHfAAYH
$1.67 + $1.02 (Shared Shipping) + $0.28 Tax = Total of $2.97</v>
      </c>
      <c r="O68" s="2">
        <f t="shared" ref="O68:O131" si="11">SUM(F68:H68)</f>
        <v>2.9655555555555559</v>
      </c>
      <c r="P68" s="1">
        <f t="shared" ref="P68:P99" si="12">SUMIFS(G:G,C:C,C68,D:D,D68)/COUNTIFS(C:C,C68,D:D,D68)</f>
        <v>1.0233333333333334</v>
      </c>
      <c r="Q68" s="1">
        <f t="shared" ref="Q68:Q131" si="13">+F68+P68</f>
        <v>2.6900000000000004</v>
      </c>
      <c r="R68" s="1">
        <f t="shared" ref="R68:R131" si="14">IF(H68=0,0,Q68*0.1025)</f>
        <v>0.275725</v>
      </c>
      <c r="S68" s="1">
        <f t="shared" ref="S68:S131" si="15">+Q68+R68</f>
        <v>2.9657250000000004</v>
      </c>
      <c r="T68" s="1">
        <f>IFERROR(_xlfn.XLOOKUP(J68,Collection!A:A,Collection!D:D,0)/100/_xlfn.XLOOKUP(J68,Collection!A:A,Collection!J:J,0),_xlfn.XLOOKUP(J68,Sold!A:A,Sold!D:D,0)/100/_xlfn.XLOOKUP(J68,Sold!A:A,Sold!J:J,0))</f>
        <v>1.47</v>
      </c>
      <c r="U68" s="1">
        <f t="shared" ref="U68:U131" si="16">IFERROR(T68-S68,0)</f>
        <v>-1.4957250000000004</v>
      </c>
      <c r="V68" s="18">
        <f>COUNTIF(Collection!A:A,J68)+COUNTIF(Sold!A:A,J68)</f>
        <v>1</v>
      </c>
      <c r="W68" t="str">
        <f>IFERROR(_xlfn.TEXTAFTER(_xlfn.XLOOKUP(J68,Collection!A:A,Collection!C:C,),"Cards "),_xlfn.TEXTAFTER(_xlfn.XLOOKUP(J68,Sold!A:A,Sold!C:C,),"Cards "))</f>
        <v>2021 Panini Prizm</v>
      </c>
      <c r="X68" s="18" t="str">
        <f>IFERROR(_xlfn.XLOOKUP(J68,Collection!A:A,Collection!B:B,),_xlfn.XLOOKUP(J68,Sold!A:A,Sold!B:B,))</f>
        <v>Shai Gilgeous Alexander #238</v>
      </c>
      <c r="Y68" s="53" t="s">
        <v>507</v>
      </c>
    </row>
    <row r="69" spans="2:25" x14ac:dyDescent="0.3">
      <c r="B69" s="10" t="s">
        <v>691</v>
      </c>
      <c r="C69" s="10" t="s">
        <v>497</v>
      </c>
      <c r="D69" s="5">
        <v>46150</v>
      </c>
      <c r="E69" s="6">
        <v>1</v>
      </c>
      <c r="F69" s="4">
        <v>1.6666666666666667</v>
      </c>
      <c r="G69" s="4">
        <f t="shared" si="8"/>
        <v>1.0233333333333334</v>
      </c>
      <c r="H69" s="4">
        <f t="shared" si="9"/>
        <v>0.27555555555555555</v>
      </c>
      <c r="I69" s="10" t="s">
        <v>11</v>
      </c>
      <c r="J69" s="10">
        <v>9960699</v>
      </c>
      <c r="K69" s="10">
        <v>156</v>
      </c>
      <c r="L69" s="16" t="s">
        <v>106</v>
      </c>
      <c r="M69" s="53" t="s">
        <v>1375</v>
      </c>
      <c r="N69" t="str">
        <f t="shared" si="10"/>
        <v>whatnot.com/order/7eozouSEnosHtokHHfAAYH
$1.67 + $1.02 (Shared Shipping) + $0.28 Tax = Total of $2.97</v>
      </c>
      <c r="O69" s="2">
        <f t="shared" si="11"/>
        <v>2.9655555555555559</v>
      </c>
      <c r="P69" s="1">
        <f t="shared" si="12"/>
        <v>1.0233333333333334</v>
      </c>
      <c r="Q69" s="1">
        <f t="shared" si="13"/>
        <v>2.6900000000000004</v>
      </c>
      <c r="R69" s="1">
        <f t="shared" si="14"/>
        <v>0.275725</v>
      </c>
      <c r="S69" s="1">
        <f t="shared" si="15"/>
        <v>2.9657250000000004</v>
      </c>
      <c r="T69" s="1">
        <f>IFERROR(_xlfn.XLOOKUP(J69,Collection!A:A,Collection!D:D,0)/100/_xlfn.XLOOKUP(J69,Collection!A:A,Collection!J:J,0),_xlfn.XLOOKUP(J69,Sold!A:A,Sold!D:D,0)/100/_xlfn.XLOOKUP(J69,Sold!A:A,Sold!J:J,0))</f>
        <v>3.11</v>
      </c>
      <c r="U69" s="1">
        <f t="shared" si="16"/>
        <v>0.14427499999999949</v>
      </c>
      <c r="V69" s="18">
        <f>COUNTIF(Collection!A:A,J69)+COUNTIF(Sold!A:A,J69)</f>
        <v>2</v>
      </c>
      <c r="W69" t="str">
        <f>IFERROR(_xlfn.TEXTAFTER(_xlfn.XLOOKUP(J69,Collection!A:A,Collection!C:C,),"Cards "),_xlfn.TEXTAFTER(_xlfn.XLOOKUP(J69,Sold!A:A,Sold!C:C,),"Cards "))</f>
        <v>2024 Panini Mosaic Epic Performers</v>
      </c>
      <c r="X69" s="18" t="str">
        <f>IFERROR(_xlfn.XLOOKUP(J69,Collection!A:A,Collection!B:B,),_xlfn.XLOOKUP(J69,Sold!A:A,Sold!B:B,))</f>
        <v>Luka Doncic [Green] #10</v>
      </c>
      <c r="Y69" s="53" t="s">
        <v>507</v>
      </c>
    </row>
    <row r="70" spans="2:25" x14ac:dyDescent="0.3">
      <c r="B70" s="10" t="s">
        <v>691</v>
      </c>
      <c r="C70" s="10" t="s">
        <v>497</v>
      </c>
      <c r="D70" s="5">
        <v>46150</v>
      </c>
      <c r="E70" s="6">
        <v>1</v>
      </c>
      <c r="F70" s="4">
        <v>1.6666666666666667</v>
      </c>
      <c r="G70" s="4">
        <f t="shared" si="8"/>
        <v>1.0233333333333334</v>
      </c>
      <c r="H70" s="4">
        <f t="shared" si="9"/>
        <v>0.27555555555555555</v>
      </c>
      <c r="I70" s="10" t="s">
        <v>513</v>
      </c>
      <c r="J70" s="10">
        <v>2945720</v>
      </c>
      <c r="K70" s="10">
        <v>467</v>
      </c>
      <c r="L70" s="16" t="s">
        <v>106</v>
      </c>
      <c r="M70" s="53" t="s">
        <v>1375</v>
      </c>
      <c r="N70" t="str">
        <f t="shared" si="10"/>
        <v>whatnot.com/order/7eozouSEnosHtokHHfAAYH
$1.67 + $1.02 (Shared Shipping) + $0.28 Tax = Total of $2.97</v>
      </c>
      <c r="O70" s="2">
        <f t="shared" si="11"/>
        <v>2.9655555555555559</v>
      </c>
      <c r="P70" s="1">
        <f t="shared" si="12"/>
        <v>1.0233333333333334</v>
      </c>
      <c r="Q70" s="1">
        <f t="shared" si="13"/>
        <v>2.6900000000000004</v>
      </c>
      <c r="R70" s="1">
        <f t="shared" si="14"/>
        <v>0.275725</v>
      </c>
      <c r="S70" s="1">
        <f t="shared" si="15"/>
        <v>2.9657250000000004</v>
      </c>
      <c r="T70" s="1">
        <f>IFERROR(_xlfn.XLOOKUP(J70,Collection!A:A,Collection!D:D,0)/100/_xlfn.XLOOKUP(J70,Collection!A:A,Collection!J:J,0),_xlfn.XLOOKUP(J70,Sold!A:A,Sold!D:D,0)/100/_xlfn.XLOOKUP(J70,Sold!A:A,Sold!J:J,0))</f>
        <v>1.06</v>
      </c>
      <c r="U70" s="1">
        <f t="shared" si="16"/>
        <v>-1.9057250000000003</v>
      </c>
      <c r="V70" s="18">
        <f>COUNTIF(Collection!A:A,J70)+COUNTIF(Sold!A:A,J70)</f>
        <v>1</v>
      </c>
      <c r="W70" t="str">
        <f>IFERROR(_xlfn.TEXTAFTER(_xlfn.XLOOKUP(J70,Collection!A:A,Collection!C:C,),"Cards "),_xlfn.TEXTAFTER(_xlfn.XLOOKUP(J70,Sold!A:A,Sold!C:C,),"Cards "))</f>
        <v>2020 Panini Chronicles</v>
      </c>
      <c r="X70" s="18" t="str">
        <f>IFERROR(_xlfn.XLOOKUP(J70,Collection!A:A,Collection!B:B,),_xlfn.XLOOKUP(J70,Sold!A:A,Sold!B:B,))</f>
        <v>LeBron James #118</v>
      </c>
      <c r="Y70" s="53" t="s">
        <v>507</v>
      </c>
    </row>
    <row r="71" spans="2:25" x14ac:dyDescent="0.3">
      <c r="B71" s="10" t="s">
        <v>691</v>
      </c>
      <c r="C71" s="10" t="s">
        <v>497</v>
      </c>
      <c r="D71" s="5">
        <v>46150</v>
      </c>
      <c r="E71" s="6">
        <v>1</v>
      </c>
      <c r="F71" s="4">
        <v>1.6666666666666667</v>
      </c>
      <c r="G71" s="4">
        <f t="shared" si="8"/>
        <v>1.0233333333333334</v>
      </c>
      <c r="H71" s="4">
        <f t="shared" si="9"/>
        <v>0.27555555555555555</v>
      </c>
      <c r="I71" s="10" t="s">
        <v>63</v>
      </c>
      <c r="J71" s="10">
        <v>9943175</v>
      </c>
      <c r="K71" s="10">
        <v>322</v>
      </c>
      <c r="L71" s="16" t="s">
        <v>106</v>
      </c>
      <c r="M71" s="53" t="s">
        <v>1375</v>
      </c>
      <c r="N71" t="str">
        <f t="shared" si="10"/>
        <v>whatnot.com/order/7eozouSEnosHtokHHfAAYH
$1.67 + $1.02 (Shared Shipping) + $0.28 Tax = Total of $2.97</v>
      </c>
      <c r="O71" s="2">
        <f t="shared" si="11"/>
        <v>2.9655555555555559</v>
      </c>
      <c r="P71" s="1">
        <f t="shared" si="12"/>
        <v>1.0233333333333334</v>
      </c>
      <c r="Q71" s="1">
        <f t="shared" si="13"/>
        <v>2.6900000000000004</v>
      </c>
      <c r="R71" s="1">
        <f t="shared" si="14"/>
        <v>0.275725</v>
      </c>
      <c r="S71" s="1">
        <f t="shared" si="15"/>
        <v>2.9657250000000004</v>
      </c>
      <c r="T71" s="1">
        <f>IFERROR(_xlfn.XLOOKUP(J71,Collection!A:A,Collection!D:D,0)/100/_xlfn.XLOOKUP(J71,Collection!A:A,Collection!J:J,0),_xlfn.XLOOKUP(J71,Sold!A:A,Sold!D:D,0)/100/_xlfn.XLOOKUP(J71,Sold!A:A,Sold!J:J,0))</f>
        <v>1.64</v>
      </c>
      <c r="U71" s="1">
        <f t="shared" si="16"/>
        <v>-1.3257250000000005</v>
      </c>
      <c r="V71" s="18">
        <f>COUNTIF(Collection!A:A,J71)+COUNTIF(Sold!A:A,J71)</f>
        <v>1</v>
      </c>
      <c r="W71" t="str">
        <f>IFERROR(_xlfn.TEXTAFTER(_xlfn.XLOOKUP(J71,Collection!A:A,Collection!C:C,),"Cards "),_xlfn.TEXTAFTER(_xlfn.XLOOKUP(J71,Sold!A:A,Sold!C:C,),"Cards "))</f>
        <v>2024 Panini Mosaic</v>
      </c>
      <c r="X71" s="18" t="str">
        <f>IFERROR(_xlfn.XLOOKUP(J71,Collection!A:A,Collection!B:B,),_xlfn.XLOOKUP(J71,Sold!A:A,Sold!B:B,))</f>
        <v>Stephen Curry #163</v>
      </c>
      <c r="Y71" s="53" t="s">
        <v>507</v>
      </c>
    </row>
    <row r="72" spans="2:25" x14ac:dyDescent="0.3">
      <c r="B72" s="10" t="s">
        <v>691</v>
      </c>
      <c r="C72" s="10" t="s">
        <v>32</v>
      </c>
      <c r="D72" s="5">
        <v>46150</v>
      </c>
      <c r="E72" s="6" t="s">
        <v>494</v>
      </c>
      <c r="F72" s="4">
        <v>0</v>
      </c>
      <c r="G72" s="4">
        <v>0</v>
      </c>
      <c r="H72" s="4">
        <v>0</v>
      </c>
      <c r="I72" s="10" t="s">
        <v>722</v>
      </c>
      <c r="J72" s="10">
        <v>7094582</v>
      </c>
      <c r="K72" s="10">
        <v>105</v>
      </c>
      <c r="L72" s="16" t="s">
        <v>105</v>
      </c>
      <c r="M72" s="53" t="s">
        <v>1376</v>
      </c>
      <c r="N72" t="str">
        <f t="shared" si="10"/>
        <v>whatnot.com/order/m4fEeiDTAEFP5LnXvHdGVx
$0.00 + $0.00 (Shared Shipping) + $0.00 Tax = Total of $0.00</v>
      </c>
      <c r="O72" s="2">
        <f t="shared" si="11"/>
        <v>0</v>
      </c>
      <c r="P72" s="1">
        <f t="shared" si="12"/>
        <v>0</v>
      </c>
      <c r="Q72" s="1">
        <f t="shared" si="13"/>
        <v>0</v>
      </c>
      <c r="R72" s="1">
        <f t="shared" si="14"/>
        <v>0</v>
      </c>
      <c r="S72" s="1">
        <f t="shared" si="15"/>
        <v>0</v>
      </c>
      <c r="T72" s="1">
        <f>IFERROR(_xlfn.XLOOKUP(J72,Collection!A:A,Collection!D:D,0)/100/_xlfn.XLOOKUP(J72,Collection!A:A,Collection!J:J,0),_xlfn.XLOOKUP(J72,Sold!A:A,Sold!D:D,0)/100/_xlfn.XLOOKUP(J72,Sold!A:A,Sold!J:J,0))</f>
        <v>1.88</v>
      </c>
      <c r="U72" s="1">
        <f t="shared" si="16"/>
        <v>1.88</v>
      </c>
      <c r="V72" s="18">
        <f>COUNTIF(Collection!A:A,J72)+COUNTIF(Sold!A:A,J72)</f>
        <v>1</v>
      </c>
      <c r="W72" t="str">
        <f>IFERROR(_xlfn.TEXTAFTER(_xlfn.XLOOKUP(J72,Collection!A:A,Collection!C:C,),"Cards "),_xlfn.TEXTAFTER(_xlfn.XLOOKUP(J72,Sold!A:A,Sold!C:C,),"Cards "))</f>
        <v>2019 Panini Hoops Premium Stock Lights Camera Action</v>
      </c>
      <c r="X72" s="18" t="str">
        <f>IFERROR(_xlfn.XLOOKUP(J72,Collection!A:A,Collection!B:B,),_xlfn.XLOOKUP(J72,Sold!A:A,Sold!B:B,))</f>
        <v>De'Aaron Fox #3</v>
      </c>
      <c r="Y72" s="53" t="s">
        <v>507</v>
      </c>
    </row>
    <row r="73" spans="2:25" x14ac:dyDescent="0.3">
      <c r="B73" s="10" t="s">
        <v>691</v>
      </c>
      <c r="C73" s="10" t="s">
        <v>471</v>
      </c>
      <c r="D73" s="5">
        <v>46152</v>
      </c>
      <c r="E73" s="6">
        <v>2</v>
      </c>
      <c r="F73" s="4">
        <v>4</v>
      </c>
      <c r="G73" s="4">
        <v>0.78</v>
      </c>
      <c r="H73" s="4">
        <v>0.49</v>
      </c>
      <c r="I73" s="10" t="s">
        <v>510</v>
      </c>
      <c r="J73" s="10">
        <v>10819468</v>
      </c>
      <c r="K73" s="10">
        <v>129</v>
      </c>
      <c r="L73" s="16" t="s">
        <v>472</v>
      </c>
      <c r="M73" s="53" t="s">
        <v>1377</v>
      </c>
      <c r="N73" t="str">
        <f t="shared" si="10"/>
        <v>whatnot.com/order/WKa7ntNswTBEf2VahSBtgB
$4.00 + $0.55 (Shared Shipping) + $0.47 Tax = Total of $5.01</v>
      </c>
      <c r="O73" s="2">
        <f t="shared" si="11"/>
        <v>5.2700000000000005</v>
      </c>
      <c r="P73" s="1">
        <f t="shared" si="12"/>
        <v>0.54500000000000004</v>
      </c>
      <c r="Q73" s="1">
        <f t="shared" si="13"/>
        <v>4.5449999999999999</v>
      </c>
      <c r="R73" s="1">
        <f t="shared" si="14"/>
        <v>0.46586249999999996</v>
      </c>
      <c r="S73" s="1">
        <f t="shared" si="15"/>
        <v>5.0108625</v>
      </c>
      <c r="T73" s="1">
        <f>IFERROR(_xlfn.XLOOKUP(J73,Collection!A:A,Collection!D:D,0)/100/_xlfn.XLOOKUP(J73,Collection!A:A,Collection!J:J,0),_xlfn.XLOOKUP(J73,Sold!A:A,Sold!D:D,0)/100/_xlfn.XLOOKUP(J73,Sold!A:A,Sold!J:J,0))</f>
        <v>4.88</v>
      </c>
      <c r="U73" s="1">
        <f t="shared" si="16"/>
        <v>-0.1308625000000001</v>
      </c>
      <c r="V73" s="18">
        <f>COUNTIF(Collection!A:A,J73)+COUNTIF(Sold!A:A,J73)</f>
        <v>1</v>
      </c>
      <c r="W73" t="str">
        <f>IFERROR(_xlfn.TEXTAFTER(_xlfn.XLOOKUP(J73,Collection!A:A,Collection!C:C,),"Cards "),_xlfn.TEXTAFTER(_xlfn.XLOOKUP(J73,Sold!A:A,Sold!C:C,),"Cards "))</f>
        <v>2025 Topps</v>
      </c>
      <c r="X73" s="18" t="str">
        <f>IFERROR(_xlfn.XLOOKUP(J73,Collection!A:A,Collection!B:B,),_xlfn.XLOOKUP(J73,Sold!A:A,Sold!B:B,))</f>
        <v>Cooper Flagg #201</v>
      </c>
      <c r="Y73" s="53" t="s">
        <v>507</v>
      </c>
    </row>
    <row r="74" spans="2:25" x14ac:dyDescent="0.3">
      <c r="B74" s="10" t="s">
        <v>691</v>
      </c>
      <c r="C74" s="10" t="s">
        <v>471</v>
      </c>
      <c r="D74" s="5">
        <v>46152</v>
      </c>
      <c r="E74" s="6">
        <v>11</v>
      </c>
      <c r="F74" s="4">
        <v>1</v>
      </c>
      <c r="G74" s="4">
        <v>0.31</v>
      </c>
      <c r="H74" s="4">
        <v>0.15</v>
      </c>
      <c r="I74" s="10" t="s">
        <v>11</v>
      </c>
      <c r="J74" s="10">
        <v>9259985</v>
      </c>
      <c r="K74" s="10">
        <v>542</v>
      </c>
      <c r="L74" s="16" t="s">
        <v>473</v>
      </c>
      <c r="M74" s="53" t="s">
        <v>1378</v>
      </c>
      <c r="N74" t="str">
        <f t="shared" si="10"/>
        <v>whatnot.com/order/RBy2pvRpcvEutM74HSJXng
$1.00 + $0.55 (Shared Shipping) + $0.16 Tax = Total of $1.70</v>
      </c>
      <c r="O74" s="2">
        <f t="shared" si="11"/>
        <v>1.46</v>
      </c>
      <c r="P74" s="1">
        <f t="shared" si="12"/>
        <v>0.54500000000000004</v>
      </c>
      <c r="Q74" s="1">
        <f t="shared" si="13"/>
        <v>1.5449999999999999</v>
      </c>
      <c r="R74" s="1">
        <f t="shared" si="14"/>
        <v>0.15836249999999999</v>
      </c>
      <c r="S74" s="1">
        <f t="shared" si="15"/>
        <v>1.7033624999999999</v>
      </c>
      <c r="T74" s="1">
        <f>IFERROR(_xlfn.XLOOKUP(J74,Collection!A:A,Collection!D:D,0)/100/_xlfn.XLOOKUP(J74,Collection!A:A,Collection!J:J,0),_xlfn.XLOOKUP(J74,Sold!A:A,Sold!D:D,0)/100/_xlfn.XLOOKUP(J74,Sold!A:A,Sold!J:J,0))</f>
        <v>1</v>
      </c>
      <c r="U74" s="1">
        <f t="shared" si="16"/>
        <v>-0.70336249999999989</v>
      </c>
      <c r="V74" s="18">
        <f>COUNTIF(Collection!A:A,J74)+COUNTIF(Sold!A:A,J74)</f>
        <v>1</v>
      </c>
      <c r="W74" t="str">
        <f>IFERROR(_xlfn.TEXTAFTER(_xlfn.XLOOKUP(J74,Collection!A:A,Collection!C:C,),"Cards "),_xlfn.TEXTAFTER(_xlfn.XLOOKUP(J74,Sold!A:A,Sold!C:C,),"Cards "))</f>
        <v>2024 Panini Revolution</v>
      </c>
      <c r="X74" s="18" t="str">
        <f>IFERROR(_xlfn.XLOOKUP(J74,Collection!A:A,Collection!B:B,),_xlfn.XLOOKUP(J74,Sold!A:A,Sold!B:B,))</f>
        <v>Luka Doncic #13</v>
      </c>
      <c r="Y74" s="53" t="s">
        <v>507</v>
      </c>
    </row>
    <row r="75" spans="2:25" x14ac:dyDescent="0.3">
      <c r="B75" s="10" t="s">
        <v>691</v>
      </c>
      <c r="C75" s="10" t="s">
        <v>474</v>
      </c>
      <c r="D75" s="5">
        <v>46153</v>
      </c>
      <c r="E75" s="6">
        <v>27</v>
      </c>
      <c r="F75" s="4">
        <v>1</v>
      </c>
      <c r="G75" s="4">
        <v>0.78</v>
      </c>
      <c r="H75" s="4">
        <v>0.19</v>
      </c>
      <c r="I75" s="10" t="s">
        <v>11</v>
      </c>
      <c r="J75" s="10">
        <v>2884706</v>
      </c>
      <c r="K75" s="10">
        <v>228</v>
      </c>
      <c r="L75" s="16" t="s">
        <v>475</v>
      </c>
      <c r="M75" s="53" t="s">
        <v>1379</v>
      </c>
      <c r="N75" t="str">
        <f t="shared" si="10"/>
        <v>whatnot.com/order/BgoaXMcouJPo8C7yxmzWdd
$1.00 + $0.78 (Shared Shipping) + $0.18 Tax = Total of $1.96</v>
      </c>
      <c r="O75" s="2">
        <f t="shared" si="11"/>
        <v>1.97</v>
      </c>
      <c r="P75" s="1">
        <f t="shared" si="12"/>
        <v>0.78</v>
      </c>
      <c r="Q75" s="1">
        <f t="shared" si="13"/>
        <v>1.78</v>
      </c>
      <c r="R75" s="1">
        <f t="shared" si="14"/>
        <v>0.18245</v>
      </c>
      <c r="S75" s="1">
        <f t="shared" si="15"/>
        <v>1.96245</v>
      </c>
      <c r="T75" s="1">
        <f>IFERROR(_xlfn.XLOOKUP(J75,Collection!A:A,Collection!D:D,0)/100/_xlfn.XLOOKUP(J75,Collection!A:A,Collection!J:J,0),_xlfn.XLOOKUP(J75,Sold!A:A,Sold!D:D,0)/100/_xlfn.XLOOKUP(J75,Sold!A:A,Sold!J:J,0))</f>
        <v>2.25</v>
      </c>
      <c r="U75" s="1">
        <f t="shared" si="16"/>
        <v>0.28754999999999997</v>
      </c>
      <c r="V75" s="18">
        <f>COUNTIF(Collection!A:A,J75)+COUNTIF(Sold!A:A,J75)</f>
        <v>1</v>
      </c>
      <c r="W75" t="str">
        <f>IFERROR(_xlfn.TEXTAFTER(_xlfn.XLOOKUP(J75,Collection!A:A,Collection!C:C,),"Cards "),_xlfn.TEXTAFTER(_xlfn.XLOOKUP(J75,Sold!A:A,Sold!C:C,),"Cards "))</f>
        <v>2019 Panini Donruss Franchise Features</v>
      </c>
      <c r="X75" s="18" t="str">
        <f>IFERROR(_xlfn.XLOOKUP(J75,Collection!A:A,Collection!B:B,),_xlfn.XLOOKUP(J75,Sold!A:A,Sold!B:B,))</f>
        <v>Luka Doncic #29</v>
      </c>
      <c r="Y75" s="53" t="s">
        <v>507</v>
      </c>
    </row>
    <row r="76" spans="2:25" x14ac:dyDescent="0.3">
      <c r="B76" s="10" t="s">
        <v>691</v>
      </c>
      <c r="C76" s="10" t="s">
        <v>476</v>
      </c>
      <c r="D76" s="5">
        <v>46153</v>
      </c>
      <c r="E76" s="6" t="s">
        <v>0</v>
      </c>
      <c r="F76" s="4">
        <v>0</v>
      </c>
      <c r="G76" s="4">
        <v>0</v>
      </c>
      <c r="H76" s="4">
        <v>0</v>
      </c>
      <c r="I76" s="10" t="s">
        <v>516</v>
      </c>
      <c r="J76" s="10">
        <v>11486782</v>
      </c>
      <c r="K76" s="10">
        <v>532</v>
      </c>
      <c r="L76" s="16" t="s">
        <v>500</v>
      </c>
      <c r="M76" s="53" t="s">
        <v>1380</v>
      </c>
      <c r="N76" t="str">
        <f t="shared" si="10"/>
        <v>whatnot.com/order/kPmzHw359b76wtiBHv2d7E
$0.00 + $0.00 (Shared Shipping) + $0.00 Tax = Total of $0.00</v>
      </c>
      <c r="O76" s="2">
        <f t="shared" si="11"/>
        <v>0</v>
      </c>
      <c r="P76" s="1">
        <f t="shared" si="12"/>
        <v>0</v>
      </c>
      <c r="Q76" s="1">
        <f t="shared" si="13"/>
        <v>0</v>
      </c>
      <c r="R76" s="1">
        <f t="shared" si="14"/>
        <v>0</v>
      </c>
      <c r="S76" s="1">
        <f t="shared" si="15"/>
        <v>0</v>
      </c>
      <c r="T76" s="1">
        <f>IFERROR(_xlfn.XLOOKUP(J76,Collection!A:A,Collection!D:D,0)/100/_xlfn.XLOOKUP(J76,Collection!A:A,Collection!J:J,0),_xlfn.XLOOKUP(J76,Sold!A:A,Sold!D:D,0)/100/_xlfn.XLOOKUP(J76,Sold!A:A,Sold!J:J,0))</f>
        <v>1</v>
      </c>
      <c r="U76" s="1">
        <f t="shared" si="16"/>
        <v>1</v>
      </c>
      <c r="V76" s="18">
        <f>COUNTIF(Collection!A:A,J76)+COUNTIF(Sold!A:A,J76)</f>
        <v>1</v>
      </c>
      <c r="W76" t="str">
        <f>IFERROR(_xlfn.TEXTAFTER(_xlfn.XLOOKUP(J76,Collection!A:A,Collection!C:C,),"Cards "),_xlfn.TEXTAFTER(_xlfn.XLOOKUP(J76,Sold!A:A,Sold!C:C,),"Cards "))</f>
        <v>2025 Topps Chrome</v>
      </c>
      <c r="X76" s="18" t="str">
        <f>IFERROR(_xlfn.XLOOKUP(J76,Collection!A:A,Collection!B:B,),_xlfn.XLOOKUP(J76,Sold!A:A,Sold!B:B,))</f>
        <v>Maxime Raynaud #293</v>
      </c>
      <c r="Y76" s="53" t="s">
        <v>507</v>
      </c>
    </row>
    <row r="77" spans="2:25" x14ac:dyDescent="0.3">
      <c r="B77" s="10" t="s">
        <v>691</v>
      </c>
      <c r="C77" s="10" t="s">
        <v>477</v>
      </c>
      <c r="D77" s="5">
        <v>46153</v>
      </c>
      <c r="E77" s="6">
        <v>427</v>
      </c>
      <c r="F77" s="4">
        <v>2</v>
      </c>
      <c r="G77" s="4">
        <v>4.29</v>
      </c>
      <c r="H77" s="4">
        <v>0.66</v>
      </c>
      <c r="I77" s="10" t="s">
        <v>478</v>
      </c>
      <c r="J77" s="10">
        <v>92496</v>
      </c>
      <c r="K77" s="10">
        <v>152</v>
      </c>
      <c r="L77" s="16" t="s">
        <v>501</v>
      </c>
      <c r="M77" s="53" t="s">
        <v>1381</v>
      </c>
      <c r="N77" t="str">
        <f t="shared" si="10"/>
        <v>whatnot.com/order/RtJrQKBCiEPUi9krGFqsyU
$2.00 + $4.29 (Shared Shipping) + $0.64 Tax = Total of $6.93</v>
      </c>
      <c r="O77" s="2">
        <f t="shared" si="11"/>
        <v>6.95</v>
      </c>
      <c r="P77" s="1">
        <f t="shared" si="12"/>
        <v>4.29</v>
      </c>
      <c r="Q77" s="1">
        <f t="shared" si="13"/>
        <v>6.29</v>
      </c>
      <c r="R77" s="1">
        <f t="shared" si="14"/>
        <v>0.64472499999999999</v>
      </c>
      <c r="S77" s="1">
        <f t="shared" si="15"/>
        <v>6.9347250000000003</v>
      </c>
      <c r="T77" s="1">
        <f>IFERROR(_xlfn.XLOOKUP(J77,Collection!A:A,Collection!D:D,0)/100/_xlfn.XLOOKUP(J77,Collection!A:A,Collection!J:J,0),_xlfn.XLOOKUP(J77,Sold!A:A,Sold!D:D,0)/100/_xlfn.XLOOKUP(J77,Sold!A:A,Sold!J:J,0))</f>
        <v>3.28</v>
      </c>
      <c r="U77" s="1">
        <f t="shared" si="16"/>
        <v>-3.6547250000000004</v>
      </c>
      <c r="V77" s="18">
        <f>COUNTIF(Collection!A:A,J77)+COUNTIF(Sold!A:A,J77)</f>
        <v>1</v>
      </c>
      <c r="W77" t="str">
        <f>IFERROR(_xlfn.TEXTAFTER(_xlfn.XLOOKUP(J77,Collection!A:A,Collection!C:C,),"Cards "),_xlfn.TEXTAFTER(_xlfn.XLOOKUP(J77,Sold!A:A,Sold!C:C,),"Cards "))</f>
        <v>1998 Fleer Brilliants</v>
      </c>
      <c r="X77" s="18" t="str">
        <f>IFERROR(_xlfn.XLOOKUP(J77,Collection!A:A,Collection!B:B,),_xlfn.XLOOKUP(J77,Sold!A:A,Sold!B:B,))</f>
        <v>Jason Williams #107</v>
      </c>
      <c r="Y77" s="53" t="s">
        <v>507</v>
      </c>
    </row>
    <row r="78" spans="2:25" x14ac:dyDescent="0.3">
      <c r="B78" s="10" t="s">
        <v>691</v>
      </c>
      <c r="C78" s="10" t="s">
        <v>479</v>
      </c>
      <c r="D78" s="5">
        <v>46154</v>
      </c>
      <c r="E78" s="6">
        <v>83</v>
      </c>
      <c r="F78" s="4">
        <v>1</v>
      </c>
      <c r="G78" s="4">
        <v>0.78</v>
      </c>
      <c r="H78" s="4">
        <v>0.19</v>
      </c>
      <c r="I78" s="10" t="s">
        <v>11</v>
      </c>
      <c r="J78" s="10">
        <v>95654</v>
      </c>
      <c r="K78" s="10">
        <v>320</v>
      </c>
      <c r="L78" s="16" t="s">
        <v>502</v>
      </c>
      <c r="M78" s="53" t="s">
        <v>1382</v>
      </c>
      <c r="N78" t="str">
        <f t="shared" si="10"/>
        <v>whatnot.com/order/LzxCN3kkWJX8nCqy8qr5nU
$1.00 + $0.55 (Shared Shipping) + $0.16 Tax = Total of $1.70</v>
      </c>
      <c r="O78" s="2">
        <f t="shared" si="11"/>
        <v>1.97</v>
      </c>
      <c r="P78" s="1">
        <f t="shared" si="12"/>
        <v>0.54500000000000004</v>
      </c>
      <c r="Q78" s="1">
        <f t="shared" si="13"/>
        <v>1.5449999999999999</v>
      </c>
      <c r="R78" s="1">
        <f t="shared" si="14"/>
        <v>0.15836249999999999</v>
      </c>
      <c r="S78" s="1">
        <f t="shared" si="15"/>
        <v>1.7033624999999999</v>
      </c>
      <c r="T78" s="1">
        <f>IFERROR(_xlfn.XLOOKUP(J78,Collection!A:A,Collection!D:D,0)/100/_xlfn.XLOOKUP(J78,Collection!A:A,Collection!J:J,0),_xlfn.XLOOKUP(J78,Sold!A:A,Sold!D:D,0)/100/_xlfn.XLOOKUP(J78,Sold!A:A,Sold!J:J,0))</f>
        <v>1.9</v>
      </c>
      <c r="U78" s="1">
        <f t="shared" si="16"/>
        <v>0.19663750000000002</v>
      </c>
      <c r="V78" s="18">
        <f>COUNTIF(Collection!A:A,J78)+COUNTIF(Sold!A:A,J78)</f>
        <v>1</v>
      </c>
      <c r="W78" t="str">
        <f>IFERROR(_xlfn.TEXTAFTER(_xlfn.XLOOKUP(J78,Collection!A:A,Collection!C:C,),"Cards "),_xlfn.TEXTAFTER(_xlfn.XLOOKUP(J78,Sold!A:A,Sold!C:C,),"Cards "))</f>
        <v>2019 Panini Prizm</v>
      </c>
      <c r="X78" s="18" t="str">
        <f>IFERROR(_xlfn.XLOOKUP(J78,Collection!A:A,Collection!B:B,),_xlfn.XLOOKUP(J78,Sold!A:A,Sold!B:B,))</f>
        <v>Luka Doncic #75</v>
      </c>
      <c r="Y78" s="53" t="s">
        <v>507</v>
      </c>
    </row>
    <row r="79" spans="2:25" x14ac:dyDescent="0.3">
      <c r="B79" s="10" t="s">
        <v>691</v>
      </c>
      <c r="C79" s="10" t="s">
        <v>479</v>
      </c>
      <c r="D79" s="5">
        <v>46154</v>
      </c>
      <c r="E79" s="6">
        <v>84</v>
      </c>
      <c r="F79" s="4">
        <v>2</v>
      </c>
      <c r="G79" s="4">
        <v>0.31</v>
      </c>
      <c r="H79" s="4">
        <v>0.25</v>
      </c>
      <c r="I79" s="10" t="s">
        <v>11</v>
      </c>
      <c r="J79" s="10">
        <v>8846235</v>
      </c>
      <c r="K79" s="10">
        <v>215</v>
      </c>
      <c r="L79" s="16" t="s">
        <v>503</v>
      </c>
      <c r="M79" s="53" t="s">
        <v>1383</v>
      </c>
      <c r="N79" t="str">
        <f t="shared" si="10"/>
        <v>whatnot.com/order/Qz7U5ppnESxTUaQq9NtVok
$2.00 + $0.55 (Shared Shipping) + $0.26 Tax = Total of $2.81</v>
      </c>
      <c r="O79" s="2">
        <f t="shared" si="11"/>
        <v>2.56</v>
      </c>
      <c r="P79" s="1">
        <f t="shared" si="12"/>
        <v>0.54500000000000004</v>
      </c>
      <c r="Q79" s="1">
        <f t="shared" si="13"/>
        <v>2.5449999999999999</v>
      </c>
      <c r="R79" s="1">
        <f t="shared" si="14"/>
        <v>0.2608625</v>
      </c>
      <c r="S79" s="1">
        <f t="shared" si="15"/>
        <v>2.8058624999999999</v>
      </c>
      <c r="T79" s="1">
        <f>IFERROR(_xlfn.XLOOKUP(J79,Collection!A:A,Collection!D:D,0)/100/_xlfn.XLOOKUP(J79,Collection!A:A,Collection!J:J,0),_xlfn.XLOOKUP(J79,Sold!A:A,Sold!D:D,0)/100/_xlfn.XLOOKUP(J79,Sold!A:A,Sold!J:J,0))</f>
        <v>3.02</v>
      </c>
      <c r="U79" s="1">
        <f t="shared" si="16"/>
        <v>0.21413750000000009</v>
      </c>
      <c r="V79" s="18">
        <f>COUNTIF(Collection!A:A,J79)+COUNTIF(Sold!A:A,J79)</f>
        <v>1</v>
      </c>
      <c r="W79" t="str">
        <f>IFERROR(_xlfn.TEXTAFTER(_xlfn.XLOOKUP(J79,Collection!A:A,Collection!C:C,),"Cards "),_xlfn.TEXTAFTER(_xlfn.XLOOKUP(J79,Sold!A:A,Sold!C:C,),"Cards "))</f>
        <v>2024 Panini Prizm</v>
      </c>
      <c r="X79" s="18" t="str">
        <f>IFERROR(_xlfn.XLOOKUP(J79,Collection!A:A,Collection!B:B,),_xlfn.XLOOKUP(J79,Sold!A:A,Sold!B:B,))</f>
        <v>Luka Doncic [Green] #89</v>
      </c>
      <c r="Y79" s="53" t="s">
        <v>507</v>
      </c>
    </row>
    <row r="80" spans="2:25" x14ac:dyDescent="0.3">
      <c r="B80" s="10" t="s">
        <v>691</v>
      </c>
      <c r="C80" s="10" t="s">
        <v>480</v>
      </c>
      <c r="D80" s="5">
        <v>46154</v>
      </c>
      <c r="E80" s="6">
        <v>163</v>
      </c>
      <c r="F80" s="4">
        <v>2</v>
      </c>
      <c r="G80" s="4">
        <v>0.78</v>
      </c>
      <c r="H80" s="4">
        <v>0.28999999999999998</v>
      </c>
      <c r="I80" s="10" t="s">
        <v>11</v>
      </c>
      <c r="J80" s="10">
        <v>3114681</v>
      </c>
      <c r="K80" s="10">
        <v>304</v>
      </c>
      <c r="L80" s="16" t="s">
        <v>504</v>
      </c>
      <c r="M80" s="53" t="s">
        <v>1384</v>
      </c>
      <c r="N80" t="str">
        <f t="shared" si="10"/>
        <v>whatnot.com/order/AFcBHwTXfggkzDpK3hRwdb
$2.00 + $0.36 (Shared Shipping) + $0.24 Tax = Total of $2.61</v>
      </c>
      <c r="O80" s="2">
        <f t="shared" si="11"/>
        <v>3.0700000000000003</v>
      </c>
      <c r="P80" s="1">
        <f t="shared" si="12"/>
        <v>0.36333333333333334</v>
      </c>
      <c r="Q80" s="1">
        <f t="shared" si="13"/>
        <v>2.3633333333333333</v>
      </c>
      <c r="R80" s="1">
        <f t="shared" si="14"/>
        <v>0.24224166666666666</v>
      </c>
      <c r="S80" s="1">
        <f t="shared" si="15"/>
        <v>2.605575</v>
      </c>
      <c r="T80" s="1">
        <f>IFERROR(_xlfn.XLOOKUP(J80,Collection!A:A,Collection!D:D,0)/100/_xlfn.XLOOKUP(J80,Collection!A:A,Collection!J:J,0),_xlfn.XLOOKUP(J80,Sold!A:A,Sold!D:D,0)/100/_xlfn.XLOOKUP(J80,Sold!A:A,Sold!J:J,0))</f>
        <v>1.49</v>
      </c>
      <c r="U80" s="1">
        <f t="shared" si="16"/>
        <v>-1.115575</v>
      </c>
      <c r="V80" s="18">
        <f>COUNTIF(Collection!A:A,J80)+COUNTIF(Sold!A:A,J80)</f>
        <v>1</v>
      </c>
      <c r="W80" t="str">
        <f>IFERROR(_xlfn.TEXTAFTER(_xlfn.XLOOKUP(J80,Collection!A:A,Collection!C:C,),"Cards "),_xlfn.TEXTAFTER(_xlfn.XLOOKUP(J80,Sold!A:A,Sold!C:C,),"Cards "))</f>
        <v>2021 Panini Hoops</v>
      </c>
      <c r="X80" s="18" t="str">
        <f>IFERROR(_xlfn.XLOOKUP(J80,Collection!A:A,Collection!B:B,),_xlfn.XLOOKUP(J80,Sold!A:A,Sold!B:B,))</f>
        <v>Luka Doncic [Purple] #62</v>
      </c>
      <c r="Y80" s="53" t="s">
        <v>507</v>
      </c>
    </row>
    <row r="81" spans="2:25" x14ac:dyDescent="0.3">
      <c r="B81" s="10" t="s">
        <v>691</v>
      </c>
      <c r="C81" s="10" t="s">
        <v>480</v>
      </c>
      <c r="D81" s="5">
        <v>46154</v>
      </c>
      <c r="E81" s="6">
        <v>166</v>
      </c>
      <c r="F81" s="4">
        <v>2</v>
      </c>
      <c r="G81" s="4">
        <v>0.31</v>
      </c>
      <c r="H81" s="4">
        <v>0.25</v>
      </c>
      <c r="I81" s="10" t="s">
        <v>11</v>
      </c>
      <c r="J81" s="10">
        <v>2967050</v>
      </c>
      <c r="K81" s="10">
        <v>176</v>
      </c>
      <c r="L81" s="16" t="s">
        <v>505</v>
      </c>
      <c r="M81" s="53" t="s">
        <v>1385</v>
      </c>
      <c r="N81" t="str">
        <f t="shared" si="10"/>
        <v>whatnot.com/order/QTaAU7BuEKWFVBSztLHVZt
$2.00 + $0.36 (Shared Shipping) + $0.24 Tax = Total of $2.61</v>
      </c>
      <c r="O81" s="2">
        <f t="shared" si="11"/>
        <v>2.56</v>
      </c>
      <c r="P81" s="1">
        <f t="shared" si="12"/>
        <v>0.36333333333333334</v>
      </c>
      <c r="Q81" s="1">
        <f t="shared" si="13"/>
        <v>2.3633333333333333</v>
      </c>
      <c r="R81" s="1">
        <f t="shared" si="14"/>
        <v>0.24224166666666666</v>
      </c>
      <c r="S81" s="1">
        <f t="shared" si="15"/>
        <v>2.605575</v>
      </c>
      <c r="T81" s="1">
        <f>IFERROR(_xlfn.XLOOKUP(J81,Collection!A:A,Collection!D:D,0)/100/_xlfn.XLOOKUP(J81,Collection!A:A,Collection!J:J,0),_xlfn.XLOOKUP(J81,Sold!A:A,Sold!D:D,0)/100/_xlfn.XLOOKUP(J81,Sold!A:A,Sold!J:J,0))</f>
        <v>3</v>
      </c>
      <c r="U81" s="1">
        <f t="shared" si="16"/>
        <v>0.39442500000000003</v>
      </c>
      <c r="V81" s="18">
        <f>COUNTIF(Collection!A:A,J81)+COUNTIF(Sold!A:A,J81)</f>
        <v>1</v>
      </c>
      <c r="W81" t="str">
        <f>IFERROR(_xlfn.TEXTAFTER(_xlfn.XLOOKUP(J81,Collection!A:A,Collection!C:C,),"Cards "),_xlfn.TEXTAFTER(_xlfn.XLOOKUP(J81,Sold!A:A,Sold!C:C,),"Cards "))</f>
        <v>2020 Panini Illusions</v>
      </c>
      <c r="X81" s="18" t="str">
        <f>IFERROR(_xlfn.XLOOKUP(J81,Collection!A:A,Collection!B:B,),_xlfn.XLOOKUP(J81,Sold!A:A,Sold!B:B,))</f>
        <v>Luka Doncic [Sapphire] #43</v>
      </c>
      <c r="Y81" s="53" t="s">
        <v>507</v>
      </c>
    </row>
    <row r="82" spans="2:25" x14ac:dyDescent="0.3">
      <c r="B82" s="10" t="s">
        <v>691</v>
      </c>
      <c r="C82" s="10" t="s">
        <v>480</v>
      </c>
      <c r="D82" s="5">
        <v>46154</v>
      </c>
      <c r="E82" s="6">
        <v>167</v>
      </c>
      <c r="F82" s="4">
        <v>2</v>
      </c>
      <c r="G82" s="4">
        <v>0</v>
      </c>
      <c r="H82" s="4">
        <v>0.21</v>
      </c>
      <c r="I82" s="10" t="s">
        <v>511</v>
      </c>
      <c r="J82" s="10">
        <v>12104444</v>
      </c>
      <c r="K82" s="10">
        <v>489</v>
      </c>
      <c r="L82" s="16" t="s">
        <v>506</v>
      </c>
      <c r="M82" s="53" t="s">
        <v>1386</v>
      </c>
      <c r="N82" t="str">
        <f t="shared" si="10"/>
        <v>whatnot.com/order/MwfykcrBkKSMi8nZ7VXmSm
$2.00 + $0.36 (Shared Shipping) + $0.24 Tax = Total of $2.61</v>
      </c>
      <c r="O82" s="2">
        <f t="shared" si="11"/>
        <v>2.21</v>
      </c>
      <c r="P82" s="1">
        <f t="shared" si="12"/>
        <v>0.36333333333333334</v>
      </c>
      <c r="Q82" s="1">
        <f t="shared" si="13"/>
        <v>2.3633333333333333</v>
      </c>
      <c r="R82" s="1">
        <f t="shared" si="14"/>
        <v>0.24224166666666666</v>
      </c>
      <c r="S82" s="1">
        <f t="shared" si="15"/>
        <v>2.605575</v>
      </c>
      <c r="T82" s="1">
        <f>IFERROR(_xlfn.XLOOKUP(J82,Collection!A:A,Collection!D:D,0)/100/_xlfn.XLOOKUP(J82,Collection!A:A,Collection!J:J,0),_xlfn.XLOOKUP(J82,Sold!A:A,Sold!D:D,0)/100/_xlfn.XLOOKUP(J82,Sold!A:A,Sold!J:J,0))</f>
        <v>1.53</v>
      </c>
      <c r="U82" s="1">
        <f t="shared" si="16"/>
        <v>-1.0755749999999999</v>
      </c>
      <c r="V82" s="18">
        <f>COUNTIF(Collection!A:A,J82)+COUNTIF(Sold!A:A,J82)</f>
        <v>1</v>
      </c>
      <c r="W82" t="str">
        <f>IFERROR(_xlfn.TEXTAFTER(_xlfn.XLOOKUP(J82,Collection!A:A,Collection!C:C,),"Cards "),_xlfn.TEXTAFTER(_xlfn.XLOOKUP(J82,Sold!A:A,Sold!C:C,),"Cards "))</f>
        <v>2025 Topps Finest</v>
      </c>
      <c r="X82" s="18" t="str">
        <f>IFERROR(_xlfn.XLOOKUP(J82,Collection!A:A,Collection!B:B,),_xlfn.XLOOKUP(J82,Sold!A:A,Sold!B:B,))</f>
        <v>Ja Morant [Oil Spill Refractor] #93</v>
      </c>
      <c r="Y82" s="53" t="s">
        <v>517</v>
      </c>
    </row>
    <row r="83" spans="2:25" x14ac:dyDescent="0.3">
      <c r="B83" s="10" t="s">
        <v>691</v>
      </c>
      <c r="C83" s="10" t="s">
        <v>481</v>
      </c>
      <c r="D83" s="5">
        <v>46154</v>
      </c>
      <c r="E83" s="6" t="s">
        <v>0</v>
      </c>
      <c r="F83" s="4">
        <v>0</v>
      </c>
      <c r="G83" s="4">
        <v>0</v>
      </c>
      <c r="H83" s="4">
        <v>0</v>
      </c>
      <c r="I83" s="10" t="s">
        <v>1045</v>
      </c>
      <c r="J83" s="10" t="s">
        <v>1045</v>
      </c>
      <c r="K83" s="10" t="s">
        <v>1829</v>
      </c>
      <c r="L83" s="16" t="s">
        <v>482</v>
      </c>
      <c r="M83" s="53" t="s">
        <v>1387</v>
      </c>
      <c r="N83" t="str">
        <f t="shared" si="10"/>
        <v>whatnot.com/order/6ARC4WVoNn7Q6k5D2EzpXQ
$0.00 + $0.00 (Shared Shipping) + $0.00 Tax = Total of $0.00</v>
      </c>
      <c r="O83" s="2">
        <f t="shared" si="11"/>
        <v>0</v>
      </c>
      <c r="P83" s="1">
        <f t="shared" si="12"/>
        <v>0</v>
      </c>
      <c r="Q83" s="1">
        <f t="shared" si="13"/>
        <v>0</v>
      </c>
      <c r="R83" s="1">
        <f t="shared" si="14"/>
        <v>0</v>
      </c>
      <c r="S83" s="1">
        <f t="shared" si="15"/>
        <v>0</v>
      </c>
      <c r="T83" s="1" t="e">
        <f>IFERROR(_xlfn.XLOOKUP(J83,Collection!A:A,Collection!D:D,0)/100/_xlfn.XLOOKUP(J83,Collection!A:A,Collection!J:J,0),_xlfn.XLOOKUP(J83,Sold!A:A,Sold!D:D,0)/100/_xlfn.XLOOKUP(J83,Sold!A:A,Sold!J:J,0))</f>
        <v>#DIV/0!</v>
      </c>
      <c r="U83" s="1">
        <f t="shared" si="16"/>
        <v>0</v>
      </c>
      <c r="V83" s="18">
        <f>COUNTIF(Collection!A:A,J83)+COUNTIF(Sold!A:A,J83)</f>
        <v>0</v>
      </c>
      <c r="W83" t="e">
        <f>IFERROR(_xlfn.TEXTAFTER(_xlfn.XLOOKUP(J83,Collection!A:A,Collection!C:C,),"Cards "),_xlfn.TEXTAFTER(_xlfn.XLOOKUP(J83,Sold!A:A,Sold!C:C,),"Cards "))</f>
        <v>#N/A</v>
      </c>
      <c r="X83" s="18" t="e">
        <f>IFERROR(_xlfn.XLOOKUP(J83,Collection!A:A,Collection!B:B,),_xlfn.XLOOKUP(J83,Sold!A:A,Sold!B:B,))</f>
        <v>#N/A</v>
      </c>
      <c r="Y83" s="53" t="s">
        <v>507</v>
      </c>
    </row>
    <row r="84" spans="2:25" x14ac:dyDescent="0.3">
      <c r="B84" s="10" t="s">
        <v>691</v>
      </c>
      <c r="C84" s="10" t="s">
        <v>483</v>
      </c>
      <c r="D84" s="5">
        <v>46154</v>
      </c>
      <c r="E84" s="6">
        <v>115</v>
      </c>
      <c r="F84" s="4">
        <v>2</v>
      </c>
      <c r="G84" s="4">
        <v>1.0900000000000001</v>
      </c>
      <c r="H84" s="4">
        <v>0.32</v>
      </c>
      <c r="I84" s="10" t="s">
        <v>10</v>
      </c>
      <c r="J84" s="10">
        <v>8388520</v>
      </c>
      <c r="K84" s="10">
        <v>50</v>
      </c>
      <c r="L84" s="16" t="s">
        <v>484</v>
      </c>
      <c r="M84" s="53" t="s">
        <v>1388</v>
      </c>
      <c r="N84" t="str">
        <f t="shared" si="10"/>
        <v>whatnot.com/order/RykinryybXh9vCb6txwXKc
$2.00 + $0.74 (Shared Shipping) + $0.28 Tax = Total of $3.02</v>
      </c>
      <c r="O84" s="2">
        <f t="shared" si="11"/>
        <v>3.4099999999999997</v>
      </c>
      <c r="P84" s="1">
        <f t="shared" si="12"/>
        <v>0.73875000000000002</v>
      </c>
      <c r="Q84" s="1">
        <f t="shared" si="13"/>
        <v>2.73875</v>
      </c>
      <c r="R84" s="1">
        <f t="shared" si="14"/>
        <v>0.28072187500000001</v>
      </c>
      <c r="S84" s="1">
        <f t="shared" si="15"/>
        <v>3.0194718749999998</v>
      </c>
      <c r="T84" s="1">
        <f>IFERROR(_xlfn.XLOOKUP(J84,Collection!A:A,Collection!D:D,0)/100/_xlfn.XLOOKUP(J84,Collection!A:A,Collection!J:J,0),_xlfn.XLOOKUP(J84,Sold!A:A,Sold!D:D,0)/100/_xlfn.XLOOKUP(J84,Sold!A:A,Sold!J:J,0))</f>
        <v>5.8</v>
      </c>
      <c r="U84" s="1">
        <f t="shared" si="16"/>
        <v>2.780528125</v>
      </c>
      <c r="V84" s="18">
        <f>COUNTIF(Collection!A:A,J84)+COUNTIF(Sold!A:A,J84)</f>
        <v>1</v>
      </c>
      <c r="W84" t="str">
        <f>IFERROR(_xlfn.TEXTAFTER(_xlfn.XLOOKUP(J84,Collection!A:A,Collection!C:C,),"Cards "),_xlfn.TEXTAFTER(_xlfn.XLOOKUP(J84,Sold!A:A,Sold!C:C,),"Cards "))</f>
        <v>2024 Panini NBA Hoops</v>
      </c>
      <c r="X84" s="18" t="str">
        <f>IFERROR(_xlfn.XLOOKUP(J84,Collection!A:A,Collection!B:B,),_xlfn.XLOOKUP(J84,Sold!A:A,Sold!B:B,))</f>
        <v>Nikola Jokic [Silver] #12</v>
      </c>
      <c r="Y84" s="53" t="s">
        <v>519</v>
      </c>
    </row>
    <row r="85" spans="2:25" x14ac:dyDescent="0.3">
      <c r="B85" s="10" t="s">
        <v>691</v>
      </c>
      <c r="C85" s="10" t="s">
        <v>483</v>
      </c>
      <c r="D85" s="5">
        <v>46154</v>
      </c>
      <c r="E85" s="6">
        <v>121</v>
      </c>
      <c r="F85" s="4">
        <v>2</v>
      </c>
      <c r="G85" s="4">
        <v>0.3</v>
      </c>
      <c r="H85" s="4">
        <v>0.25</v>
      </c>
      <c r="I85" s="10" t="s">
        <v>11</v>
      </c>
      <c r="J85" s="10">
        <v>9259984</v>
      </c>
      <c r="K85" s="10">
        <v>241</v>
      </c>
      <c r="L85" s="16" t="s">
        <v>485</v>
      </c>
      <c r="M85" s="53" t="s">
        <v>1389</v>
      </c>
      <c r="N85" t="str">
        <f t="shared" si="10"/>
        <v>whatnot.com/order/5scJ87fFG7iaQkajYWq4bV
$2.00 + $0.74 (Shared Shipping) + $0.28 Tax = Total of $3.02</v>
      </c>
      <c r="O85" s="2">
        <f t="shared" si="11"/>
        <v>2.5499999999999998</v>
      </c>
      <c r="P85" s="1">
        <f t="shared" si="12"/>
        <v>0.73875000000000002</v>
      </c>
      <c r="Q85" s="1">
        <f t="shared" si="13"/>
        <v>2.73875</v>
      </c>
      <c r="R85" s="1">
        <f t="shared" si="14"/>
        <v>0.28072187500000001</v>
      </c>
      <c r="S85" s="1">
        <f t="shared" si="15"/>
        <v>3.0194718749999998</v>
      </c>
      <c r="T85" s="1">
        <f>IFERROR(_xlfn.XLOOKUP(J85,Collection!A:A,Collection!D:D,0)/100/_xlfn.XLOOKUP(J85,Collection!A:A,Collection!J:J,0),_xlfn.XLOOKUP(J85,Sold!A:A,Sold!D:D,0)/100/_xlfn.XLOOKUP(J85,Sold!A:A,Sold!J:J,0))</f>
        <v>1.88</v>
      </c>
      <c r="U85" s="1">
        <f t="shared" si="16"/>
        <v>-1.1394718749999999</v>
      </c>
      <c r="V85" s="18">
        <f>COUNTIF(Collection!A:A,J85)+COUNTIF(Sold!A:A,J85)</f>
        <v>1</v>
      </c>
      <c r="W85" t="str">
        <f>IFERROR(_xlfn.TEXTAFTER(_xlfn.XLOOKUP(J85,Collection!A:A,Collection!C:C,),"Cards "),_xlfn.TEXTAFTER(_xlfn.XLOOKUP(J85,Sold!A:A,Sold!C:C,),"Cards "))</f>
        <v>2024 Panini Revolution</v>
      </c>
      <c r="X85" s="18" t="str">
        <f>IFERROR(_xlfn.XLOOKUP(J85,Collection!A:A,Collection!B:B,),_xlfn.XLOOKUP(J85,Sold!A:A,Sold!B:B,))</f>
        <v>Luka Doncic [Astro] #13</v>
      </c>
      <c r="Y85" s="53" t="s">
        <v>507</v>
      </c>
    </row>
    <row r="86" spans="2:25" x14ac:dyDescent="0.3">
      <c r="B86" s="10" t="s">
        <v>691</v>
      </c>
      <c r="C86" s="10" t="s">
        <v>483</v>
      </c>
      <c r="D86" s="5">
        <v>46154</v>
      </c>
      <c r="E86" s="6">
        <v>127</v>
      </c>
      <c r="F86" s="4">
        <v>2</v>
      </c>
      <c r="G86" s="4">
        <v>3.56</v>
      </c>
      <c r="H86" s="4">
        <v>0.56999999999999995</v>
      </c>
      <c r="I86" s="10" t="s">
        <v>75</v>
      </c>
      <c r="J86" s="10">
        <v>6355545</v>
      </c>
      <c r="K86" s="10">
        <v>348</v>
      </c>
      <c r="L86" s="16" t="s">
        <v>486</v>
      </c>
      <c r="M86" s="53" t="s">
        <v>1390</v>
      </c>
      <c r="N86" t="str">
        <f t="shared" si="10"/>
        <v>whatnot.com/order/U4wUV4wsrmJG4Ko5kpcCWo
$2.00 + $0.74 (Shared Shipping) + $0.28 Tax = Total of $3.02</v>
      </c>
      <c r="O86" s="2">
        <f t="shared" si="11"/>
        <v>6.1300000000000008</v>
      </c>
      <c r="P86" s="1">
        <f t="shared" si="12"/>
        <v>0.73875000000000002</v>
      </c>
      <c r="Q86" s="1">
        <f t="shared" si="13"/>
        <v>2.73875</v>
      </c>
      <c r="R86" s="1">
        <f t="shared" si="14"/>
        <v>0.28072187500000001</v>
      </c>
      <c r="S86" s="1">
        <f t="shared" si="15"/>
        <v>3.0194718749999998</v>
      </c>
      <c r="T86" s="1">
        <f>IFERROR(_xlfn.XLOOKUP(J86,Collection!A:A,Collection!D:D,0)/100/_xlfn.XLOOKUP(J86,Collection!A:A,Collection!J:J,0),_xlfn.XLOOKUP(J86,Sold!A:A,Sold!D:D,0)/100/_xlfn.XLOOKUP(J86,Sold!A:A,Sold!J:J,0))</f>
        <v>1.5</v>
      </c>
      <c r="U86" s="1">
        <f t="shared" si="16"/>
        <v>-1.5194718749999998</v>
      </c>
      <c r="V86" s="18">
        <f>COUNTIF(Collection!A:A,J86)+COUNTIF(Sold!A:A,J86)</f>
        <v>1</v>
      </c>
      <c r="W86" t="str">
        <f>IFERROR(_xlfn.TEXTAFTER(_xlfn.XLOOKUP(J86,Collection!A:A,Collection!C:C,),"Cards "),_xlfn.TEXTAFTER(_xlfn.XLOOKUP(J86,Sold!A:A,Sold!C:C,),"Cards "))</f>
        <v>2023 Panini Prizm</v>
      </c>
      <c r="X86" s="18" t="str">
        <f>IFERROR(_xlfn.XLOOKUP(J86,Collection!A:A,Collection!B:B,),_xlfn.XLOOKUP(J86,Sold!A:A,Sold!B:B,))</f>
        <v>Kyrie Irving [Orange Ice] #22</v>
      </c>
      <c r="Y86" s="53" t="s">
        <v>507</v>
      </c>
    </row>
    <row r="87" spans="2:25" x14ac:dyDescent="0.3">
      <c r="B87" s="10" t="s">
        <v>691</v>
      </c>
      <c r="C87" s="10" t="s">
        <v>483</v>
      </c>
      <c r="D87" s="5">
        <v>46154</v>
      </c>
      <c r="E87" s="6">
        <v>133</v>
      </c>
      <c r="F87" s="4">
        <v>2</v>
      </c>
      <c r="G87" s="4">
        <v>0</v>
      </c>
      <c r="H87" s="4">
        <v>0.21</v>
      </c>
      <c r="I87" s="10" t="s">
        <v>520</v>
      </c>
      <c r="J87" s="10">
        <v>2965943</v>
      </c>
      <c r="K87" s="10">
        <v>382</v>
      </c>
      <c r="L87" s="16" t="s">
        <v>487</v>
      </c>
      <c r="M87" s="53" t="s">
        <v>1391</v>
      </c>
      <c r="N87" t="str">
        <f t="shared" si="10"/>
        <v>whatnot.com/order/6AEw6dYtHHV2b8pbZH8HLX
$2.00 + $0.74 (Shared Shipping) + $0.28 Tax = Total of $3.02</v>
      </c>
      <c r="O87" s="2">
        <f t="shared" si="11"/>
        <v>2.21</v>
      </c>
      <c r="P87" s="1">
        <f t="shared" si="12"/>
        <v>0.73875000000000002</v>
      </c>
      <c r="Q87" s="1">
        <f t="shared" si="13"/>
        <v>2.73875</v>
      </c>
      <c r="R87" s="1">
        <f t="shared" si="14"/>
        <v>0.28072187500000001</v>
      </c>
      <c r="S87" s="1">
        <f t="shared" si="15"/>
        <v>3.0194718749999998</v>
      </c>
      <c r="T87" s="1">
        <f>IFERROR(_xlfn.XLOOKUP(J87,Collection!A:A,Collection!D:D,0)/100/_xlfn.XLOOKUP(J87,Collection!A:A,Collection!J:J,0),_xlfn.XLOOKUP(J87,Sold!A:A,Sold!D:D,0)/100/_xlfn.XLOOKUP(J87,Sold!A:A,Sold!J:J,0))</f>
        <v>1.35</v>
      </c>
      <c r="U87" s="1">
        <f t="shared" si="16"/>
        <v>-1.6694718749999997</v>
      </c>
      <c r="V87" s="18">
        <f>COUNTIF(Collection!A:A,J87)+COUNTIF(Sold!A:A,J87)</f>
        <v>1</v>
      </c>
      <c r="W87" t="str">
        <f>IFERROR(_xlfn.TEXTAFTER(_xlfn.XLOOKUP(J87,Collection!A:A,Collection!C:C,),"Cards "),_xlfn.TEXTAFTER(_xlfn.XLOOKUP(J87,Sold!A:A,Sold!C:C,),"Cards "))</f>
        <v>2020 Panini Illusions</v>
      </c>
      <c r="X87" s="18" t="str">
        <f>IFERROR(_xlfn.XLOOKUP(J87,Collection!A:A,Collection!B:B,),_xlfn.XLOOKUP(J87,Sold!A:A,Sold!B:B,))</f>
        <v>Jalen Brunson [Emerald] #125</v>
      </c>
      <c r="Y87" s="53" t="s">
        <v>521</v>
      </c>
    </row>
    <row r="88" spans="2:25" x14ac:dyDescent="0.3">
      <c r="B88" s="10" t="s">
        <v>691</v>
      </c>
      <c r="C88" s="10" t="s">
        <v>483</v>
      </c>
      <c r="D88" s="5">
        <v>46154</v>
      </c>
      <c r="E88" s="6">
        <v>134</v>
      </c>
      <c r="F88" s="4">
        <v>2</v>
      </c>
      <c r="G88" s="4">
        <v>0</v>
      </c>
      <c r="H88" s="4">
        <v>0.21</v>
      </c>
      <c r="I88" s="10" t="s">
        <v>75</v>
      </c>
      <c r="J88" s="10">
        <v>5468137</v>
      </c>
      <c r="K88" s="10">
        <v>534</v>
      </c>
      <c r="L88" s="16" t="s">
        <v>488</v>
      </c>
      <c r="M88" s="53" t="s">
        <v>1392</v>
      </c>
      <c r="N88" t="str">
        <f t="shared" si="10"/>
        <v>whatnot.com/order/6aFhbaxuXeTPJA8aZNx5Bj
$2.00 + $0.74 (Shared Shipping) + $0.28 Tax = Total of $3.02</v>
      </c>
      <c r="O88" s="2">
        <f t="shared" si="11"/>
        <v>2.21</v>
      </c>
      <c r="P88" s="1">
        <f t="shared" si="12"/>
        <v>0.73875000000000002</v>
      </c>
      <c r="Q88" s="1">
        <f t="shared" si="13"/>
        <v>2.73875</v>
      </c>
      <c r="R88" s="1">
        <f t="shared" si="14"/>
        <v>0.28072187500000001</v>
      </c>
      <c r="S88" s="1">
        <f t="shared" si="15"/>
        <v>3.0194718749999998</v>
      </c>
      <c r="T88" s="1">
        <f>IFERROR(_xlfn.XLOOKUP(J88,Collection!A:A,Collection!D:D,0)/100/_xlfn.XLOOKUP(J88,Collection!A:A,Collection!J:J,0),_xlfn.XLOOKUP(J88,Sold!A:A,Sold!D:D,0)/100/_xlfn.XLOOKUP(J88,Sold!A:A,Sold!J:J,0))</f>
        <v>1.04</v>
      </c>
      <c r="U88" s="1">
        <f t="shared" si="16"/>
        <v>-1.9794718749999998</v>
      </c>
      <c r="V88" s="18">
        <f>COUNTIF(Collection!A:A,J88)+COUNTIF(Sold!A:A,J88)</f>
        <v>1</v>
      </c>
      <c r="W88" t="str">
        <f>IFERROR(_xlfn.TEXTAFTER(_xlfn.XLOOKUP(J88,Collection!A:A,Collection!C:C,),"Cards "),_xlfn.TEXTAFTER(_xlfn.XLOOKUP(J88,Sold!A:A,Sold!C:C,),"Cards "))</f>
        <v>2022 Panini Select</v>
      </c>
      <c r="X88" s="18" t="str">
        <f>IFERROR(_xlfn.XLOOKUP(J88,Collection!A:A,Collection!B:B,),_xlfn.XLOOKUP(J88,Sold!A:A,Sold!B:B,))</f>
        <v>Kyrie Irving [Blue Ice] #130</v>
      </c>
      <c r="Y88" s="53" t="s">
        <v>507</v>
      </c>
    </row>
    <row r="89" spans="2:25" x14ac:dyDescent="0.3">
      <c r="B89" s="10" t="s">
        <v>691</v>
      </c>
      <c r="C89" s="10" t="s">
        <v>483</v>
      </c>
      <c r="D89" s="5">
        <v>46154</v>
      </c>
      <c r="E89" s="6">
        <v>148</v>
      </c>
      <c r="F89" s="4">
        <v>2</v>
      </c>
      <c r="G89" s="4">
        <v>0.96</v>
      </c>
      <c r="H89" s="4">
        <v>0.31</v>
      </c>
      <c r="I89" s="10" t="s">
        <v>522</v>
      </c>
      <c r="J89" s="10">
        <v>10192986</v>
      </c>
      <c r="K89" s="10">
        <v>549</v>
      </c>
      <c r="L89" s="16" t="s">
        <v>489</v>
      </c>
      <c r="M89" s="53" t="s">
        <v>1393</v>
      </c>
      <c r="N89" t="str">
        <f t="shared" si="10"/>
        <v>whatnot.com/order/apudhfkcpm8mjfcciD2gPJ
$2.00 + $0.74 (Shared Shipping) + $0.28 Tax = Total of $3.02</v>
      </c>
      <c r="O89" s="2">
        <f t="shared" si="11"/>
        <v>3.27</v>
      </c>
      <c r="P89" s="1">
        <f t="shared" si="12"/>
        <v>0.73875000000000002</v>
      </c>
      <c r="Q89" s="1">
        <f t="shared" si="13"/>
        <v>2.73875</v>
      </c>
      <c r="R89" s="1">
        <f t="shared" si="14"/>
        <v>0.28072187500000001</v>
      </c>
      <c r="S89" s="1">
        <f t="shared" si="15"/>
        <v>3.0194718749999998</v>
      </c>
      <c r="T89" s="1">
        <f>IFERROR(_xlfn.XLOOKUP(J89,Collection!A:A,Collection!D:D,0)/100/_xlfn.XLOOKUP(J89,Collection!A:A,Collection!J:J,0),_xlfn.XLOOKUP(J89,Sold!A:A,Sold!D:D,0)/100/_xlfn.XLOOKUP(J89,Sold!A:A,Sold!J:J,0))</f>
        <v>1</v>
      </c>
      <c r="U89" s="1">
        <f t="shared" si="16"/>
        <v>-2.0194718749999998</v>
      </c>
      <c r="V89" s="18">
        <f>COUNTIF(Collection!A:A,J89)+COUNTIF(Sold!A:A,J89)</f>
        <v>1</v>
      </c>
      <c r="W89" t="str">
        <f>IFERROR(_xlfn.TEXTAFTER(_xlfn.XLOOKUP(J89,Collection!A:A,Collection!C:C,),"Cards "),_xlfn.TEXTAFTER(_xlfn.XLOOKUP(J89,Sold!A:A,Sold!C:C,),"Cards "))</f>
        <v>2024 Panini Donruss Optic</v>
      </c>
      <c r="X89" s="18" t="str">
        <f>IFERROR(_xlfn.XLOOKUP(J89,Collection!A:A,Collection!B:B,),_xlfn.XLOOKUP(J89,Sold!A:A,Sold!B:B,))</f>
        <v>Tyrese Maxey [Holo] #135</v>
      </c>
      <c r="Y89" s="53" t="s">
        <v>523</v>
      </c>
    </row>
    <row r="90" spans="2:25" x14ac:dyDescent="0.3">
      <c r="B90" s="10" t="s">
        <v>691</v>
      </c>
      <c r="C90" s="10" t="s">
        <v>483</v>
      </c>
      <c r="D90" s="5">
        <v>46154</v>
      </c>
      <c r="E90" s="6">
        <v>153</v>
      </c>
      <c r="F90" s="4">
        <v>2</v>
      </c>
      <c r="G90" s="4">
        <v>0</v>
      </c>
      <c r="H90" s="4">
        <v>0.21</v>
      </c>
      <c r="I90" s="10" t="s">
        <v>524</v>
      </c>
      <c r="J90" s="10">
        <v>11484094</v>
      </c>
      <c r="K90" s="10">
        <v>479</v>
      </c>
      <c r="L90" s="16" t="s">
        <v>490</v>
      </c>
      <c r="M90" s="53" t="s">
        <v>1394</v>
      </c>
      <c r="N90" t="str">
        <f t="shared" si="10"/>
        <v>whatnot.com/order/3HUXgbQpXQ3HpVzdfDiwuW
$2.00 + $0.74 (Shared Shipping) + $0.28 Tax = Total of $3.02</v>
      </c>
      <c r="O90" s="2">
        <f t="shared" si="11"/>
        <v>2.21</v>
      </c>
      <c r="P90" s="1">
        <f t="shared" si="12"/>
        <v>0.73875000000000002</v>
      </c>
      <c r="Q90" s="1">
        <f t="shared" si="13"/>
        <v>2.73875</v>
      </c>
      <c r="R90" s="1">
        <f t="shared" si="14"/>
        <v>0.28072187500000001</v>
      </c>
      <c r="S90" s="1">
        <f t="shared" si="15"/>
        <v>3.0194718749999998</v>
      </c>
      <c r="T90" s="1">
        <f>IFERROR(_xlfn.XLOOKUP(J90,Collection!A:A,Collection!D:D,0)/100/_xlfn.XLOOKUP(J90,Collection!A:A,Collection!J:J,0),_xlfn.XLOOKUP(J90,Sold!A:A,Sold!D:D,0)/100/_xlfn.XLOOKUP(J90,Sold!A:A,Sold!J:J,0))</f>
        <v>1.5</v>
      </c>
      <c r="U90" s="1">
        <f t="shared" si="16"/>
        <v>-1.5194718749999998</v>
      </c>
      <c r="V90" s="18">
        <f>COUNTIF(Collection!A:A,J90)+COUNTIF(Sold!A:A,J90)</f>
        <v>2</v>
      </c>
      <c r="W90" t="str">
        <f>IFERROR(_xlfn.TEXTAFTER(_xlfn.XLOOKUP(J90,Collection!A:A,Collection!C:C,),"Cards "),_xlfn.TEXTAFTER(_xlfn.XLOOKUP(J90,Sold!A:A,Sold!C:C,),"Cards "))</f>
        <v>2025 Topps Chrome</v>
      </c>
      <c r="X90" s="18" t="str">
        <f>IFERROR(_xlfn.XLOOKUP(J90,Collection!A:A,Collection!B:B,),_xlfn.XLOOKUP(J90,Sold!A:A,Sold!B:B,))</f>
        <v>Dirk Nowitzki [Refractor] #246</v>
      </c>
      <c r="Y90" s="53" t="s">
        <v>507</v>
      </c>
    </row>
    <row r="91" spans="2:25" x14ac:dyDescent="0.3">
      <c r="B91" s="10" t="s">
        <v>691</v>
      </c>
      <c r="C91" s="10" t="s">
        <v>483</v>
      </c>
      <c r="D91" s="5">
        <v>46154</v>
      </c>
      <c r="E91" s="6">
        <v>165</v>
      </c>
      <c r="F91" s="4">
        <v>3</v>
      </c>
      <c r="G91" s="4">
        <v>0</v>
      </c>
      <c r="H91" s="4">
        <v>0.31</v>
      </c>
      <c r="I91" s="10" t="s">
        <v>468</v>
      </c>
      <c r="J91" s="10">
        <v>10193263</v>
      </c>
      <c r="K91" s="10">
        <v>316</v>
      </c>
      <c r="L91" s="16" t="s">
        <v>491</v>
      </c>
      <c r="M91" s="53" t="s">
        <v>1395</v>
      </c>
      <c r="N91" t="str">
        <f t="shared" si="10"/>
        <v>whatnot.com/order/YSnqxDb4AmM3M6XH7veFMz
$3.00 + $0.74 (Shared Shipping) + $0.38 Tax = Total of $4.12</v>
      </c>
      <c r="O91" s="2">
        <f t="shared" si="11"/>
        <v>3.31</v>
      </c>
      <c r="P91" s="1">
        <f t="shared" si="12"/>
        <v>0.73875000000000002</v>
      </c>
      <c r="Q91" s="1">
        <f t="shared" si="13"/>
        <v>3.73875</v>
      </c>
      <c r="R91" s="1">
        <f t="shared" si="14"/>
        <v>0.38322187499999999</v>
      </c>
      <c r="S91" s="1">
        <f t="shared" si="15"/>
        <v>4.1219718749999998</v>
      </c>
      <c r="T91" s="1">
        <f>IFERROR(_xlfn.XLOOKUP(J91,Collection!A:A,Collection!D:D,0)/100/_xlfn.XLOOKUP(J91,Collection!A:A,Collection!J:J,0),_xlfn.XLOOKUP(J91,Sold!A:A,Sold!D:D,0)/100/_xlfn.XLOOKUP(J91,Sold!A:A,Sold!J:J,0))</f>
        <v>1.97</v>
      </c>
      <c r="U91" s="1">
        <f t="shared" si="16"/>
        <v>-2.1519718750000001</v>
      </c>
      <c r="V91" s="18">
        <f>COUNTIF(Collection!A:A,J91)+COUNTIF(Sold!A:A,J91)</f>
        <v>1</v>
      </c>
      <c r="W91" t="str">
        <f>IFERROR(_xlfn.TEXTAFTER(_xlfn.XLOOKUP(J91,Collection!A:A,Collection!C:C,),"Cards "),_xlfn.TEXTAFTER(_xlfn.XLOOKUP(J91,Sold!A:A,Sold!C:C,),"Cards "))</f>
        <v>2024 Panini Donruss Optic</v>
      </c>
      <c r="X91" s="18" t="str">
        <f>IFERROR(_xlfn.XLOOKUP(J91,Collection!A:A,Collection!B:B,),_xlfn.XLOOKUP(J91,Sold!A:A,Sold!B:B,))</f>
        <v>Shai Gilgeous-Alexander [Hyper Pink] #127</v>
      </c>
      <c r="Y91" s="53" t="s">
        <v>507</v>
      </c>
    </row>
    <row r="92" spans="2:25" x14ac:dyDescent="0.3">
      <c r="B92" s="10" t="s">
        <v>691</v>
      </c>
      <c r="C92" s="10" t="s">
        <v>498</v>
      </c>
      <c r="D92" s="5">
        <v>46154</v>
      </c>
      <c r="E92" s="6">
        <v>58</v>
      </c>
      <c r="F92" s="4">
        <v>2</v>
      </c>
      <c r="G92" s="4">
        <v>1.0900000000000001</v>
      </c>
      <c r="H92" s="4">
        <v>0.32</v>
      </c>
      <c r="I92" s="10" t="s">
        <v>518</v>
      </c>
      <c r="J92" s="10">
        <v>8013967</v>
      </c>
      <c r="K92" s="10">
        <v>222</v>
      </c>
      <c r="L92" s="16" t="s">
        <v>499</v>
      </c>
      <c r="M92" s="53" t="s">
        <v>1396</v>
      </c>
      <c r="N92" t="str">
        <f t="shared" si="10"/>
        <v>whatnot.com/order/6GpfoWGnD4i8UVt4E9YZb3
$2.00 + $1.09 (Shared Shipping) + $0.32 Tax = Total of $3.41</v>
      </c>
      <c r="O92" s="2">
        <f t="shared" si="11"/>
        <v>3.4099999999999997</v>
      </c>
      <c r="P92" s="1">
        <f t="shared" si="12"/>
        <v>1.0900000000000001</v>
      </c>
      <c r="Q92" s="1">
        <f t="shared" si="13"/>
        <v>3.09</v>
      </c>
      <c r="R92" s="1">
        <f t="shared" si="14"/>
        <v>0.31672499999999998</v>
      </c>
      <c r="S92" s="1">
        <f t="shared" si="15"/>
        <v>3.4067249999999998</v>
      </c>
      <c r="T92" s="1">
        <f>IFERROR(_xlfn.XLOOKUP(J92,Collection!A:A,Collection!D:D,0)/100/_xlfn.XLOOKUP(J92,Collection!A:A,Collection!J:J,0),_xlfn.XLOOKUP(J92,Sold!A:A,Sold!D:D,0)/100/_xlfn.XLOOKUP(J92,Sold!A:A,Sold!J:J,0))</f>
        <v>2.81</v>
      </c>
      <c r="U92" s="1">
        <f t="shared" si="16"/>
        <v>-0.59672499999999973</v>
      </c>
      <c r="V92" s="18">
        <f>COUNTIF(Collection!A:A,J92)+COUNTIF(Sold!A:A,J92)</f>
        <v>1</v>
      </c>
      <c r="W92" t="str">
        <f>IFERROR(_xlfn.TEXTAFTER(_xlfn.XLOOKUP(J92,Collection!A:A,Collection!C:C,),"Cards "),_xlfn.TEXTAFTER(_xlfn.XLOOKUP(J92,Sold!A:A,Sold!C:C,),"Cards "))</f>
        <v>2020 Panini Prizm Emergent</v>
      </c>
      <c r="X92" s="18" t="str">
        <f>IFERROR(_xlfn.XLOOKUP(J92,Collection!A:A,Collection!B:B,),_xlfn.XLOOKUP(J92,Sold!A:A,Sold!B:B,))</f>
        <v>Jaden McDaniels [Silver Prizm] #10</v>
      </c>
      <c r="Y92" s="53" t="s">
        <v>507</v>
      </c>
    </row>
    <row r="93" spans="2:25" x14ac:dyDescent="0.3">
      <c r="B93" s="10" t="s">
        <v>691</v>
      </c>
      <c r="C93" s="10" t="s">
        <v>692</v>
      </c>
      <c r="D93" s="5">
        <v>46155</v>
      </c>
      <c r="E93" s="6">
        <v>44</v>
      </c>
      <c r="F93" s="4">
        <v>2</v>
      </c>
      <c r="G93" s="4">
        <v>0.78</v>
      </c>
      <c r="H93" s="4">
        <v>0.28999999999999998</v>
      </c>
      <c r="I93" s="10" t="s">
        <v>511</v>
      </c>
      <c r="J93" s="10">
        <v>156855</v>
      </c>
      <c r="K93" s="10">
        <v>233</v>
      </c>
      <c r="L93" s="16" t="s">
        <v>695</v>
      </c>
      <c r="M93" s="53" t="s">
        <v>1397</v>
      </c>
      <c r="N93" t="str">
        <f t="shared" si="10"/>
        <v>whatnot.com/order/dxXz2Jyt4MAZh5PgRPhA2e
$2.00 + $0.63 (Shared Shipping) + $0.27 Tax = Total of $2.90</v>
      </c>
      <c r="O93" s="2">
        <f t="shared" si="11"/>
        <v>3.0700000000000003</v>
      </c>
      <c r="P93" s="1">
        <f t="shared" si="12"/>
        <v>0.6272727272727272</v>
      </c>
      <c r="Q93" s="1">
        <f t="shared" si="13"/>
        <v>2.627272727272727</v>
      </c>
      <c r="R93" s="1">
        <f t="shared" si="14"/>
        <v>0.2692954545454545</v>
      </c>
      <c r="S93" s="1">
        <f t="shared" si="15"/>
        <v>2.8965681818181817</v>
      </c>
      <c r="T93" s="1">
        <f>IFERROR(_xlfn.XLOOKUP(J93,Collection!A:A,Collection!D:D,0)/100/_xlfn.XLOOKUP(J93,Collection!A:A,Collection!J:J,0),_xlfn.XLOOKUP(J93,Sold!A:A,Sold!D:D,0)/100/_xlfn.XLOOKUP(J93,Sold!A:A,Sold!J:J,0))</f>
        <v>2.2200000000000002</v>
      </c>
      <c r="U93" s="1">
        <f t="shared" si="16"/>
        <v>-0.67656818181818146</v>
      </c>
      <c r="V93" s="18">
        <f>COUNTIF(Collection!A:A,J93)+COUNTIF(Sold!A:A,J93)</f>
        <v>1</v>
      </c>
      <c r="W93" t="str">
        <f>IFERROR(_xlfn.TEXTAFTER(_xlfn.XLOOKUP(J93,Collection!A:A,Collection!C:C,),"Cards "),_xlfn.TEXTAFTER(_xlfn.XLOOKUP(J93,Sold!A:A,Sold!C:C,),"Cards "))</f>
        <v>2019 Panini Chronicles</v>
      </c>
      <c r="X93" s="18" t="str">
        <f>IFERROR(_xlfn.XLOOKUP(J93,Collection!A:A,Collection!B:B,),_xlfn.XLOOKUP(J93,Sold!A:A,Sold!B:B,))</f>
        <v>JA Morant [Silver] #580</v>
      </c>
      <c r="Y93" s="53" t="s">
        <v>507</v>
      </c>
    </row>
    <row r="94" spans="2:25" x14ac:dyDescent="0.3">
      <c r="B94" s="10" t="s">
        <v>691</v>
      </c>
      <c r="C94" s="10" t="s">
        <v>692</v>
      </c>
      <c r="D94" s="5">
        <v>46155</v>
      </c>
      <c r="E94" s="6">
        <v>46</v>
      </c>
      <c r="F94" s="4">
        <v>2</v>
      </c>
      <c r="G94" s="4">
        <v>0.31</v>
      </c>
      <c r="H94" s="4">
        <v>0.25</v>
      </c>
      <c r="I94" s="10" t="s">
        <v>11</v>
      </c>
      <c r="J94" s="10">
        <v>9960699</v>
      </c>
      <c r="K94" s="10">
        <v>155</v>
      </c>
      <c r="L94" s="16" t="s">
        <v>696</v>
      </c>
      <c r="M94" s="53" t="s">
        <v>1398</v>
      </c>
      <c r="N94" t="str">
        <f t="shared" si="10"/>
        <v>whatnot.com/order/3YdoTRkTxViD7gGBZ6h9iY
$2.00 + $0.63 (Shared Shipping) + $0.27 Tax = Total of $2.90</v>
      </c>
      <c r="O94" s="2">
        <f t="shared" si="11"/>
        <v>2.56</v>
      </c>
      <c r="P94" s="1">
        <f t="shared" si="12"/>
        <v>0.6272727272727272</v>
      </c>
      <c r="Q94" s="1">
        <f t="shared" si="13"/>
        <v>2.627272727272727</v>
      </c>
      <c r="R94" s="1">
        <f t="shared" si="14"/>
        <v>0.2692954545454545</v>
      </c>
      <c r="S94" s="1">
        <f t="shared" si="15"/>
        <v>2.8965681818181817</v>
      </c>
      <c r="T94" s="1">
        <f>IFERROR(_xlfn.XLOOKUP(J94,Collection!A:A,Collection!D:D,0)/100/_xlfn.XLOOKUP(J94,Collection!A:A,Collection!J:J,0),_xlfn.XLOOKUP(J94,Sold!A:A,Sold!D:D,0)/100/_xlfn.XLOOKUP(J94,Sold!A:A,Sold!J:J,0))</f>
        <v>3.11</v>
      </c>
      <c r="U94" s="1">
        <f t="shared" si="16"/>
        <v>0.21343181818181822</v>
      </c>
      <c r="V94" s="18">
        <f>COUNTIF(Collection!A:A,J94)+COUNTIF(Sold!A:A,J94)</f>
        <v>2</v>
      </c>
      <c r="W94" t="str">
        <f>IFERROR(_xlfn.TEXTAFTER(_xlfn.XLOOKUP(J94,Collection!A:A,Collection!C:C,),"Cards "),_xlfn.TEXTAFTER(_xlfn.XLOOKUP(J94,Sold!A:A,Sold!C:C,),"Cards "))</f>
        <v>2024 Panini Mosaic Epic Performers</v>
      </c>
      <c r="X94" s="18" t="str">
        <f>IFERROR(_xlfn.XLOOKUP(J94,Collection!A:A,Collection!B:B,),_xlfn.XLOOKUP(J94,Sold!A:A,Sold!B:B,))</f>
        <v>Luka Doncic [Green] #10</v>
      </c>
      <c r="Y94" s="53" t="s">
        <v>507</v>
      </c>
    </row>
    <row r="95" spans="2:25" x14ac:dyDescent="0.3">
      <c r="B95" s="10" t="s">
        <v>691</v>
      </c>
      <c r="C95" s="10" t="s">
        <v>692</v>
      </c>
      <c r="D95" s="5">
        <v>46155</v>
      </c>
      <c r="E95" s="6">
        <v>26</v>
      </c>
      <c r="F95" s="4">
        <v>5</v>
      </c>
      <c r="G95" s="4">
        <v>4.3899999999999997</v>
      </c>
      <c r="H95" s="4">
        <v>0.98</v>
      </c>
      <c r="I95" s="10" t="s">
        <v>512</v>
      </c>
      <c r="J95" s="10">
        <v>6059234</v>
      </c>
      <c r="K95" s="10">
        <v>107</v>
      </c>
      <c r="L95" s="16" t="s">
        <v>697</v>
      </c>
      <c r="M95" s="53" t="s">
        <v>1399</v>
      </c>
      <c r="N95" t="str">
        <f t="shared" si="10"/>
        <v>whatnot.com/order/5kGXwUf5RaGgQF2EFmu4H9
$5.00 + $0.63 (Shared Shipping) + $0.58 Tax = Total of $6.20</v>
      </c>
      <c r="O95" s="2">
        <f t="shared" si="11"/>
        <v>10.370000000000001</v>
      </c>
      <c r="P95" s="1">
        <f t="shared" si="12"/>
        <v>0.6272727272727272</v>
      </c>
      <c r="Q95" s="1">
        <f t="shared" si="13"/>
        <v>5.627272727272727</v>
      </c>
      <c r="R95" s="1">
        <f t="shared" si="14"/>
        <v>0.57679545454545444</v>
      </c>
      <c r="S95" s="1">
        <f t="shared" si="15"/>
        <v>6.2040681818181813</v>
      </c>
      <c r="T95" s="1">
        <f>IFERROR(_xlfn.XLOOKUP(J95,Collection!A:A,Collection!D:D,0)/100/_xlfn.XLOOKUP(J95,Collection!A:A,Collection!J:J,0),_xlfn.XLOOKUP(J95,Sold!A:A,Sold!D:D,0)/100/_xlfn.XLOOKUP(J95,Sold!A:A,Sold!J:J,0))</f>
        <v>6.96</v>
      </c>
      <c r="U95" s="1">
        <f t="shared" si="16"/>
        <v>0.75593181818181865</v>
      </c>
      <c r="V95" s="18">
        <f>COUNTIF(Collection!A:A,J95)+COUNTIF(Sold!A:A,J95)</f>
        <v>1</v>
      </c>
      <c r="W95" t="str">
        <f>IFERROR(_xlfn.TEXTAFTER(_xlfn.XLOOKUP(J95,Collection!A:A,Collection!C:C,),"Cards "),_xlfn.TEXTAFTER(_xlfn.XLOOKUP(J95,Sold!A:A,Sold!C:C,),"Cards "))</f>
        <v>2023 Panini Hoops</v>
      </c>
      <c r="X95" s="18" t="str">
        <f>IFERROR(_xlfn.XLOOKUP(J95,Collection!A:A,Collection!B:B,),_xlfn.XLOOKUP(J95,Sold!A:A,Sold!B:B,))</f>
        <v>Victor Wembanyama #277</v>
      </c>
      <c r="Y95" s="53" t="s">
        <v>507</v>
      </c>
    </row>
    <row r="96" spans="2:25" x14ac:dyDescent="0.3">
      <c r="B96" s="10" t="s">
        <v>691</v>
      </c>
      <c r="C96" s="10" t="s">
        <v>692</v>
      </c>
      <c r="D96" s="5">
        <v>46155</v>
      </c>
      <c r="E96" s="6">
        <v>61</v>
      </c>
      <c r="F96" s="4">
        <v>3</v>
      </c>
      <c r="G96" s="4">
        <v>0</v>
      </c>
      <c r="H96" s="4">
        <v>0.31</v>
      </c>
      <c r="I96" s="10" t="s">
        <v>706</v>
      </c>
      <c r="J96" s="10">
        <v>8555315</v>
      </c>
      <c r="K96" s="10">
        <v>308</v>
      </c>
      <c r="L96" s="16" t="s">
        <v>698</v>
      </c>
      <c r="M96" s="53" t="s">
        <v>1400</v>
      </c>
      <c r="N96" t="str">
        <f t="shared" si="10"/>
        <v>whatnot.com/order/NiQA8q5w6tCKyhf9dhniXs
$3.00 + $0.63 (Shared Shipping) + $0.37 Tax = Total of $4.00</v>
      </c>
      <c r="O96" s="2">
        <f t="shared" si="11"/>
        <v>3.31</v>
      </c>
      <c r="P96" s="1">
        <f t="shared" si="12"/>
        <v>0.6272727272727272</v>
      </c>
      <c r="Q96" s="1">
        <f t="shared" si="13"/>
        <v>3.627272727272727</v>
      </c>
      <c r="R96" s="1">
        <f t="shared" si="14"/>
        <v>0.37179545454545448</v>
      </c>
      <c r="S96" s="1">
        <f t="shared" si="15"/>
        <v>3.9990681818181812</v>
      </c>
      <c r="T96" s="1">
        <f>IFERROR(_xlfn.XLOOKUP(J96,Collection!A:A,Collection!D:D,0)/100/_xlfn.XLOOKUP(J96,Collection!A:A,Collection!J:J,0),_xlfn.XLOOKUP(J96,Sold!A:A,Sold!D:D,0)/100/_xlfn.XLOOKUP(J96,Sold!A:A,Sold!J:J,0))</f>
        <v>1.75</v>
      </c>
      <c r="U96" s="1">
        <f t="shared" si="16"/>
        <v>-2.2490681818181812</v>
      </c>
      <c r="V96" s="18">
        <f>COUNTIF(Collection!A:A,J96)+COUNTIF(Sold!A:A,J96)</f>
        <v>1</v>
      </c>
      <c r="W96" t="str">
        <f>IFERROR(_xlfn.TEXTAFTER(_xlfn.XLOOKUP(J96,Collection!A:A,Collection!C:C,),"Cards "),_xlfn.TEXTAFTER(_xlfn.XLOOKUP(J96,Sold!A:A,Sold!C:C,),"Cards "))</f>
        <v>2024 Panini Prizm</v>
      </c>
      <c r="X96" s="18" t="str">
        <f>IFERROR(_xlfn.XLOOKUP(J96,Collection!A:A,Collection!B:B,),_xlfn.XLOOKUP(J96,Sold!A:A,Sold!B:B,))</f>
        <v>Terrence Shannon Jr. [Pink Ice] #224</v>
      </c>
      <c r="Y96" s="53" t="s">
        <v>507</v>
      </c>
    </row>
    <row r="97" spans="2:25" x14ac:dyDescent="0.3">
      <c r="B97" s="10" t="s">
        <v>691</v>
      </c>
      <c r="C97" s="10" t="s">
        <v>692</v>
      </c>
      <c r="D97" s="5">
        <v>46155</v>
      </c>
      <c r="E97" s="6">
        <v>65</v>
      </c>
      <c r="F97" s="4">
        <v>4</v>
      </c>
      <c r="G97" s="4">
        <v>0</v>
      </c>
      <c r="H97" s="4">
        <v>0.21</v>
      </c>
      <c r="I97" s="10" t="s">
        <v>524</v>
      </c>
      <c r="J97" s="10">
        <v>10819755</v>
      </c>
      <c r="K97" s="10">
        <v>338</v>
      </c>
      <c r="L97" s="16" t="s">
        <v>699</v>
      </c>
      <c r="M97" s="53" t="s">
        <v>1401</v>
      </c>
      <c r="N97" t="str">
        <f t="shared" si="10"/>
        <v>whatnot.com/order/j2EYygrNpCqyDssAM2UmwS
$4.00 + $0.63 (Shared Shipping) + $0.47 Tax = Total of $5.10</v>
      </c>
      <c r="O97" s="2">
        <f t="shared" si="11"/>
        <v>4.21</v>
      </c>
      <c r="P97" s="1">
        <f t="shared" si="12"/>
        <v>0.6272727272727272</v>
      </c>
      <c r="Q97" s="1">
        <f t="shared" si="13"/>
        <v>4.627272727272727</v>
      </c>
      <c r="R97" s="1">
        <f t="shared" si="14"/>
        <v>0.47429545454545446</v>
      </c>
      <c r="S97" s="1">
        <f t="shared" si="15"/>
        <v>5.1015681818181813</v>
      </c>
      <c r="T97" s="1">
        <f>IFERROR(_xlfn.XLOOKUP(J97,Collection!A:A,Collection!D:D,0)/100/_xlfn.XLOOKUP(J97,Collection!A:A,Collection!J:J,0),_xlfn.XLOOKUP(J97,Sold!A:A,Sold!D:D,0)/100/_xlfn.XLOOKUP(J97,Sold!A:A,Sold!J:J,0))</f>
        <v>1.73</v>
      </c>
      <c r="U97" s="1">
        <f t="shared" si="16"/>
        <v>-3.3715681818181813</v>
      </c>
      <c r="V97" s="18">
        <f>COUNTIF(Collection!A:A,J97)+COUNTIF(Sold!A:A,J97)</f>
        <v>1</v>
      </c>
      <c r="W97" t="str">
        <f>IFERROR(_xlfn.TEXTAFTER(_xlfn.XLOOKUP(J97,Collection!A:A,Collection!C:C,),"Cards "),_xlfn.TEXTAFTER(_xlfn.XLOOKUP(J97,Sold!A:A,Sold!C:C,),"Cards "))</f>
        <v>2025 Topps</v>
      </c>
      <c r="X97" s="18" t="str">
        <f>IFERROR(_xlfn.XLOOKUP(J97,Collection!A:A,Collection!B:B,),_xlfn.XLOOKUP(J97,Sold!A:A,Sold!B:B,))</f>
        <v>Dirk Nowitzki [Blackout] #252</v>
      </c>
      <c r="Y97" s="53" t="s">
        <v>507</v>
      </c>
    </row>
    <row r="98" spans="2:25" x14ac:dyDescent="0.3">
      <c r="B98" s="10" t="s">
        <v>691</v>
      </c>
      <c r="C98" s="10" t="s">
        <v>692</v>
      </c>
      <c r="D98" s="5">
        <v>46155</v>
      </c>
      <c r="E98" s="6">
        <v>67</v>
      </c>
      <c r="F98" s="4">
        <v>2</v>
      </c>
      <c r="G98" s="4">
        <v>0</v>
      </c>
      <c r="H98" s="4">
        <v>0.21</v>
      </c>
      <c r="I98" s="10" t="s">
        <v>11</v>
      </c>
      <c r="J98" s="10">
        <v>10199082</v>
      </c>
      <c r="K98" s="10">
        <v>246</v>
      </c>
      <c r="L98" s="16" t="s">
        <v>700</v>
      </c>
      <c r="M98" s="53" t="s">
        <v>1402</v>
      </c>
      <c r="N98" t="str">
        <f t="shared" si="10"/>
        <v>whatnot.com/order/RzUW8ZqubfD3RCjL2VoBop
$2.00 + $0.63 (Shared Shipping) + $0.27 Tax = Total of $2.90</v>
      </c>
      <c r="O98" s="2">
        <f t="shared" si="11"/>
        <v>2.21</v>
      </c>
      <c r="P98" s="1">
        <f t="shared" si="12"/>
        <v>0.6272727272727272</v>
      </c>
      <c r="Q98" s="1">
        <f t="shared" si="13"/>
        <v>2.627272727272727</v>
      </c>
      <c r="R98" s="1">
        <f t="shared" si="14"/>
        <v>0.2692954545454545</v>
      </c>
      <c r="S98" s="1">
        <f t="shared" si="15"/>
        <v>2.8965681818181817</v>
      </c>
      <c r="T98" s="1">
        <f>IFERROR(_xlfn.XLOOKUP(J98,Collection!A:A,Collection!D:D,0)/100/_xlfn.XLOOKUP(J98,Collection!A:A,Collection!J:J,0),_xlfn.XLOOKUP(J98,Sold!A:A,Sold!D:D,0)/100/_xlfn.XLOOKUP(J98,Sold!A:A,Sold!J:J,0))</f>
        <v>2.04</v>
      </c>
      <c r="U98" s="1">
        <f t="shared" si="16"/>
        <v>-0.85656818181818162</v>
      </c>
      <c r="V98" s="18">
        <f>COUNTIF(Collection!A:A,J98)+COUNTIF(Sold!A:A,J98)</f>
        <v>1</v>
      </c>
      <c r="W98" t="str">
        <f>IFERROR(_xlfn.TEXTAFTER(_xlfn.XLOOKUP(J98,Collection!A:A,Collection!C:C,),"Cards "),_xlfn.TEXTAFTER(_xlfn.XLOOKUP(J98,Sold!A:A,Sold!C:C,),"Cards "))</f>
        <v>2024 Panini Donruss Optic</v>
      </c>
      <c r="X98" s="18" t="str">
        <f>IFERROR(_xlfn.XLOOKUP(J98,Collection!A:A,Collection!B:B,),_xlfn.XLOOKUP(J98,Sold!A:A,Sold!B:B,))</f>
        <v>Luka Doncic [Green Seismic] #214</v>
      </c>
      <c r="Y98" s="53" t="s">
        <v>507</v>
      </c>
    </row>
    <row r="99" spans="2:25" x14ac:dyDescent="0.3">
      <c r="B99" s="10" t="s">
        <v>691</v>
      </c>
      <c r="C99" s="10" t="s">
        <v>692</v>
      </c>
      <c r="D99" s="5">
        <v>46155</v>
      </c>
      <c r="E99" s="6">
        <v>68</v>
      </c>
      <c r="F99" s="4">
        <v>2</v>
      </c>
      <c r="G99" s="4">
        <v>0</v>
      </c>
      <c r="H99" s="4">
        <v>0.21</v>
      </c>
      <c r="I99" s="10" t="s">
        <v>468</v>
      </c>
      <c r="J99" s="10">
        <v>6822796</v>
      </c>
      <c r="K99" s="10">
        <v>370</v>
      </c>
      <c r="L99" s="16" t="s">
        <v>701</v>
      </c>
      <c r="M99" s="53" t="s">
        <v>1403</v>
      </c>
      <c r="N99" t="str">
        <f t="shared" si="10"/>
        <v>whatnot.com/order/dXNnRDYZ4XQd5syXTuJfHb
$2.00 + $0.63 (Shared Shipping) + $0.27 Tax = Total of $2.90</v>
      </c>
      <c r="O99" s="2">
        <f t="shared" si="11"/>
        <v>2.21</v>
      </c>
      <c r="P99" s="1">
        <f t="shared" si="12"/>
        <v>0.6272727272727272</v>
      </c>
      <c r="Q99" s="1">
        <f t="shared" si="13"/>
        <v>2.627272727272727</v>
      </c>
      <c r="R99" s="1">
        <f t="shared" si="14"/>
        <v>0.2692954545454545</v>
      </c>
      <c r="S99" s="1">
        <f t="shared" si="15"/>
        <v>2.8965681818181817</v>
      </c>
      <c r="T99" s="1">
        <f>IFERROR(_xlfn.XLOOKUP(J99,Collection!A:A,Collection!D:D,0)/100/_xlfn.XLOOKUP(J99,Collection!A:A,Collection!J:J,0),_xlfn.XLOOKUP(J99,Sold!A:A,Sold!D:D,0)/100/_xlfn.XLOOKUP(J99,Sold!A:A,Sold!J:J,0))</f>
        <v>1.54</v>
      </c>
      <c r="U99" s="1">
        <f t="shared" si="16"/>
        <v>-1.3565681818181816</v>
      </c>
      <c r="V99" s="18">
        <f>COUNTIF(Collection!A:A,J99)+COUNTIF(Sold!A:A,J99)</f>
        <v>1</v>
      </c>
      <c r="W99" t="str">
        <f>IFERROR(_xlfn.TEXTAFTER(_xlfn.XLOOKUP(J99,Collection!A:A,Collection!C:C,),"Cards "),_xlfn.TEXTAFTER(_xlfn.XLOOKUP(J99,Sold!A:A,Sold!C:C,),"Cards "))</f>
        <v>2023 Panini Donruss Optic</v>
      </c>
      <c r="X99" s="18" t="str">
        <f>IFERROR(_xlfn.XLOOKUP(J99,Collection!A:A,Collection!B:B,),_xlfn.XLOOKUP(J99,Sold!A:A,Sold!B:B,))</f>
        <v>Shai Gilgeous-Alexander [Hyper Pink] #104</v>
      </c>
      <c r="Y99" s="53" t="s">
        <v>507</v>
      </c>
    </row>
    <row r="100" spans="2:25" x14ac:dyDescent="0.3">
      <c r="B100" s="10" t="s">
        <v>691</v>
      </c>
      <c r="C100" s="10" t="s">
        <v>692</v>
      </c>
      <c r="D100" s="5">
        <v>46155</v>
      </c>
      <c r="E100" s="6" t="s">
        <v>693</v>
      </c>
      <c r="F100" s="4">
        <v>0</v>
      </c>
      <c r="G100" s="4">
        <v>0</v>
      </c>
      <c r="H100" s="4">
        <v>0</v>
      </c>
      <c r="I100" s="10" t="s">
        <v>707</v>
      </c>
      <c r="J100" s="10">
        <v>9779919</v>
      </c>
      <c r="K100" s="10">
        <v>556</v>
      </c>
      <c r="L100" s="16" t="s">
        <v>702</v>
      </c>
      <c r="M100" s="53" t="s">
        <v>1404</v>
      </c>
      <c r="N100" t="str">
        <f t="shared" si="10"/>
        <v>whatnot.com/order/4LCZQZfaVVhJG2pKsSRhXY
$0.00 + $0.63 (Shared Shipping) + $0.00 Tax = Total of $0.63</v>
      </c>
      <c r="O100" s="2">
        <f t="shared" si="11"/>
        <v>0</v>
      </c>
      <c r="P100" s="1">
        <f t="shared" ref="P100:P131" si="17">SUMIFS(G:G,C:C,C100,D:D,D100)/COUNTIFS(C:C,C100,D:D,D100)</f>
        <v>0.6272727272727272</v>
      </c>
      <c r="Q100" s="1">
        <f t="shared" si="13"/>
        <v>0.6272727272727272</v>
      </c>
      <c r="R100" s="1">
        <f t="shared" si="14"/>
        <v>0</v>
      </c>
      <c r="S100" s="1">
        <f t="shared" si="15"/>
        <v>0.6272727272727272</v>
      </c>
      <c r="T100" s="1">
        <f>IFERROR(_xlfn.XLOOKUP(J100,Collection!A:A,Collection!D:D,0)/100/_xlfn.XLOOKUP(J100,Collection!A:A,Collection!J:J,0),_xlfn.XLOOKUP(J100,Sold!A:A,Sold!D:D,0)/100/_xlfn.XLOOKUP(J100,Sold!A:A,Sold!J:J,0))</f>
        <v>0.99</v>
      </c>
      <c r="U100" s="1">
        <f t="shared" si="16"/>
        <v>0.36272727272727279</v>
      </c>
      <c r="V100" s="18">
        <f>COUNTIF(Collection!A:A,J100)+COUNTIF(Sold!A:A,J100)</f>
        <v>1</v>
      </c>
      <c r="W100" t="str">
        <f>IFERROR(_xlfn.TEXTAFTER(_xlfn.XLOOKUP(J100,Collection!A:A,Collection!C:C,),"Cards "),_xlfn.TEXTAFTER(_xlfn.XLOOKUP(J100,Sold!A:A,Sold!C:C,),"Cards "))</f>
        <v>2024 Panini Select</v>
      </c>
      <c r="X100" s="18" t="str">
        <f>IFERROR(_xlfn.XLOOKUP(J100,Collection!A:A,Collection!B:B,),_xlfn.XLOOKUP(J100,Sold!A:A,Sold!B:B,))</f>
        <v>Dereck Lively II [Green White Purple Prizm] #26</v>
      </c>
      <c r="Y100" s="53" t="s">
        <v>507</v>
      </c>
    </row>
    <row r="101" spans="2:25" x14ac:dyDescent="0.3">
      <c r="B101" s="10" t="s">
        <v>691</v>
      </c>
      <c r="C101" s="10" t="s">
        <v>692</v>
      </c>
      <c r="D101" s="5">
        <v>46155</v>
      </c>
      <c r="E101" s="6" t="s">
        <v>694</v>
      </c>
      <c r="F101" s="4">
        <v>0</v>
      </c>
      <c r="G101" s="4">
        <v>0</v>
      </c>
      <c r="H101" s="4">
        <v>0</v>
      </c>
      <c r="I101" s="10" t="s">
        <v>709</v>
      </c>
      <c r="J101" s="10">
        <v>9936923</v>
      </c>
      <c r="K101" s="10">
        <v>230</v>
      </c>
      <c r="L101" s="16" t="s">
        <v>703</v>
      </c>
      <c r="M101" s="53" t="s">
        <v>1405</v>
      </c>
      <c r="N101" t="str">
        <f t="shared" si="10"/>
        <v>whatnot.com/order/MyYjybCzWUdYQZ5Nmcqzid
$0.00 + $0.63 (Shared Shipping) + $0.00 Tax = Total of $0.63</v>
      </c>
      <c r="O101" s="2">
        <f t="shared" si="11"/>
        <v>0</v>
      </c>
      <c r="P101" s="1">
        <f t="shared" si="17"/>
        <v>0.6272727272727272</v>
      </c>
      <c r="Q101" s="1">
        <f t="shared" si="13"/>
        <v>0.6272727272727272</v>
      </c>
      <c r="R101" s="1">
        <f t="shared" si="14"/>
        <v>0</v>
      </c>
      <c r="S101" s="1">
        <f t="shared" si="15"/>
        <v>0.6272727272727272</v>
      </c>
      <c r="T101" s="1">
        <f>IFERROR(_xlfn.XLOOKUP(J101,Collection!A:A,Collection!D:D,0)/100/_xlfn.XLOOKUP(J101,Collection!A:A,Collection!J:J,0),_xlfn.XLOOKUP(J101,Sold!A:A,Sold!D:D,0)/100/_xlfn.XLOOKUP(J101,Sold!A:A,Sold!J:J,0))</f>
        <v>2.23</v>
      </c>
      <c r="U101" s="1">
        <f t="shared" si="16"/>
        <v>1.6027272727272728</v>
      </c>
      <c r="V101" s="18">
        <f>COUNTIF(Collection!A:A,J101)+COUNTIF(Sold!A:A,J101)</f>
        <v>1</v>
      </c>
      <c r="W101" t="str">
        <f>IFERROR(_xlfn.TEXTAFTER(_xlfn.XLOOKUP(J101,Collection!A:A,Collection!C:C,),"Cards "),_xlfn.TEXTAFTER(_xlfn.XLOOKUP(J101,Sold!A:A,Sold!C:C,),"Cards "))</f>
        <v>2024 Panini Mosaic</v>
      </c>
      <c r="X101" s="18" t="str">
        <f>IFERROR(_xlfn.XLOOKUP(J101,Collection!A:A,Collection!B:B,),_xlfn.XLOOKUP(J101,Sold!A:A,Sold!B:B,))</f>
        <v>Miles Bridges [Reactive Blue] #67</v>
      </c>
      <c r="Y101" s="53" t="s">
        <v>507</v>
      </c>
    </row>
    <row r="102" spans="2:25" x14ac:dyDescent="0.3">
      <c r="B102" s="10" t="s">
        <v>691</v>
      </c>
      <c r="C102" s="10" t="s">
        <v>692</v>
      </c>
      <c r="D102" s="5">
        <v>46155</v>
      </c>
      <c r="E102" s="6">
        <v>74</v>
      </c>
      <c r="F102" s="4">
        <v>2</v>
      </c>
      <c r="G102" s="4">
        <v>0</v>
      </c>
      <c r="H102" s="4">
        <v>0.21</v>
      </c>
      <c r="I102" s="10" t="s">
        <v>11</v>
      </c>
      <c r="J102" s="10">
        <v>10024204</v>
      </c>
      <c r="K102" s="10">
        <v>240</v>
      </c>
      <c r="L102" s="16" t="s">
        <v>704</v>
      </c>
      <c r="M102" s="53" t="s">
        <v>1406</v>
      </c>
      <c r="N102" t="str">
        <f t="shared" si="10"/>
        <v>whatnot.com/order/X5K6umEJWi23LicF99oSTD
$2.00 + $0.63 (Shared Shipping) + $0.27 Tax = Total of $2.90</v>
      </c>
      <c r="O102" s="2">
        <f t="shared" si="11"/>
        <v>2.21</v>
      </c>
      <c r="P102" s="1">
        <f t="shared" si="17"/>
        <v>0.6272727272727272</v>
      </c>
      <c r="Q102" s="1">
        <f t="shared" si="13"/>
        <v>2.627272727272727</v>
      </c>
      <c r="R102" s="1">
        <f t="shared" si="14"/>
        <v>0.2692954545454545</v>
      </c>
      <c r="S102" s="1">
        <f t="shared" si="15"/>
        <v>2.8965681818181817</v>
      </c>
      <c r="T102" s="1">
        <f>IFERROR(_xlfn.XLOOKUP(J102,Collection!A:A,Collection!D:D,0)/100/_xlfn.XLOOKUP(J102,Collection!A:A,Collection!J:J,0),_xlfn.XLOOKUP(J102,Sold!A:A,Sold!D:D,0)/100/_xlfn.XLOOKUP(J102,Sold!A:A,Sold!J:J,0))</f>
        <v>2.08</v>
      </c>
      <c r="U102" s="1">
        <f t="shared" si="16"/>
        <v>-0.81656818181818158</v>
      </c>
      <c r="V102" s="18">
        <f>COUNTIF(Collection!A:A,J102)+COUNTIF(Sold!A:A,J102)</f>
        <v>1</v>
      </c>
      <c r="W102" t="str">
        <f>IFERROR(_xlfn.TEXTAFTER(_xlfn.XLOOKUP(J102,Collection!A:A,Collection!C:C,),"Cards "),_xlfn.TEXTAFTER(_xlfn.XLOOKUP(J102,Sold!A:A,Sold!C:C,),"Cards "))</f>
        <v>2024 Panini Select</v>
      </c>
      <c r="X102" s="18" t="str">
        <f>IFERROR(_xlfn.XLOOKUP(J102,Collection!A:A,Collection!B:B,),_xlfn.XLOOKUP(J102,Sold!A:A,Sold!B:B,))</f>
        <v>Luka Doncic [Green White Purple Prizm] #141</v>
      </c>
      <c r="Y102" s="53" t="s">
        <v>507</v>
      </c>
    </row>
    <row r="103" spans="2:25" x14ac:dyDescent="0.3">
      <c r="B103" s="10" t="s">
        <v>691</v>
      </c>
      <c r="C103" s="10" t="s">
        <v>692</v>
      </c>
      <c r="D103" s="5">
        <v>46155</v>
      </c>
      <c r="E103" s="6">
        <v>78</v>
      </c>
      <c r="F103" s="4">
        <v>3</v>
      </c>
      <c r="G103" s="4">
        <v>1.42</v>
      </c>
      <c r="H103" s="4">
        <v>0.45</v>
      </c>
      <c r="I103" s="10" t="s">
        <v>708</v>
      </c>
      <c r="J103" s="10">
        <v>120495</v>
      </c>
      <c r="K103" s="10">
        <v>113</v>
      </c>
      <c r="L103" s="16" t="s">
        <v>705</v>
      </c>
      <c r="M103" s="53" t="s">
        <v>1407</v>
      </c>
      <c r="N103" t="str">
        <f t="shared" si="10"/>
        <v>whatnot.com/order/iKMuPET2uvNEWaxZSPrWvT
$3.00 + $0.63 (Shared Shipping) + $0.37 Tax = Total of $4.00</v>
      </c>
      <c r="O103" s="2">
        <f t="shared" si="11"/>
        <v>4.87</v>
      </c>
      <c r="P103" s="1">
        <f t="shared" si="17"/>
        <v>0.6272727272727272</v>
      </c>
      <c r="Q103" s="1">
        <f t="shared" si="13"/>
        <v>3.627272727272727</v>
      </c>
      <c r="R103" s="1">
        <f t="shared" si="14"/>
        <v>0.37179545454545448</v>
      </c>
      <c r="S103" s="1">
        <f t="shared" si="15"/>
        <v>3.9990681818181812</v>
      </c>
      <c r="T103" s="1">
        <f>IFERROR(_xlfn.XLOOKUP(J103,Collection!A:A,Collection!D:D,0)/100/_xlfn.XLOOKUP(J103,Collection!A:A,Collection!J:J,0),_xlfn.XLOOKUP(J103,Sold!A:A,Sold!D:D,0)/100/_xlfn.XLOOKUP(J103,Sold!A:A,Sold!J:J,0))</f>
        <v>4.3499999999999996</v>
      </c>
      <c r="U103" s="1">
        <f t="shared" si="16"/>
        <v>0.3509318181818184</v>
      </c>
      <c r="V103" s="18">
        <f>COUNTIF(Collection!A:A,J103)+COUNTIF(Sold!A:A,J103)</f>
        <v>1</v>
      </c>
      <c r="W103" t="str">
        <f>IFERROR(_xlfn.TEXTAFTER(_xlfn.XLOOKUP(J103,Collection!A:A,Collection!C:C,),"Cards "),_xlfn.TEXTAFTER(_xlfn.XLOOKUP(J103,Sold!A:A,Sold!C:C,),"Cards "))</f>
        <v>2017 Panini Donruss Optic</v>
      </c>
      <c r="X103" s="18" t="str">
        <f>IFERROR(_xlfn.XLOOKUP(J103,Collection!A:A,Collection!B:B,),_xlfn.XLOOKUP(J103,Sold!A:A,Sold!B:B,))</f>
        <v>Donovan Mitchell [Red and Yellow] #188</v>
      </c>
      <c r="Y103" s="53" t="s">
        <v>507</v>
      </c>
    </row>
    <row r="104" spans="2:25" x14ac:dyDescent="0.3">
      <c r="B104" s="10" t="s">
        <v>691</v>
      </c>
      <c r="C104" s="10" t="s">
        <v>713</v>
      </c>
      <c r="D104" s="5">
        <v>46156</v>
      </c>
      <c r="E104" s="6">
        <v>79</v>
      </c>
      <c r="F104" s="4">
        <v>2</v>
      </c>
      <c r="G104" s="4">
        <v>0.78</v>
      </c>
      <c r="H104" s="4">
        <v>0.28999999999999998</v>
      </c>
      <c r="I104" s="10" t="s">
        <v>468</v>
      </c>
      <c r="J104" s="10">
        <v>10210719</v>
      </c>
      <c r="K104" s="10">
        <v>332</v>
      </c>
      <c r="L104" s="16" t="s">
        <v>714</v>
      </c>
      <c r="M104" s="53" t="s">
        <v>1408</v>
      </c>
      <c r="N104" t="str">
        <f t="shared" si="10"/>
        <v>whatnot.com/order/eYoXvD5HkSQiYCAdyKw6ww
$2.00 + $0.23 (Shared Shipping) + $0.23 Tax = Total of $2.46</v>
      </c>
      <c r="O104" s="2">
        <f t="shared" si="11"/>
        <v>3.0700000000000003</v>
      </c>
      <c r="P104" s="1">
        <f t="shared" si="17"/>
        <v>0.23166666666666669</v>
      </c>
      <c r="Q104" s="1">
        <f t="shared" si="13"/>
        <v>2.2316666666666665</v>
      </c>
      <c r="R104" s="1">
        <f t="shared" si="14"/>
        <v>0.22874583333333329</v>
      </c>
      <c r="S104" s="1">
        <f t="shared" si="15"/>
        <v>2.4604124999999999</v>
      </c>
      <c r="T104" s="1">
        <f>IFERROR(_xlfn.XLOOKUP(J104,Collection!A:A,Collection!D:D,0)/100/_xlfn.XLOOKUP(J104,Collection!A:A,Collection!J:J,0),_xlfn.XLOOKUP(J104,Sold!A:A,Sold!D:D,0)/100/_xlfn.XLOOKUP(J104,Sold!A:A,Sold!J:J,0))</f>
        <v>1.63</v>
      </c>
      <c r="U104" s="1">
        <f t="shared" si="16"/>
        <v>-0.8304125</v>
      </c>
      <c r="V104" s="18">
        <f>COUNTIF(Collection!A:A,J104)+COUNTIF(Sold!A:A,J104)</f>
        <v>1</v>
      </c>
      <c r="W104" t="str">
        <f>IFERROR(_xlfn.TEXTAFTER(_xlfn.XLOOKUP(J104,Collection!A:A,Collection!C:C,),"Cards "),_xlfn.TEXTAFTER(_xlfn.XLOOKUP(J104,Sold!A:A,Sold!C:C,),"Cards "))</f>
        <v>2024 Panini Donruss Optic My House</v>
      </c>
      <c r="X104" s="18" t="str">
        <f>IFERROR(_xlfn.XLOOKUP(J104,Collection!A:A,Collection!B:B,),_xlfn.XLOOKUP(J104,Sold!A:A,Sold!B:B,))</f>
        <v>Shai Gilgeous-Alexander #6</v>
      </c>
      <c r="Y104" s="53" t="s">
        <v>507</v>
      </c>
    </row>
    <row r="105" spans="2:25" x14ac:dyDescent="0.3">
      <c r="B105" s="10" t="s">
        <v>691</v>
      </c>
      <c r="C105" s="10" t="s">
        <v>713</v>
      </c>
      <c r="D105" s="5">
        <v>46156</v>
      </c>
      <c r="E105" s="6">
        <v>97</v>
      </c>
      <c r="F105" s="4">
        <v>2</v>
      </c>
      <c r="G105" s="4">
        <v>0.31</v>
      </c>
      <c r="H105" s="4">
        <v>0.25</v>
      </c>
      <c r="I105" s="10" t="s">
        <v>716</v>
      </c>
      <c r="J105" s="10">
        <v>11145114</v>
      </c>
      <c r="K105" s="10">
        <v>609</v>
      </c>
      <c r="L105" s="16" t="s">
        <v>715</v>
      </c>
      <c r="M105" s="53" t="s">
        <v>1409</v>
      </c>
      <c r="N105" t="str">
        <f t="shared" si="10"/>
        <v>whatnot.com/order/moNYfWFRzgHft49zVDK7Ba
$2.00 + $0.23 (Shared Shipping) + $0.23 Tax = Total of $2.46</v>
      </c>
      <c r="O105" s="2">
        <f t="shared" si="11"/>
        <v>2.56</v>
      </c>
      <c r="P105" s="1">
        <f t="shared" si="17"/>
        <v>0.23166666666666669</v>
      </c>
      <c r="Q105" s="1">
        <f t="shared" si="13"/>
        <v>2.2316666666666665</v>
      </c>
      <c r="R105" s="1">
        <f t="shared" si="14"/>
        <v>0.22874583333333329</v>
      </c>
      <c r="S105" s="1">
        <f t="shared" si="15"/>
        <v>2.4604124999999999</v>
      </c>
      <c r="T105" s="1">
        <f>IFERROR(_xlfn.XLOOKUP(J105,Collection!A:A,Collection!D:D,0)/100/_xlfn.XLOOKUP(J105,Collection!A:A,Collection!J:J,0),_xlfn.XLOOKUP(J105,Sold!A:A,Sold!D:D,0)/100/_xlfn.XLOOKUP(J105,Sold!A:A,Sold!J:J,0))</f>
        <v>0</v>
      </c>
      <c r="U105" s="1">
        <f t="shared" si="16"/>
        <v>-2.4604124999999999</v>
      </c>
      <c r="V105" s="18">
        <f>COUNTIF(Collection!A:A,J105)+COUNTIF(Sold!A:A,J105)</f>
        <v>1</v>
      </c>
      <c r="W105" t="str">
        <f>IFERROR(_xlfn.TEXTAFTER(_xlfn.XLOOKUP(J105,Collection!A:A,Collection!C:C,),"Cards "),_xlfn.TEXTAFTER(_xlfn.XLOOKUP(J105,Sold!A:A,Sold!C:C,),"Cards "))</f>
        <v>2025 Panini Phoenix</v>
      </c>
      <c r="X105" s="18" t="str">
        <f>IFERROR(_xlfn.XLOOKUP(J105,Collection!A:A,Collection!B:B,),_xlfn.XLOOKUP(J105,Sold!A:A,Sold!B:B,))</f>
        <v>Lamar Jackson [Green Hyper] #144</v>
      </c>
      <c r="Y105" s="53" t="s">
        <v>507</v>
      </c>
    </row>
    <row r="106" spans="2:25" x14ac:dyDescent="0.3">
      <c r="B106" s="10" t="s">
        <v>691</v>
      </c>
      <c r="C106" s="10" t="s">
        <v>713</v>
      </c>
      <c r="D106" s="5">
        <v>46156</v>
      </c>
      <c r="E106" s="6">
        <v>101</v>
      </c>
      <c r="F106" s="4">
        <v>1</v>
      </c>
      <c r="G106" s="4">
        <v>0</v>
      </c>
      <c r="H106" s="4">
        <v>0.11</v>
      </c>
      <c r="I106" s="10" t="s">
        <v>737</v>
      </c>
      <c r="J106" s="10">
        <v>12520986</v>
      </c>
      <c r="K106" s="10">
        <v>205</v>
      </c>
      <c r="L106" s="16" t="s">
        <v>717</v>
      </c>
      <c r="M106" s="53" t="s">
        <v>1410</v>
      </c>
      <c r="N106" t="str">
        <f t="shared" si="10"/>
        <v>whatnot.com/order/3GyMAAaJhKT35PtSFFmp7M
$1.00 + $0.23 (Shared Shipping) + $0.13 Tax = Total of $1.36</v>
      </c>
      <c r="O106" s="2">
        <f t="shared" si="11"/>
        <v>1.1100000000000001</v>
      </c>
      <c r="P106" s="1">
        <f t="shared" si="17"/>
        <v>0.23166666666666669</v>
      </c>
      <c r="Q106" s="1">
        <f t="shared" si="13"/>
        <v>1.2316666666666667</v>
      </c>
      <c r="R106" s="1">
        <f t="shared" si="14"/>
        <v>0.12624583333333333</v>
      </c>
      <c r="S106" s="1">
        <f t="shared" si="15"/>
        <v>1.3579125000000001</v>
      </c>
      <c r="T106" s="1">
        <f>IFERROR(_xlfn.XLOOKUP(J106,Collection!A:A,Collection!D:D,0)/100/_xlfn.XLOOKUP(J106,Collection!A:A,Collection!J:J,0),_xlfn.XLOOKUP(J106,Sold!A:A,Sold!D:D,0)/100/_xlfn.XLOOKUP(J106,Sold!A:A,Sold!J:J,0))</f>
        <v>2.38</v>
      </c>
      <c r="U106" s="1">
        <f t="shared" si="16"/>
        <v>1.0220874999999998</v>
      </c>
      <c r="V106" s="18">
        <f>COUNTIF(Collection!A:A,J106)+COUNTIF(Sold!A:A,J106)</f>
        <v>1</v>
      </c>
      <c r="W106" t="str">
        <f>IFERROR(_xlfn.TEXTAFTER(_xlfn.XLOOKUP(J106,Collection!A:A,Collection!C:C,),"Cards "),_xlfn.TEXTAFTER(_xlfn.XLOOKUP(J106,Sold!A:A,Sold!C:C,),"Cards "))</f>
        <v>2025 Topps Chrome</v>
      </c>
      <c r="X106" s="18" t="str">
        <f>IFERROR(_xlfn.XLOOKUP(J106,Collection!A:A,Collection!B:B,),_xlfn.XLOOKUP(J106,Sold!A:A,Sold!B:B,))</f>
        <v>Joe Burrow [Pulsar Refractor] #61</v>
      </c>
      <c r="Y106" s="53" t="s">
        <v>507</v>
      </c>
    </row>
    <row r="107" spans="2:25" x14ac:dyDescent="0.3">
      <c r="B107" s="10" t="s">
        <v>691</v>
      </c>
      <c r="C107" s="10" t="s">
        <v>713</v>
      </c>
      <c r="D107" s="5">
        <v>46156</v>
      </c>
      <c r="E107" s="6">
        <v>115</v>
      </c>
      <c r="F107" s="4">
        <v>1</v>
      </c>
      <c r="G107" s="4">
        <v>0.3</v>
      </c>
      <c r="H107" s="4">
        <v>0.15</v>
      </c>
      <c r="I107" s="10" t="s">
        <v>512</v>
      </c>
      <c r="J107" s="10">
        <v>12615262</v>
      </c>
      <c r="K107" s="10">
        <v>419</v>
      </c>
      <c r="L107" s="16" t="s">
        <v>718</v>
      </c>
      <c r="M107" s="53" t="s">
        <v>1411</v>
      </c>
      <c r="N107" t="str">
        <f t="shared" si="10"/>
        <v>whatnot.com/order/jrU4Q7xp5yH4tmGayj7YpY
$1.00 + $0.23 (Shared Shipping) + $0.13 Tax = Total of $1.36</v>
      </c>
      <c r="O107" s="2">
        <f t="shared" si="11"/>
        <v>1.45</v>
      </c>
      <c r="P107" s="1">
        <f t="shared" si="17"/>
        <v>0.23166666666666669</v>
      </c>
      <c r="Q107" s="1">
        <f t="shared" si="13"/>
        <v>1.2316666666666667</v>
      </c>
      <c r="R107" s="1">
        <f t="shared" si="14"/>
        <v>0.12624583333333333</v>
      </c>
      <c r="S107" s="1">
        <f t="shared" si="15"/>
        <v>1.3579125000000001</v>
      </c>
      <c r="T107" s="1">
        <f>IFERROR(_xlfn.XLOOKUP(J107,Collection!A:A,Collection!D:D,0)/100/_xlfn.XLOOKUP(J107,Collection!A:A,Collection!J:J,0),_xlfn.XLOOKUP(J107,Sold!A:A,Sold!D:D,0)/100/_xlfn.XLOOKUP(J107,Sold!A:A,Sold!J:J,0))</f>
        <v>1.35</v>
      </c>
      <c r="U107" s="1">
        <f t="shared" si="16"/>
        <v>-7.912499999999989E-3</v>
      </c>
      <c r="V107" s="18">
        <f>COUNTIF(Collection!A:A,J107)+COUNTIF(Sold!A:A,J107)</f>
        <v>2</v>
      </c>
      <c r="W107" t="str">
        <f>IFERROR(_xlfn.TEXTAFTER(_xlfn.XLOOKUP(J107,Collection!A:A,Collection!C:C,),"Cards "),_xlfn.TEXTAFTER(_xlfn.XLOOKUP(J107,Sold!A:A,Sold!C:C,),"Cards "))</f>
        <v>2025 Bowman</v>
      </c>
      <c r="X107" s="18" t="str">
        <f>IFERROR(_xlfn.XLOOKUP(J107,Collection!A:A,Collection!B:B,),_xlfn.XLOOKUP(J107,Sold!A:A,Sold!B:B,))</f>
        <v>Victor Wembanyama #143</v>
      </c>
      <c r="Y107" s="53" t="s">
        <v>507</v>
      </c>
    </row>
    <row r="108" spans="2:25" x14ac:dyDescent="0.3">
      <c r="B108" s="10" t="s">
        <v>691</v>
      </c>
      <c r="C108" s="10" t="s">
        <v>713</v>
      </c>
      <c r="D108" s="5">
        <v>46156</v>
      </c>
      <c r="E108" s="6">
        <v>117</v>
      </c>
      <c r="F108" s="4">
        <v>0.5</v>
      </c>
      <c r="G108" s="4">
        <v>0</v>
      </c>
      <c r="H108" s="4">
        <v>0.06</v>
      </c>
      <c r="I108" s="10" t="s">
        <v>11</v>
      </c>
      <c r="J108" s="10">
        <v>12622531</v>
      </c>
      <c r="K108" s="10">
        <v>269</v>
      </c>
      <c r="L108" s="16" t="s">
        <v>719</v>
      </c>
      <c r="M108" s="53" t="s">
        <v>1412</v>
      </c>
      <c r="N108" t="str">
        <f t="shared" si="10"/>
        <v>whatnot.com/order/QmxKqJw97MkWL4F4CV22QD
$0.50 + $0.23 (Shared Shipping) + $0.07 Tax = Total of $0.81</v>
      </c>
      <c r="O108" s="2">
        <f t="shared" si="11"/>
        <v>0.56000000000000005</v>
      </c>
      <c r="P108" s="1">
        <f t="shared" si="17"/>
        <v>0.23166666666666669</v>
      </c>
      <c r="Q108" s="1">
        <f t="shared" si="13"/>
        <v>0.73166666666666669</v>
      </c>
      <c r="R108" s="1">
        <f t="shared" si="14"/>
        <v>7.4995833333333331E-2</v>
      </c>
      <c r="S108" s="1">
        <f t="shared" si="15"/>
        <v>0.80666250000000006</v>
      </c>
      <c r="T108" s="1">
        <f>IFERROR(_xlfn.XLOOKUP(J108,Collection!A:A,Collection!D:D,0)/100/_xlfn.XLOOKUP(J108,Collection!A:A,Collection!J:J,0),_xlfn.XLOOKUP(J108,Sold!A:A,Sold!D:D,0)/100/_xlfn.XLOOKUP(J108,Sold!A:A,Sold!J:J,0))</f>
        <v>1.99</v>
      </c>
      <c r="U108" s="1">
        <f t="shared" si="16"/>
        <v>1.1833374999999999</v>
      </c>
      <c r="V108" s="18">
        <f>COUNTIF(Collection!A:A,J108)+COUNTIF(Sold!A:A,J108)</f>
        <v>2</v>
      </c>
      <c r="W108" t="str">
        <f>IFERROR(_xlfn.TEXTAFTER(_xlfn.XLOOKUP(J108,Collection!A:A,Collection!C:C,),"Cards "),_xlfn.TEXTAFTER(_xlfn.XLOOKUP(J108,Sold!A:A,Sold!C:C,),"Cards "))</f>
        <v>2025 Bowman Chrome</v>
      </c>
      <c r="X108" s="18" t="str">
        <f>IFERROR(_xlfn.XLOOKUP(J108,Collection!A:A,Collection!B:B,),_xlfn.XLOOKUP(J108,Sold!A:A,Sold!B:B,))</f>
        <v>Luka DoncÌŒic #BCV-123</v>
      </c>
      <c r="Y108" s="53" t="s">
        <v>507</v>
      </c>
    </row>
    <row r="109" spans="2:25" x14ac:dyDescent="0.3">
      <c r="B109" s="10" t="s">
        <v>691</v>
      </c>
      <c r="C109" s="10" t="s">
        <v>713</v>
      </c>
      <c r="D109" s="5">
        <v>46156</v>
      </c>
      <c r="E109" s="6">
        <v>117</v>
      </c>
      <c r="F109" s="4">
        <v>0.5</v>
      </c>
      <c r="G109" s="4">
        <v>0</v>
      </c>
      <c r="H109" s="4">
        <v>0.05</v>
      </c>
      <c r="I109" s="10" t="s">
        <v>11</v>
      </c>
      <c r="J109" s="10">
        <v>12622531</v>
      </c>
      <c r="K109" s="10">
        <v>277</v>
      </c>
      <c r="L109" s="16" t="s">
        <v>719</v>
      </c>
      <c r="M109" s="53" t="s">
        <v>1412</v>
      </c>
      <c r="N109" t="str">
        <f t="shared" si="10"/>
        <v>whatnot.com/order/QmxKqJw97MkWL4F4CV22QD
$0.50 + $0.23 (Shared Shipping) + $0.07 Tax = Total of $0.81</v>
      </c>
      <c r="O109" s="2">
        <f t="shared" si="11"/>
        <v>0.55000000000000004</v>
      </c>
      <c r="P109" s="1">
        <f t="shared" si="17"/>
        <v>0.23166666666666669</v>
      </c>
      <c r="Q109" s="1">
        <f t="shared" si="13"/>
        <v>0.73166666666666669</v>
      </c>
      <c r="R109" s="1">
        <f t="shared" si="14"/>
        <v>7.4995833333333331E-2</v>
      </c>
      <c r="S109" s="1">
        <f t="shared" si="15"/>
        <v>0.80666250000000006</v>
      </c>
      <c r="T109" s="1">
        <f>IFERROR(_xlfn.XLOOKUP(J109,Collection!A:A,Collection!D:D,0)/100/_xlfn.XLOOKUP(J109,Collection!A:A,Collection!J:J,0),_xlfn.XLOOKUP(J109,Sold!A:A,Sold!D:D,0)/100/_xlfn.XLOOKUP(J109,Sold!A:A,Sold!J:J,0))</f>
        <v>1.99</v>
      </c>
      <c r="U109" s="1">
        <f t="shared" si="16"/>
        <v>1.1833374999999999</v>
      </c>
      <c r="V109" s="18">
        <f>COUNTIF(Collection!A:A,J109)+COUNTIF(Sold!A:A,J109)</f>
        <v>2</v>
      </c>
      <c r="W109" t="str">
        <f>IFERROR(_xlfn.TEXTAFTER(_xlfn.XLOOKUP(J109,Collection!A:A,Collection!C:C,),"Cards "),_xlfn.TEXTAFTER(_xlfn.XLOOKUP(J109,Sold!A:A,Sold!C:C,),"Cards "))</f>
        <v>2025 Bowman Chrome</v>
      </c>
      <c r="X109" s="18" t="str">
        <f>IFERROR(_xlfn.XLOOKUP(J109,Collection!A:A,Collection!B:B,),_xlfn.XLOOKUP(J109,Sold!A:A,Sold!B:B,))</f>
        <v>Luka DoncÌŒic #BCV-123</v>
      </c>
      <c r="Y109" s="53" t="s">
        <v>507</v>
      </c>
    </row>
    <row r="110" spans="2:25" x14ac:dyDescent="0.3">
      <c r="B110" s="10" t="s">
        <v>691</v>
      </c>
      <c r="C110" s="10" t="s">
        <v>723</v>
      </c>
      <c r="D110" s="5">
        <v>46156</v>
      </c>
      <c r="E110" s="6">
        <v>9</v>
      </c>
      <c r="F110" s="4">
        <v>10</v>
      </c>
      <c r="G110" s="4">
        <v>4.3499999999999996</v>
      </c>
      <c r="H110" s="4">
        <v>1.48</v>
      </c>
      <c r="I110" s="10" t="s">
        <v>522</v>
      </c>
      <c r="J110" s="10">
        <v>10482574</v>
      </c>
      <c r="K110" s="10">
        <v>28</v>
      </c>
      <c r="L110" s="16" t="s">
        <v>724</v>
      </c>
      <c r="M110" s="53" t="s">
        <v>1413</v>
      </c>
      <c r="N110" t="str">
        <f t="shared" si="10"/>
        <v>whatnot.com/order/RkyA6Bkpg2Bd9SGH2hZzTu
$10.00 + $4.35 (Shared Shipping) + $1.47 Tax = Total of $15.82</v>
      </c>
      <c r="O110" s="2">
        <f t="shared" si="11"/>
        <v>15.83</v>
      </c>
      <c r="P110" s="1">
        <f t="shared" si="17"/>
        <v>4.3499999999999996</v>
      </c>
      <c r="Q110" s="1">
        <f t="shared" si="13"/>
        <v>14.35</v>
      </c>
      <c r="R110" s="1">
        <f t="shared" si="14"/>
        <v>1.4708749999999999</v>
      </c>
      <c r="S110" s="1">
        <f t="shared" si="15"/>
        <v>15.820874999999999</v>
      </c>
      <c r="T110" s="1">
        <f>IFERROR(_xlfn.XLOOKUP(J110,Collection!A:A,Collection!D:D,0)/100/_xlfn.XLOOKUP(J110,Collection!A:A,Collection!J:J,0),_xlfn.XLOOKUP(J110,Sold!A:A,Sold!D:D,0)/100/_xlfn.XLOOKUP(J110,Sold!A:A,Sold!J:J,0))</f>
        <v>11.4</v>
      </c>
      <c r="U110" s="1">
        <f t="shared" si="16"/>
        <v>-4.4208749999999988</v>
      </c>
      <c r="V110" s="18">
        <f>COUNTIF(Collection!A:A,J110)+COUNTIF(Sold!A:A,J110)</f>
        <v>1</v>
      </c>
      <c r="W110" t="str">
        <f>IFERROR(_xlfn.TEXTAFTER(_xlfn.XLOOKUP(J110,Collection!A:A,Collection!C:C,),"Cards "),_xlfn.TEXTAFTER(_xlfn.XLOOKUP(J110,Sold!A:A,Sold!C:C,),"Cards "))</f>
        <v>2024 Panini Obsidian Equinox</v>
      </c>
      <c r="X110" s="18" t="str">
        <f>IFERROR(_xlfn.XLOOKUP(J110,Collection!A:A,Collection!B:B,),_xlfn.XLOOKUP(J110,Sold!A:A,Sold!B:B,))</f>
        <v>Tyrese Maxey [Electric Etch Orange Flood] #20</v>
      </c>
      <c r="Y110" s="53" t="s">
        <v>507</v>
      </c>
    </row>
    <row r="111" spans="2:25" x14ac:dyDescent="0.3">
      <c r="B111" s="10" t="s">
        <v>691</v>
      </c>
      <c r="C111" s="10" t="s">
        <v>725</v>
      </c>
      <c r="D111" s="5">
        <v>46156</v>
      </c>
      <c r="E111" s="6">
        <v>2</v>
      </c>
      <c r="F111" s="4">
        <v>1</v>
      </c>
      <c r="G111" s="4">
        <v>0.31</v>
      </c>
      <c r="H111" s="4">
        <v>0.15</v>
      </c>
      <c r="I111" s="10" t="s">
        <v>11</v>
      </c>
      <c r="J111" s="10">
        <v>6292612</v>
      </c>
      <c r="K111" s="10">
        <v>498</v>
      </c>
      <c r="L111" s="16" t="s">
        <v>726</v>
      </c>
      <c r="M111" s="53" t="s">
        <v>1414</v>
      </c>
      <c r="N111" t="str">
        <f t="shared" si="10"/>
        <v>whatnot.com/order/m7u6JPnkRPdg3KPtvFYypQ
$1.00 + $0.14 (Shared Shipping) + $0.12 Tax = Total of $1.25</v>
      </c>
      <c r="O111" s="2">
        <f t="shared" si="11"/>
        <v>1.46</v>
      </c>
      <c r="P111" s="1">
        <f t="shared" si="17"/>
        <v>0.13625000000000001</v>
      </c>
      <c r="Q111" s="1">
        <f t="shared" si="13"/>
        <v>1.13625</v>
      </c>
      <c r="R111" s="1">
        <f t="shared" si="14"/>
        <v>0.11646562499999999</v>
      </c>
      <c r="S111" s="1">
        <f t="shared" si="15"/>
        <v>1.252715625</v>
      </c>
      <c r="T111" s="1">
        <f>IFERROR(_xlfn.XLOOKUP(J111,Collection!A:A,Collection!D:D,0)/100/_xlfn.XLOOKUP(J111,Collection!A:A,Collection!J:J,0),_xlfn.XLOOKUP(J111,Sold!A:A,Sold!D:D,0)/100/_xlfn.XLOOKUP(J111,Sold!A:A,Sold!J:J,0))</f>
        <v>1.23</v>
      </c>
      <c r="U111" s="1">
        <f t="shared" si="16"/>
        <v>-2.2715625000000017E-2</v>
      </c>
      <c r="V111" s="18">
        <f>COUNTIF(Collection!A:A,J111)+COUNTIF(Sold!A:A,J111)</f>
        <v>1</v>
      </c>
      <c r="W111" t="str">
        <f>IFERROR(_xlfn.TEXTAFTER(_xlfn.XLOOKUP(J111,Collection!A:A,Collection!C:C,),"Cards "),_xlfn.TEXTAFTER(_xlfn.XLOOKUP(J111,Sold!A:A,Sold!C:C,),"Cards "))</f>
        <v>2023 Panini Donruss Bomb Squad</v>
      </c>
      <c r="X111" s="18" t="str">
        <f>IFERROR(_xlfn.XLOOKUP(J111,Collection!A:A,Collection!B:B,),_xlfn.XLOOKUP(J111,Sold!A:A,Sold!B:B,))</f>
        <v>Luka Doncic #3</v>
      </c>
      <c r="Y111" s="53" t="s">
        <v>507</v>
      </c>
    </row>
    <row r="112" spans="2:25" x14ac:dyDescent="0.3">
      <c r="B112" s="10" t="s">
        <v>691</v>
      </c>
      <c r="C112" s="10" t="s">
        <v>725</v>
      </c>
      <c r="D112" s="5">
        <v>46156</v>
      </c>
      <c r="E112" s="6">
        <v>3</v>
      </c>
      <c r="F112" s="4">
        <v>0.17</v>
      </c>
      <c r="G112" s="4">
        <v>0.13</v>
      </c>
      <c r="H112" s="4">
        <v>0.04</v>
      </c>
      <c r="I112" s="10" t="s">
        <v>11</v>
      </c>
      <c r="J112" s="10">
        <v>8771795</v>
      </c>
      <c r="K112" s="10">
        <v>415</v>
      </c>
      <c r="L112" s="16" t="s">
        <v>727</v>
      </c>
      <c r="M112" s="53" t="s">
        <v>1415</v>
      </c>
      <c r="N112" t="str">
        <f t="shared" si="10"/>
        <v>whatnot.com/order/CcgKgfJ5nvryvvKXiQFRF3
$0.17 + $0.14 (Shared Shipping) + $0.03 Tax = Total of $0.34</v>
      </c>
      <c r="O112" s="2">
        <f t="shared" si="11"/>
        <v>0.34</v>
      </c>
      <c r="P112" s="1">
        <f t="shared" si="17"/>
        <v>0.13625000000000001</v>
      </c>
      <c r="Q112" s="1">
        <f t="shared" si="13"/>
        <v>0.30625000000000002</v>
      </c>
      <c r="R112" s="1">
        <f t="shared" si="14"/>
        <v>3.1390624999999998E-2</v>
      </c>
      <c r="S112" s="1">
        <f t="shared" si="15"/>
        <v>0.33764062500000003</v>
      </c>
      <c r="T112" s="1">
        <f>IFERROR(_xlfn.XLOOKUP(J112,Collection!A:A,Collection!D:D,0)/100/_xlfn.XLOOKUP(J112,Collection!A:A,Collection!J:J,0),_xlfn.XLOOKUP(J112,Sold!A:A,Sold!D:D,0)/100/_xlfn.XLOOKUP(J112,Sold!A:A,Sold!J:J,0))</f>
        <v>1.4</v>
      </c>
      <c r="U112" s="1">
        <f t="shared" si="16"/>
        <v>1.0623593749999998</v>
      </c>
      <c r="V112" s="18">
        <f>COUNTIF(Collection!A:A,J112)+COUNTIF(Sold!A:A,J112)</f>
        <v>4</v>
      </c>
      <c r="W112" t="str">
        <f>IFERROR(_xlfn.TEXTAFTER(_xlfn.XLOOKUP(J112,Collection!A:A,Collection!C:C,),"Cards "),_xlfn.TEXTAFTER(_xlfn.XLOOKUP(J112,Sold!A:A,Sold!C:C,),"Cards "))</f>
        <v>2024 Panini Donruss</v>
      </c>
      <c r="X112" s="18" t="str">
        <f>IFERROR(_xlfn.XLOOKUP(J112,Collection!A:A,Collection!B:B,),_xlfn.XLOOKUP(J112,Sold!A:A,Sold!B:B,))</f>
        <v>Luka Doncic #82</v>
      </c>
      <c r="Y112" s="53" t="s">
        <v>507</v>
      </c>
    </row>
    <row r="113" spans="2:25" x14ac:dyDescent="0.3">
      <c r="B113" s="10" t="s">
        <v>691</v>
      </c>
      <c r="C113" s="10" t="s">
        <v>725</v>
      </c>
      <c r="D113" s="5">
        <v>46156</v>
      </c>
      <c r="E113" s="6">
        <v>3</v>
      </c>
      <c r="F113" s="4">
        <v>0.17</v>
      </c>
      <c r="G113" s="4">
        <v>0.13</v>
      </c>
      <c r="H113" s="4">
        <v>0.03</v>
      </c>
      <c r="I113" s="10" t="s">
        <v>11</v>
      </c>
      <c r="J113" s="10">
        <v>8771795</v>
      </c>
      <c r="K113" s="10">
        <v>416</v>
      </c>
      <c r="L113" s="16" t="s">
        <v>727</v>
      </c>
      <c r="M113" s="53" t="s">
        <v>1415</v>
      </c>
      <c r="N113" t="str">
        <f t="shared" si="10"/>
        <v>whatnot.com/order/CcgKgfJ5nvryvvKXiQFRF3
$0.17 + $0.14 (Shared Shipping) + $0.03 Tax = Total of $0.34</v>
      </c>
      <c r="O113" s="2">
        <f t="shared" si="11"/>
        <v>0.33000000000000007</v>
      </c>
      <c r="P113" s="1">
        <f t="shared" si="17"/>
        <v>0.13625000000000001</v>
      </c>
      <c r="Q113" s="1">
        <f t="shared" si="13"/>
        <v>0.30625000000000002</v>
      </c>
      <c r="R113" s="1">
        <f t="shared" si="14"/>
        <v>3.1390624999999998E-2</v>
      </c>
      <c r="S113" s="1">
        <f t="shared" si="15"/>
        <v>0.33764062500000003</v>
      </c>
      <c r="T113" s="1">
        <f>IFERROR(_xlfn.XLOOKUP(J113,Collection!A:A,Collection!D:D,0)/100/_xlfn.XLOOKUP(J113,Collection!A:A,Collection!J:J,0),_xlfn.XLOOKUP(J113,Sold!A:A,Sold!D:D,0)/100/_xlfn.XLOOKUP(J113,Sold!A:A,Sold!J:J,0))</f>
        <v>1.4</v>
      </c>
      <c r="U113" s="1">
        <f t="shared" si="16"/>
        <v>1.0623593749999998</v>
      </c>
      <c r="V113" s="18">
        <f>COUNTIF(Collection!A:A,J113)+COUNTIF(Sold!A:A,J113)</f>
        <v>4</v>
      </c>
      <c r="W113" t="str">
        <f>IFERROR(_xlfn.TEXTAFTER(_xlfn.XLOOKUP(J113,Collection!A:A,Collection!C:C,),"Cards "),_xlfn.TEXTAFTER(_xlfn.XLOOKUP(J113,Sold!A:A,Sold!C:C,),"Cards "))</f>
        <v>2024 Panini Donruss</v>
      </c>
      <c r="X113" s="18" t="str">
        <f>IFERROR(_xlfn.XLOOKUP(J113,Collection!A:A,Collection!B:B,),_xlfn.XLOOKUP(J113,Sold!A:A,Sold!B:B,))</f>
        <v>Luka Doncic #82</v>
      </c>
      <c r="Y113" s="53" t="s">
        <v>507</v>
      </c>
    </row>
    <row r="114" spans="2:25" x14ac:dyDescent="0.3">
      <c r="B114" s="10" t="s">
        <v>691</v>
      </c>
      <c r="C114" s="10" t="s">
        <v>725</v>
      </c>
      <c r="D114" s="5">
        <v>46156</v>
      </c>
      <c r="E114" s="6">
        <v>3</v>
      </c>
      <c r="F114" s="4">
        <v>0.17</v>
      </c>
      <c r="G114" s="4">
        <v>0.13</v>
      </c>
      <c r="H114" s="4">
        <v>0.03</v>
      </c>
      <c r="I114" s="10" t="s">
        <v>11</v>
      </c>
      <c r="J114" s="10">
        <v>8771795</v>
      </c>
      <c r="K114" s="10">
        <v>418</v>
      </c>
      <c r="L114" s="16" t="s">
        <v>727</v>
      </c>
      <c r="M114" s="53" t="s">
        <v>1415</v>
      </c>
      <c r="N114" t="str">
        <f t="shared" si="10"/>
        <v>whatnot.com/order/CcgKgfJ5nvryvvKXiQFRF3
$0.17 + $0.14 (Shared Shipping) + $0.03 Tax = Total of $0.34</v>
      </c>
      <c r="O114" s="2">
        <f t="shared" si="11"/>
        <v>0.33000000000000007</v>
      </c>
      <c r="P114" s="1">
        <f t="shared" si="17"/>
        <v>0.13625000000000001</v>
      </c>
      <c r="Q114" s="1">
        <f t="shared" si="13"/>
        <v>0.30625000000000002</v>
      </c>
      <c r="R114" s="1">
        <f t="shared" si="14"/>
        <v>3.1390624999999998E-2</v>
      </c>
      <c r="S114" s="1">
        <f t="shared" si="15"/>
        <v>0.33764062500000003</v>
      </c>
      <c r="T114" s="1">
        <f>IFERROR(_xlfn.XLOOKUP(J114,Collection!A:A,Collection!D:D,0)/100/_xlfn.XLOOKUP(J114,Collection!A:A,Collection!J:J,0),_xlfn.XLOOKUP(J114,Sold!A:A,Sold!D:D,0)/100/_xlfn.XLOOKUP(J114,Sold!A:A,Sold!J:J,0))</f>
        <v>1.4</v>
      </c>
      <c r="U114" s="1">
        <f t="shared" si="16"/>
        <v>1.0623593749999998</v>
      </c>
      <c r="V114" s="18">
        <f>COUNTIF(Collection!A:A,J114)+COUNTIF(Sold!A:A,J114)</f>
        <v>4</v>
      </c>
      <c r="W114" t="str">
        <f>IFERROR(_xlfn.TEXTAFTER(_xlfn.XLOOKUP(J114,Collection!A:A,Collection!C:C,),"Cards "),_xlfn.TEXTAFTER(_xlfn.XLOOKUP(J114,Sold!A:A,Sold!C:C,),"Cards "))</f>
        <v>2024 Panini Donruss</v>
      </c>
      <c r="X114" s="18" t="str">
        <f>IFERROR(_xlfn.XLOOKUP(J114,Collection!A:A,Collection!B:B,),_xlfn.XLOOKUP(J114,Sold!A:A,Sold!B:B,))</f>
        <v>Luka Doncic #82</v>
      </c>
      <c r="Y114" s="53" t="s">
        <v>507</v>
      </c>
    </row>
    <row r="115" spans="2:25" x14ac:dyDescent="0.3">
      <c r="B115" s="10" t="s">
        <v>691</v>
      </c>
      <c r="C115" s="10" t="s">
        <v>725</v>
      </c>
      <c r="D115" s="5">
        <v>46156</v>
      </c>
      <c r="E115" s="6">
        <v>3</v>
      </c>
      <c r="F115" s="4">
        <v>0.17</v>
      </c>
      <c r="G115" s="4">
        <v>0.13</v>
      </c>
      <c r="H115" s="4">
        <v>0.03</v>
      </c>
      <c r="I115" s="10" t="s">
        <v>11</v>
      </c>
      <c r="J115" s="10">
        <v>8771795</v>
      </c>
      <c r="K115" s="10">
        <v>423</v>
      </c>
      <c r="L115" s="16" t="s">
        <v>727</v>
      </c>
      <c r="M115" s="53" t="s">
        <v>1415</v>
      </c>
      <c r="N115" t="str">
        <f t="shared" si="10"/>
        <v>whatnot.com/order/CcgKgfJ5nvryvvKXiQFRF3
$0.17 + $0.14 (Shared Shipping) + $0.03 Tax = Total of $0.34</v>
      </c>
      <c r="O115" s="2">
        <f t="shared" si="11"/>
        <v>0.33000000000000007</v>
      </c>
      <c r="P115" s="1">
        <f t="shared" si="17"/>
        <v>0.13625000000000001</v>
      </c>
      <c r="Q115" s="1">
        <f t="shared" si="13"/>
        <v>0.30625000000000002</v>
      </c>
      <c r="R115" s="1">
        <f t="shared" si="14"/>
        <v>3.1390624999999998E-2</v>
      </c>
      <c r="S115" s="1">
        <f t="shared" si="15"/>
        <v>0.33764062500000003</v>
      </c>
      <c r="T115" s="1">
        <f>IFERROR(_xlfn.XLOOKUP(J115,Collection!A:A,Collection!D:D,0)/100/_xlfn.XLOOKUP(J115,Collection!A:A,Collection!J:J,0),_xlfn.XLOOKUP(J115,Sold!A:A,Sold!D:D,0)/100/_xlfn.XLOOKUP(J115,Sold!A:A,Sold!J:J,0))</f>
        <v>1.4</v>
      </c>
      <c r="U115" s="1">
        <f t="shared" si="16"/>
        <v>1.0623593749999998</v>
      </c>
      <c r="V115" s="18">
        <f>COUNTIF(Collection!A:A,J115)+COUNTIF(Sold!A:A,J115)</f>
        <v>4</v>
      </c>
      <c r="W115" t="str">
        <f>IFERROR(_xlfn.TEXTAFTER(_xlfn.XLOOKUP(J115,Collection!A:A,Collection!C:C,),"Cards "),_xlfn.TEXTAFTER(_xlfn.XLOOKUP(J115,Sold!A:A,Sold!C:C,),"Cards "))</f>
        <v>2024 Panini Donruss</v>
      </c>
      <c r="X115" s="18" t="str">
        <f>IFERROR(_xlfn.XLOOKUP(J115,Collection!A:A,Collection!B:B,),_xlfn.XLOOKUP(J115,Sold!A:A,Sold!B:B,))</f>
        <v>Luka Doncic #82</v>
      </c>
      <c r="Y115" s="53" t="s">
        <v>507</v>
      </c>
    </row>
    <row r="116" spans="2:25" x14ac:dyDescent="0.3">
      <c r="B116" s="10" t="s">
        <v>691</v>
      </c>
      <c r="C116" s="10" t="s">
        <v>725</v>
      </c>
      <c r="D116" s="5">
        <v>46156</v>
      </c>
      <c r="E116" s="6">
        <v>3</v>
      </c>
      <c r="F116" s="4">
        <v>0.16</v>
      </c>
      <c r="G116" s="4">
        <v>0.13</v>
      </c>
      <c r="H116" s="4">
        <v>0.03</v>
      </c>
      <c r="I116" s="10" t="s">
        <v>11</v>
      </c>
      <c r="J116" s="10">
        <v>8394422</v>
      </c>
      <c r="K116" s="10">
        <v>417</v>
      </c>
      <c r="L116" s="16" t="s">
        <v>727</v>
      </c>
      <c r="M116" s="53" t="s">
        <v>1416</v>
      </c>
      <c r="N116" t="str">
        <f t="shared" si="10"/>
        <v>whatnot.com/order/CcgKgfJ5nvryvvKXiQFRF3
$0.16 + $0.14 (Shared Shipping) + $0.03 Tax = Total of $0.33</v>
      </c>
      <c r="O116" s="2">
        <f t="shared" si="11"/>
        <v>0.32000000000000006</v>
      </c>
      <c r="P116" s="1">
        <f t="shared" si="17"/>
        <v>0.13625000000000001</v>
      </c>
      <c r="Q116" s="1">
        <f t="shared" si="13"/>
        <v>0.29625000000000001</v>
      </c>
      <c r="R116" s="1">
        <f t="shared" si="14"/>
        <v>3.0365625E-2</v>
      </c>
      <c r="S116" s="1">
        <f t="shared" si="15"/>
        <v>0.32661562500000002</v>
      </c>
      <c r="T116" s="1">
        <f>IFERROR(_xlfn.XLOOKUP(J116,Collection!A:A,Collection!D:D,0)/100/_xlfn.XLOOKUP(J116,Collection!A:A,Collection!J:J,0),_xlfn.XLOOKUP(J116,Sold!A:A,Sold!D:D,0)/100/_xlfn.XLOOKUP(J116,Sold!A:A,Sold!J:J,0))</f>
        <v>1.42</v>
      </c>
      <c r="U116" s="1">
        <f t="shared" si="16"/>
        <v>1.0933843749999999</v>
      </c>
      <c r="V116" s="18">
        <f>COUNTIF(Collection!A:A,J116)+COUNTIF(Sold!A:A,J116)</f>
        <v>2</v>
      </c>
      <c r="W116" t="str">
        <f>IFERROR(_xlfn.TEXTAFTER(_xlfn.XLOOKUP(J116,Collection!A:A,Collection!C:C,),"Cards "),_xlfn.TEXTAFTER(_xlfn.XLOOKUP(J116,Sold!A:A,Sold!C:C,),"Cards "))</f>
        <v>2024 Panini NBA Hoops</v>
      </c>
      <c r="X116" s="18" t="str">
        <f>IFERROR(_xlfn.XLOOKUP(J116,Collection!A:A,Collection!B:B,),_xlfn.XLOOKUP(J116,Sold!A:A,Sold!B:B,))</f>
        <v>Luka Doncic #115</v>
      </c>
      <c r="Y116" s="53" t="s">
        <v>507</v>
      </c>
    </row>
    <row r="117" spans="2:25" x14ac:dyDescent="0.3">
      <c r="B117" s="10" t="s">
        <v>691</v>
      </c>
      <c r="C117" s="10" t="s">
        <v>725</v>
      </c>
      <c r="D117" s="5">
        <v>46156</v>
      </c>
      <c r="E117" s="6">
        <v>3</v>
      </c>
      <c r="F117" s="4">
        <v>0.16</v>
      </c>
      <c r="G117" s="4">
        <v>0.13</v>
      </c>
      <c r="H117" s="4">
        <v>0.03</v>
      </c>
      <c r="I117" s="10" t="s">
        <v>11</v>
      </c>
      <c r="J117" s="10">
        <v>10121893</v>
      </c>
      <c r="K117" s="10">
        <v>318</v>
      </c>
      <c r="L117" s="16" t="s">
        <v>727</v>
      </c>
      <c r="M117" s="53" t="s">
        <v>1416</v>
      </c>
      <c r="N117" t="str">
        <f t="shared" si="10"/>
        <v>whatnot.com/order/CcgKgfJ5nvryvvKXiQFRF3
$0.16 + $0.14 (Shared Shipping) + $0.03 Tax = Total of $0.33</v>
      </c>
      <c r="O117" s="2">
        <f t="shared" si="11"/>
        <v>0.32000000000000006</v>
      </c>
      <c r="P117" s="1">
        <f t="shared" si="17"/>
        <v>0.13625000000000001</v>
      </c>
      <c r="Q117" s="1">
        <f t="shared" si="13"/>
        <v>0.29625000000000001</v>
      </c>
      <c r="R117" s="1">
        <f t="shared" si="14"/>
        <v>3.0365625E-2</v>
      </c>
      <c r="S117" s="1">
        <f t="shared" si="15"/>
        <v>0.32661562500000002</v>
      </c>
      <c r="T117" s="1">
        <f>IFERROR(_xlfn.XLOOKUP(J117,Collection!A:A,Collection!D:D,0)/100/_xlfn.XLOOKUP(J117,Collection!A:A,Collection!J:J,0),_xlfn.XLOOKUP(J117,Sold!A:A,Sold!D:D,0)/100/_xlfn.XLOOKUP(J117,Sold!A:A,Sold!J:J,0))</f>
        <v>1.85</v>
      </c>
      <c r="U117" s="1">
        <f t="shared" si="16"/>
        <v>1.523384375</v>
      </c>
      <c r="V117" s="18">
        <f>COUNTIF(Collection!A:A,J117)+COUNTIF(Sold!A:A,J117)</f>
        <v>1</v>
      </c>
      <c r="W117" t="str">
        <f>IFERROR(_xlfn.TEXTAFTER(_xlfn.XLOOKUP(J117,Collection!A:A,Collection!C:C,),"Cards "),_xlfn.TEXTAFTER(_xlfn.XLOOKUP(J117,Sold!A:A,Sold!C:C,),"Cards "))</f>
        <v>2024 Panini Haunted Hoops</v>
      </c>
      <c r="X117" s="18" t="str">
        <f>IFERROR(_xlfn.XLOOKUP(J117,Collection!A:A,Collection!B:B,),_xlfn.XLOOKUP(J117,Sold!A:A,Sold!B:B,))</f>
        <v>Luka Doncic #134</v>
      </c>
      <c r="Y117" s="53" t="s">
        <v>507</v>
      </c>
    </row>
    <row r="118" spans="2:25" x14ac:dyDescent="0.3">
      <c r="B118" s="10" t="s">
        <v>691</v>
      </c>
      <c r="C118" s="10" t="s">
        <v>725</v>
      </c>
      <c r="D118" s="5">
        <v>46156</v>
      </c>
      <c r="E118" s="6">
        <v>4</v>
      </c>
      <c r="F118" s="4">
        <v>2</v>
      </c>
      <c r="G118" s="4">
        <v>0</v>
      </c>
      <c r="H118" s="4">
        <v>0.21</v>
      </c>
      <c r="I118" s="10" t="s">
        <v>11</v>
      </c>
      <c r="J118" s="10">
        <v>10122943</v>
      </c>
      <c r="K118" s="10">
        <v>207</v>
      </c>
      <c r="L118" s="16" t="s">
        <v>728</v>
      </c>
      <c r="M118" s="53" t="s">
        <v>1417</v>
      </c>
      <c r="N118" t="str">
        <f t="shared" si="10"/>
        <v>whatnot.com/order/NKDpWFDEF9zthvWQGx6hjv
$2.00 + $0.14 (Shared Shipping) + $0.22 Tax = Total of $2.36</v>
      </c>
      <c r="O118" s="2">
        <f t="shared" si="11"/>
        <v>2.21</v>
      </c>
      <c r="P118" s="1">
        <f t="shared" si="17"/>
        <v>0.13625000000000001</v>
      </c>
      <c r="Q118" s="1">
        <f t="shared" si="13"/>
        <v>2.13625</v>
      </c>
      <c r="R118" s="1">
        <f t="shared" si="14"/>
        <v>0.218965625</v>
      </c>
      <c r="S118" s="1">
        <f t="shared" si="15"/>
        <v>2.355215625</v>
      </c>
      <c r="T118" s="1">
        <f>IFERROR(_xlfn.XLOOKUP(J118,Collection!A:A,Collection!D:D,0)/100/_xlfn.XLOOKUP(J118,Collection!A:A,Collection!J:J,0),_xlfn.XLOOKUP(J118,Sold!A:A,Sold!D:D,0)/100/_xlfn.XLOOKUP(J118,Sold!A:A,Sold!J:J,0))</f>
        <v>2.0099999999999998</v>
      </c>
      <c r="U118" s="1">
        <f t="shared" si="16"/>
        <v>-0.34521562500000025</v>
      </c>
      <c r="V118" s="18">
        <f>COUNTIF(Collection!A:A,J118)+COUNTIF(Sold!A:A,J118)</f>
        <v>1</v>
      </c>
      <c r="W118" t="str">
        <f>IFERROR(_xlfn.TEXTAFTER(_xlfn.XLOOKUP(J118,Collection!A:A,Collection!C:C,),"Cards "),_xlfn.TEXTAFTER(_xlfn.XLOOKUP(J118,Sold!A:A,Sold!C:C,),"Cards "))</f>
        <v>2024 Panini Haunted Hoops</v>
      </c>
      <c r="X118" s="18" t="str">
        <f>IFERROR(_xlfn.XLOOKUP(J118,Collection!A:A,Collection!B:B,),_xlfn.XLOOKUP(J118,Sold!A:A,Sold!B:B,))</f>
        <v>Luka Doncic [Slime] #281</v>
      </c>
      <c r="Y118" s="53" t="s">
        <v>507</v>
      </c>
    </row>
    <row r="119" spans="2:25" x14ac:dyDescent="0.3">
      <c r="B119" s="10" t="s">
        <v>691</v>
      </c>
      <c r="C119" s="10" t="s">
        <v>730</v>
      </c>
      <c r="D119" s="5">
        <v>46156</v>
      </c>
      <c r="E119" s="6" t="s">
        <v>729</v>
      </c>
      <c r="F119" s="4">
        <v>0</v>
      </c>
      <c r="G119" s="4">
        <v>0</v>
      </c>
      <c r="H119" s="4">
        <v>0</v>
      </c>
      <c r="I119" s="10" t="s">
        <v>735</v>
      </c>
      <c r="J119" s="10">
        <v>12102811</v>
      </c>
      <c r="K119" s="10">
        <v>538</v>
      </c>
      <c r="L119" s="16" t="s">
        <v>731</v>
      </c>
      <c r="M119" s="53" t="s">
        <v>1418</v>
      </c>
      <c r="N119" t="str">
        <f t="shared" si="10"/>
        <v>whatnot.com/order/b7cw23wZQThBVqdCqhgC7j
$0.00 + $0.00 (Shared Shipping) + $0.00 Tax = Total of $0.00</v>
      </c>
      <c r="O119" s="2">
        <f t="shared" si="11"/>
        <v>0</v>
      </c>
      <c r="P119" s="1">
        <f t="shared" si="17"/>
        <v>0</v>
      </c>
      <c r="Q119" s="1">
        <f t="shared" si="13"/>
        <v>0</v>
      </c>
      <c r="R119" s="1">
        <f t="shared" si="14"/>
        <v>0</v>
      </c>
      <c r="S119" s="1">
        <f t="shared" si="15"/>
        <v>0</v>
      </c>
      <c r="T119" s="1">
        <f>IFERROR(_xlfn.XLOOKUP(J119,Collection!A:A,Collection!D:D,0)/100/_xlfn.XLOOKUP(J119,Collection!A:A,Collection!J:J,0),_xlfn.XLOOKUP(J119,Sold!A:A,Sold!D:D,0)/100/_xlfn.XLOOKUP(J119,Sold!A:A,Sold!J:J,0))</f>
        <v>1</v>
      </c>
      <c r="U119" s="1">
        <f t="shared" si="16"/>
        <v>1</v>
      </c>
      <c r="V119" s="18">
        <f>COUNTIF(Collection!A:A,J119)+COUNTIF(Sold!A:A,J119)</f>
        <v>1</v>
      </c>
      <c r="W119" t="str">
        <f>IFERROR(_xlfn.TEXTAFTER(_xlfn.XLOOKUP(J119,Collection!A:A,Collection!C:C,),"Cards "),_xlfn.TEXTAFTER(_xlfn.XLOOKUP(J119,Sold!A:A,Sold!C:C,),"Cards "))</f>
        <v>2025 Topps Finest</v>
      </c>
      <c r="X119" s="18" t="str">
        <f>IFERROR(_xlfn.XLOOKUP(J119,Collection!A:A,Collection!B:B,),_xlfn.XLOOKUP(J119,Sold!A:A,Sold!B:B,))</f>
        <v>Thomas Sorber #15</v>
      </c>
      <c r="Y119" s="53" t="s">
        <v>507</v>
      </c>
    </row>
    <row r="120" spans="2:25" x14ac:dyDescent="0.3">
      <c r="B120" s="10" t="s">
        <v>691</v>
      </c>
      <c r="C120" s="10" t="s">
        <v>1</v>
      </c>
      <c r="D120" s="5">
        <v>46156</v>
      </c>
      <c r="E120" s="6">
        <v>68</v>
      </c>
      <c r="F120" s="4">
        <v>1</v>
      </c>
      <c r="G120" s="4">
        <v>4.3499999999999996</v>
      </c>
      <c r="H120" s="4">
        <v>0.56000000000000005</v>
      </c>
      <c r="I120" s="10" t="s">
        <v>75</v>
      </c>
      <c r="J120" s="10">
        <v>3834726</v>
      </c>
      <c r="K120" s="10">
        <v>272</v>
      </c>
      <c r="L120" s="16" t="s">
        <v>732</v>
      </c>
      <c r="M120" s="53" t="s">
        <v>1419</v>
      </c>
      <c r="N120" t="str">
        <f t="shared" si="10"/>
        <v>whatnot.com/order/atV5mnNpi29X79RWUk3egh
$1.00 + $2.18 (Shared Shipping) + $0.33 Tax = Total of $3.50</v>
      </c>
      <c r="O120" s="2">
        <f t="shared" si="11"/>
        <v>5.91</v>
      </c>
      <c r="P120" s="1">
        <f t="shared" si="17"/>
        <v>2.1749999999999998</v>
      </c>
      <c r="Q120" s="1">
        <f t="shared" si="13"/>
        <v>3.1749999999999998</v>
      </c>
      <c r="R120" s="1">
        <f t="shared" si="14"/>
        <v>0.32543749999999994</v>
      </c>
      <c r="S120" s="1">
        <f t="shared" si="15"/>
        <v>3.5004374999999999</v>
      </c>
      <c r="T120" s="1">
        <f>IFERROR(_xlfn.XLOOKUP(J120,Collection!A:A,Collection!D:D,0)/100/_xlfn.XLOOKUP(J120,Collection!A:A,Collection!J:J,0),_xlfn.XLOOKUP(J120,Sold!A:A,Sold!D:D,0)/100/_xlfn.XLOOKUP(J120,Sold!A:A,Sold!J:J,0))</f>
        <v>1.99</v>
      </c>
      <c r="U120" s="1">
        <f t="shared" si="16"/>
        <v>-1.5104374999999999</v>
      </c>
      <c r="V120" s="18">
        <f>COUNTIF(Collection!A:A,J120)+COUNTIF(Sold!A:A,J120)</f>
        <v>1</v>
      </c>
      <c r="W120" t="str">
        <f>IFERROR(_xlfn.TEXTAFTER(_xlfn.XLOOKUP(J120,Collection!A:A,Collection!C:C,),"Cards "),_xlfn.TEXTAFTER(_xlfn.XLOOKUP(J120,Sold!A:A,Sold!C:C,),"Cards "))</f>
        <v>2020 Panini Donruss Optic My House</v>
      </c>
      <c r="X120" s="18" t="str">
        <f>IFERROR(_xlfn.XLOOKUP(J120,Collection!A:A,Collection!B:B,),_xlfn.XLOOKUP(J120,Sold!A:A,Sold!B:B,))</f>
        <v>Kyrie Irving [Holo] #8</v>
      </c>
      <c r="Y120" s="53" t="s">
        <v>507</v>
      </c>
    </row>
    <row r="121" spans="2:25" x14ac:dyDescent="0.3">
      <c r="B121" s="10" t="s">
        <v>691</v>
      </c>
      <c r="C121" s="10" t="s">
        <v>1</v>
      </c>
      <c r="D121" s="5">
        <v>46156</v>
      </c>
      <c r="E121" s="6">
        <v>82</v>
      </c>
      <c r="F121" s="4">
        <v>1</v>
      </c>
      <c r="G121" s="4">
        <v>0</v>
      </c>
      <c r="H121" s="4">
        <v>0.11</v>
      </c>
      <c r="I121" s="10" t="s">
        <v>468</v>
      </c>
      <c r="J121" s="10">
        <v>4110760</v>
      </c>
      <c r="K121" s="10">
        <v>247</v>
      </c>
      <c r="L121" s="16" t="s">
        <v>734</v>
      </c>
      <c r="M121" s="53" t="s">
        <v>1420</v>
      </c>
      <c r="N121" t="str">
        <f t="shared" si="10"/>
        <v>whatnot.com/order/ERNzPGDtKT3NBd3m26uHUb
$1.00 + $2.18 (Shared Shipping) + $0.33 Tax = Total of $3.50</v>
      </c>
      <c r="O121" s="2">
        <f t="shared" si="11"/>
        <v>1.1100000000000001</v>
      </c>
      <c r="P121" s="1">
        <f t="shared" si="17"/>
        <v>2.1749999999999998</v>
      </c>
      <c r="Q121" s="1">
        <f t="shared" si="13"/>
        <v>3.1749999999999998</v>
      </c>
      <c r="R121" s="1">
        <f t="shared" si="14"/>
        <v>0.32543749999999994</v>
      </c>
      <c r="S121" s="1">
        <f t="shared" si="15"/>
        <v>3.5004374999999999</v>
      </c>
      <c r="T121" s="1">
        <f>IFERROR(_xlfn.XLOOKUP(J121,Collection!A:A,Collection!D:D,0)/100/_xlfn.XLOOKUP(J121,Collection!A:A,Collection!J:J,0),_xlfn.XLOOKUP(J121,Sold!A:A,Sold!D:D,0)/100/_xlfn.XLOOKUP(J121,Sold!A:A,Sold!J:J,0))</f>
        <v>2.08</v>
      </c>
      <c r="U121" s="1">
        <f t="shared" si="16"/>
        <v>-1.4204374999999998</v>
      </c>
      <c r="V121" s="18">
        <f>COUNTIF(Collection!A:A,J121)+COUNTIF(Sold!A:A,J121)</f>
        <v>1</v>
      </c>
      <c r="W121" t="str">
        <f>IFERROR(_xlfn.TEXTAFTER(_xlfn.XLOOKUP(J121,Collection!A:A,Collection!C:C,),"Cards "),_xlfn.TEXTAFTER(_xlfn.XLOOKUP(J121,Sold!A:A,Sold!C:C,),"Cards "))</f>
        <v>2021 Panini Donruss Optic</v>
      </c>
      <c r="X121" s="18" t="str">
        <f>IFERROR(_xlfn.XLOOKUP(J121,Collection!A:A,Collection!B:B,),_xlfn.XLOOKUP(J121,Sold!A:A,Sold!B:B,))</f>
        <v>Shai Gilgeous Alexander [Holo] #147</v>
      </c>
      <c r="Y121" s="53" t="s">
        <v>736</v>
      </c>
    </row>
    <row r="122" spans="2:25" x14ac:dyDescent="0.3">
      <c r="B122" s="10" t="s">
        <v>691</v>
      </c>
      <c r="C122" s="10" t="s">
        <v>32</v>
      </c>
      <c r="D122" s="5">
        <v>46156</v>
      </c>
      <c r="E122" s="6">
        <v>23</v>
      </c>
      <c r="F122" s="4">
        <v>0</v>
      </c>
      <c r="G122" s="4">
        <v>0</v>
      </c>
      <c r="H122" s="4">
        <v>0</v>
      </c>
      <c r="I122" s="10" t="s">
        <v>1051</v>
      </c>
      <c r="J122" s="10" t="s">
        <v>1045</v>
      </c>
      <c r="K122" s="10" t="s">
        <v>1830</v>
      </c>
      <c r="L122" s="16" t="s">
        <v>733</v>
      </c>
      <c r="M122" s="53" t="s">
        <v>1421</v>
      </c>
      <c r="N122" t="str">
        <f t="shared" si="10"/>
        <v>whatnot.com/order/247xYh6aYVcwWApNwxFJY9
$0.00 + $0.00 (Shared Shipping) + $0.00 Tax = Total of $0.00</v>
      </c>
      <c r="O122" s="2">
        <f t="shared" si="11"/>
        <v>0</v>
      </c>
      <c r="P122" s="1">
        <f t="shared" si="17"/>
        <v>0</v>
      </c>
      <c r="Q122" s="1">
        <f t="shared" si="13"/>
        <v>0</v>
      </c>
      <c r="R122" s="1">
        <f t="shared" si="14"/>
        <v>0</v>
      </c>
      <c r="S122" s="1">
        <f t="shared" si="15"/>
        <v>0</v>
      </c>
      <c r="T122" s="1" t="e">
        <f>IFERROR(_xlfn.XLOOKUP(J122,Collection!A:A,Collection!D:D,0)/100/_xlfn.XLOOKUP(J122,Collection!A:A,Collection!J:J,0),_xlfn.XLOOKUP(J122,Sold!A:A,Sold!D:D,0)/100/_xlfn.XLOOKUP(J122,Sold!A:A,Sold!J:J,0))</f>
        <v>#DIV/0!</v>
      </c>
      <c r="U122" s="1">
        <f t="shared" si="16"/>
        <v>0</v>
      </c>
      <c r="V122" s="18">
        <f>COUNTIF(Collection!A:A,J122)+COUNTIF(Sold!A:A,J122)</f>
        <v>0</v>
      </c>
      <c r="W122" t="e">
        <f>IFERROR(_xlfn.TEXTAFTER(_xlfn.XLOOKUP(J122,Collection!A:A,Collection!C:C,),"Cards "),_xlfn.TEXTAFTER(_xlfn.XLOOKUP(J122,Sold!A:A,Sold!C:C,),"Cards "))</f>
        <v>#N/A</v>
      </c>
      <c r="X122" s="18" t="e">
        <f>IFERROR(_xlfn.XLOOKUP(J122,Collection!A:A,Collection!B:B,),_xlfn.XLOOKUP(J122,Sold!A:A,Sold!B:B,))</f>
        <v>#N/A</v>
      </c>
      <c r="Y122" s="53" t="s">
        <v>507</v>
      </c>
    </row>
    <row r="123" spans="2:25" x14ac:dyDescent="0.3">
      <c r="B123" s="10" t="s">
        <v>691</v>
      </c>
      <c r="C123" s="10" t="s">
        <v>739</v>
      </c>
      <c r="D123" s="5">
        <v>46157</v>
      </c>
      <c r="E123" s="6">
        <v>43</v>
      </c>
      <c r="F123" s="4">
        <v>1</v>
      </c>
      <c r="G123" s="4">
        <v>0.78</v>
      </c>
      <c r="H123" s="4">
        <v>0.19</v>
      </c>
      <c r="I123" s="10" t="s">
        <v>511</v>
      </c>
      <c r="J123" s="10">
        <v>11909420</v>
      </c>
      <c r="K123" s="10">
        <v>275</v>
      </c>
      <c r="L123" s="16" t="s">
        <v>744</v>
      </c>
      <c r="M123" s="53" t="s">
        <v>1422</v>
      </c>
      <c r="N123" t="str">
        <f t="shared" si="10"/>
        <v>whatnot.com/order/mnN4d6f44iDgHmgaGRqhz9
$1.00 + $0.35 (Shared Shipping) + $0.14 Tax = Total of $1.48</v>
      </c>
      <c r="O123" s="2">
        <f t="shared" si="11"/>
        <v>1.97</v>
      </c>
      <c r="P123" s="1">
        <f t="shared" si="17"/>
        <v>0.3453846153846154</v>
      </c>
      <c r="Q123" s="1">
        <f t="shared" si="13"/>
        <v>1.3453846153846154</v>
      </c>
      <c r="R123" s="1">
        <f t="shared" si="14"/>
        <v>0.13790192307692306</v>
      </c>
      <c r="S123" s="1">
        <f t="shared" si="15"/>
        <v>1.4832865384615386</v>
      </c>
      <c r="T123" s="1">
        <f>IFERROR(_xlfn.XLOOKUP(J123,Collection!A:A,Collection!D:D,0)/100/_xlfn.XLOOKUP(J123,Collection!A:A,Collection!J:J,0),_xlfn.XLOOKUP(J123,Sold!A:A,Sold!D:D,0)/100/_xlfn.XLOOKUP(J123,Sold!A:A,Sold!J:J,0))</f>
        <v>1.99</v>
      </c>
      <c r="U123" s="1">
        <f t="shared" si="16"/>
        <v>0.50671346153846142</v>
      </c>
      <c r="V123" s="18">
        <f>COUNTIF(Collection!A:A,J123)+COUNTIF(Sold!A:A,J123)</f>
        <v>1</v>
      </c>
      <c r="W123" t="str">
        <f>IFERROR(_xlfn.TEXTAFTER(_xlfn.XLOOKUP(J123,Collection!A:A,Collection!C:C,),"Cards "),_xlfn.TEXTAFTER(_xlfn.XLOOKUP(J123,Sold!A:A,Sold!C:C,),"Cards "))</f>
        <v>2025 Topps Match Attax In Motion</v>
      </c>
      <c r="X123" s="18" t="str">
        <f>IFERROR(_xlfn.XLOOKUP(J123,Collection!A:A,Collection!B:B,),_xlfn.XLOOKUP(J123,Sold!A:A,Sold!B:B,))</f>
        <v>Ja Morant #KI-JM</v>
      </c>
      <c r="Y123" s="53" t="s">
        <v>507</v>
      </c>
    </row>
    <row r="124" spans="2:25" x14ac:dyDescent="0.3">
      <c r="B124" s="10" t="s">
        <v>691</v>
      </c>
      <c r="C124" s="10" t="s">
        <v>739</v>
      </c>
      <c r="D124" s="5">
        <v>46157</v>
      </c>
      <c r="E124" s="6" t="s">
        <v>764</v>
      </c>
      <c r="F124" s="4">
        <v>0</v>
      </c>
      <c r="G124" s="4">
        <v>0</v>
      </c>
      <c r="H124" s="4">
        <v>0</v>
      </c>
      <c r="I124" s="10" t="s">
        <v>765</v>
      </c>
      <c r="J124" s="10">
        <v>11830171</v>
      </c>
      <c r="K124" s="10">
        <v>404</v>
      </c>
      <c r="L124" s="16" t="s">
        <v>767</v>
      </c>
      <c r="M124" s="53" t="s">
        <v>1423</v>
      </c>
      <c r="N124" t="str">
        <f t="shared" si="10"/>
        <v>whatnot.com/order/am68o5TGkfds6VHNQLbuH7
$0.00 + $0.35 (Shared Shipping) + $0.00 Tax = Total of $0.35</v>
      </c>
      <c r="O124" s="2">
        <f t="shared" si="11"/>
        <v>0</v>
      </c>
      <c r="P124" s="1">
        <f t="shared" si="17"/>
        <v>0.3453846153846154</v>
      </c>
      <c r="Q124" s="1">
        <f t="shared" si="13"/>
        <v>0.3453846153846154</v>
      </c>
      <c r="R124" s="1">
        <f t="shared" si="14"/>
        <v>0</v>
      </c>
      <c r="S124" s="1">
        <f t="shared" si="15"/>
        <v>0.3453846153846154</v>
      </c>
      <c r="T124" s="1">
        <f>IFERROR(_xlfn.XLOOKUP(J124,Collection!A:A,Collection!D:D,0)/100/_xlfn.XLOOKUP(J124,Collection!A:A,Collection!J:J,0),_xlfn.XLOOKUP(J124,Sold!A:A,Sold!D:D,0)/100/_xlfn.XLOOKUP(J124,Sold!A:A,Sold!J:J,0))</f>
        <v>1.99</v>
      </c>
      <c r="U124" s="1">
        <f t="shared" si="16"/>
        <v>1.6446153846153846</v>
      </c>
      <c r="V124" s="18">
        <f>COUNTIF(Collection!A:A,J124)+COUNTIF(Sold!A:A,J124)</f>
        <v>1</v>
      </c>
      <c r="W124" t="str">
        <f>IFERROR(_xlfn.TEXTAFTER(_xlfn.XLOOKUP(J124,Collection!A:A,Collection!C:C,),"Cards "),_xlfn.TEXTAFTER(_xlfn.XLOOKUP(J124,Sold!A:A,Sold!C:C,),"Cards "))</f>
        <v>2025 Topps Match Attax 100 Club</v>
      </c>
      <c r="X124" s="18" t="str">
        <f>IFERROR(_xlfn.XLOOKUP(J124,Collection!A:A,Collection!B:B,),_xlfn.XLOOKUP(J124,Sold!A:A,Sold!B:B,))</f>
        <v>Kyrie Irving #100C-KI</v>
      </c>
      <c r="Y124" s="53" t="s">
        <v>507</v>
      </c>
    </row>
    <row r="125" spans="2:25" x14ac:dyDescent="0.3">
      <c r="B125" s="10" t="s">
        <v>691</v>
      </c>
      <c r="C125" s="10" t="s">
        <v>739</v>
      </c>
      <c r="D125" s="5">
        <v>46157</v>
      </c>
      <c r="E125" s="6">
        <v>45</v>
      </c>
      <c r="F125" s="4">
        <v>1</v>
      </c>
      <c r="G125" s="4">
        <v>0</v>
      </c>
      <c r="H125" s="4">
        <v>0.11</v>
      </c>
      <c r="I125" s="10" t="s">
        <v>708</v>
      </c>
      <c r="J125" s="10">
        <v>120468</v>
      </c>
      <c r="K125" s="10">
        <v>130</v>
      </c>
      <c r="L125" s="16" t="s">
        <v>768</v>
      </c>
      <c r="M125" s="53" t="s">
        <v>1424</v>
      </c>
      <c r="N125" t="str">
        <f t="shared" si="10"/>
        <v>whatnot.com/order/jsA2rRdn9VNgmytpu33ezw
$1.00 + $0.35 (Shared Shipping) + $0.14 Tax = Total of $1.48</v>
      </c>
      <c r="O125" s="2">
        <f t="shared" si="11"/>
        <v>1.1100000000000001</v>
      </c>
      <c r="P125" s="1">
        <f t="shared" si="17"/>
        <v>0.3453846153846154</v>
      </c>
      <c r="Q125" s="1">
        <f t="shared" si="13"/>
        <v>1.3453846153846154</v>
      </c>
      <c r="R125" s="1">
        <f t="shared" si="14"/>
        <v>0.13790192307692306</v>
      </c>
      <c r="S125" s="1">
        <f t="shared" si="15"/>
        <v>1.4832865384615386</v>
      </c>
      <c r="T125" s="1">
        <f>IFERROR(_xlfn.XLOOKUP(J125,Collection!A:A,Collection!D:D,0)/100/_xlfn.XLOOKUP(J125,Collection!A:A,Collection!J:J,0),_xlfn.XLOOKUP(J125,Sold!A:A,Sold!D:D,0)/100/_xlfn.XLOOKUP(J125,Sold!A:A,Sold!J:J,0))</f>
        <v>3.97</v>
      </c>
      <c r="U125" s="1">
        <f t="shared" si="16"/>
        <v>2.4867134615384616</v>
      </c>
      <c r="V125" s="18">
        <f>COUNTIF(Collection!A:A,J125)+COUNTIF(Sold!A:A,J125)</f>
        <v>1</v>
      </c>
      <c r="W125" t="str">
        <f>IFERROR(_xlfn.TEXTAFTER(_xlfn.XLOOKUP(J125,Collection!A:A,Collection!C:C,),"Cards "),_xlfn.TEXTAFTER(_xlfn.XLOOKUP(J125,Sold!A:A,Sold!C:C,),"Cards "))</f>
        <v>2017 Panini Donruss Optic</v>
      </c>
      <c r="X125" s="18" t="str">
        <f>IFERROR(_xlfn.XLOOKUP(J125,Collection!A:A,Collection!B:B,),_xlfn.XLOOKUP(J125,Sold!A:A,Sold!B:B,))</f>
        <v>Donovan Mitchell #188</v>
      </c>
      <c r="Y125" s="53" t="s">
        <v>507</v>
      </c>
    </row>
    <row r="126" spans="2:25" x14ac:dyDescent="0.3">
      <c r="B126" s="10" t="s">
        <v>691</v>
      </c>
      <c r="C126" s="10" t="s">
        <v>739</v>
      </c>
      <c r="D126" s="5">
        <v>46157</v>
      </c>
      <c r="E126" s="6">
        <v>46</v>
      </c>
      <c r="F126" s="4">
        <v>1</v>
      </c>
      <c r="G126" s="4">
        <v>0.3</v>
      </c>
      <c r="H126" s="4">
        <v>0.15</v>
      </c>
      <c r="I126" s="10" t="s">
        <v>468</v>
      </c>
      <c r="J126" s="10">
        <v>11909462</v>
      </c>
      <c r="K126" s="10">
        <v>58</v>
      </c>
      <c r="L126" s="16" t="s">
        <v>769</v>
      </c>
      <c r="M126" s="53" t="s">
        <v>1425</v>
      </c>
      <c r="N126" t="str">
        <f t="shared" si="10"/>
        <v>whatnot.com/order/XsHDMZLVpnSHsbkfHPdiii
$1.00 + $0.35 (Shared Shipping) + $0.14 Tax = Total of $1.48</v>
      </c>
      <c r="O126" s="2">
        <f t="shared" si="11"/>
        <v>1.45</v>
      </c>
      <c r="P126" s="1">
        <f t="shared" si="17"/>
        <v>0.3453846153846154</v>
      </c>
      <c r="Q126" s="1">
        <f t="shared" si="13"/>
        <v>1.3453846153846154</v>
      </c>
      <c r="R126" s="1">
        <f t="shared" si="14"/>
        <v>0.13790192307692306</v>
      </c>
      <c r="S126" s="1">
        <f t="shared" si="15"/>
        <v>1.4832865384615386</v>
      </c>
      <c r="T126" s="1">
        <f>IFERROR(_xlfn.XLOOKUP(J126,Collection!A:A,Collection!D:D,0)/100/_xlfn.XLOOKUP(J126,Collection!A:A,Collection!J:J,0),_xlfn.XLOOKUP(J126,Sold!A:A,Sold!D:D,0)/100/_xlfn.XLOOKUP(J126,Sold!A:A,Sold!J:J,0))</f>
        <v>2.0099999999999998</v>
      </c>
      <c r="U126" s="1">
        <f t="shared" si="16"/>
        <v>0.52671346153846121</v>
      </c>
      <c r="V126" s="18">
        <f>COUNTIF(Collection!A:A,J126)+COUNTIF(Sold!A:A,J126)</f>
        <v>3</v>
      </c>
      <c r="W126" t="str">
        <f>IFERROR(_xlfn.TEXTAFTER(_xlfn.XLOOKUP(J126,Collection!A:A,Collection!C:C,),"Cards "),_xlfn.TEXTAFTER(_xlfn.XLOOKUP(J126,Sold!A:A,Sold!C:C,),"Cards "))</f>
        <v>2025 Topps Match Attax Scoring Hero</v>
      </c>
      <c r="X126" s="18" t="str">
        <f>IFERROR(_xlfn.XLOOKUP(J126,Collection!A:A,Collection!B:B,),_xlfn.XLOOKUP(J126,Sold!A:A,Sold!B:B,))</f>
        <v>Shai Gilgeous-Alexander #SH-SG</v>
      </c>
      <c r="Y126" s="53" t="s">
        <v>507</v>
      </c>
    </row>
    <row r="127" spans="2:25" x14ac:dyDescent="0.3">
      <c r="B127" s="10" t="s">
        <v>1044</v>
      </c>
      <c r="C127" s="10" t="s">
        <v>739</v>
      </c>
      <c r="D127" s="5">
        <v>46157</v>
      </c>
      <c r="E127" s="6">
        <v>47</v>
      </c>
      <c r="F127" s="4">
        <v>1</v>
      </c>
      <c r="G127" s="4">
        <v>0</v>
      </c>
      <c r="H127" s="4">
        <v>0.11</v>
      </c>
      <c r="I127" s="10" t="s">
        <v>775</v>
      </c>
      <c r="J127" s="10">
        <v>12950314</v>
      </c>
      <c r="K127" s="10">
        <v>339</v>
      </c>
      <c r="L127" s="16" t="s">
        <v>770</v>
      </c>
      <c r="M127" s="53" t="s">
        <v>1426</v>
      </c>
      <c r="N127" t="str">
        <f t="shared" si="10"/>
        <v>whatnot.com/order/95MtnSosyaYoiaS3Fs9P9f
$1.00 + $0.35 (Shared Shipping) + $0.14 Tax = Total of $1.48</v>
      </c>
      <c r="O127" s="2">
        <f t="shared" si="11"/>
        <v>1.1100000000000001</v>
      </c>
      <c r="P127" s="1">
        <f t="shared" si="17"/>
        <v>0.3453846153846154</v>
      </c>
      <c r="Q127" s="1">
        <f t="shared" si="13"/>
        <v>1.3453846153846154</v>
      </c>
      <c r="R127" s="1">
        <f t="shared" si="14"/>
        <v>0.13790192307692306</v>
      </c>
      <c r="S127" s="1">
        <f t="shared" si="15"/>
        <v>1.4832865384615386</v>
      </c>
      <c r="T127" s="1">
        <f>IFERROR(_xlfn.XLOOKUP(J127,Collection!A:A,Collection!D:D,0)/100/_xlfn.XLOOKUP(J127,Collection!A:A,Collection!J:J,0),_xlfn.XLOOKUP(J127,Sold!A:A,Sold!D:D,0)/100/_xlfn.XLOOKUP(J127,Sold!A:A,Sold!J:J,0))</f>
        <v>1.41</v>
      </c>
      <c r="U127" s="1">
        <f t="shared" si="16"/>
        <v>-7.3286538461538653E-2</v>
      </c>
      <c r="V127" s="18">
        <f>COUNTIF(Collection!A:A,J127)+COUNTIF(Sold!A:A,J127)</f>
        <v>1</v>
      </c>
      <c r="W127" t="str">
        <f>IFERROR(_xlfn.TEXTAFTER(_xlfn.XLOOKUP(J127,Collection!A:A,Collection!C:C,),"Cards "),_xlfn.TEXTAFTER(_xlfn.XLOOKUP(J127,Sold!A:A,Sold!C:C,),"Cards "))</f>
        <v>2025 Topps NBA Hoops</v>
      </c>
      <c r="X127" s="18" t="str">
        <f>IFERROR(_xlfn.XLOOKUP(J127,Collection!A:A,Collection!B:B,),_xlfn.XLOOKUP(J127,Sold!A:A,Sold!B:B,))</f>
        <v>Stephon Castle #47</v>
      </c>
      <c r="Y127" s="53" t="s">
        <v>507</v>
      </c>
    </row>
    <row r="128" spans="2:25" x14ac:dyDescent="0.3">
      <c r="B128" s="10" t="s">
        <v>691</v>
      </c>
      <c r="C128" s="10" t="s">
        <v>739</v>
      </c>
      <c r="D128" s="5">
        <v>46157</v>
      </c>
      <c r="E128" s="6">
        <v>51</v>
      </c>
      <c r="F128" s="4">
        <v>1</v>
      </c>
      <c r="G128" s="4">
        <v>2.96</v>
      </c>
      <c r="H128" s="4">
        <v>0.41</v>
      </c>
      <c r="I128" s="10" t="s">
        <v>524</v>
      </c>
      <c r="J128" s="10">
        <v>11484094</v>
      </c>
      <c r="K128" s="10">
        <v>475</v>
      </c>
      <c r="L128" s="16" t="s">
        <v>771</v>
      </c>
      <c r="M128" s="53" t="s">
        <v>1427</v>
      </c>
      <c r="N128" t="str">
        <f t="shared" si="10"/>
        <v>whatnot.com/order/Gposmhs3UPw2tTSYYRaxZp
$1.00 + $0.35 (Shared Shipping) + $0.14 Tax = Total of $1.48</v>
      </c>
      <c r="O128" s="2">
        <f t="shared" si="11"/>
        <v>4.37</v>
      </c>
      <c r="P128" s="1">
        <f t="shared" si="17"/>
        <v>0.3453846153846154</v>
      </c>
      <c r="Q128" s="1">
        <f t="shared" si="13"/>
        <v>1.3453846153846154</v>
      </c>
      <c r="R128" s="1">
        <f t="shared" si="14"/>
        <v>0.13790192307692306</v>
      </c>
      <c r="S128" s="1">
        <f t="shared" si="15"/>
        <v>1.4832865384615386</v>
      </c>
      <c r="T128" s="1">
        <f>IFERROR(_xlfn.XLOOKUP(J128,Collection!A:A,Collection!D:D,0)/100/_xlfn.XLOOKUP(J128,Collection!A:A,Collection!J:J,0),_xlfn.XLOOKUP(J128,Sold!A:A,Sold!D:D,0)/100/_xlfn.XLOOKUP(J128,Sold!A:A,Sold!J:J,0))</f>
        <v>1.5</v>
      </c>
      <c r="U128" s="1">
        <f t="shared" si="16"/>
        <v>1.6713461538461427E-2</v>
      </c>
      <c r="V128" s="18">
        <f>COUNTIF(Collection!A:A,J128)+COUNTIF(Sold!A:A,J128)</f>
        <v>2</v>
      </c>
      <c r="W128" t="str">
        <f>IFERROR(_xlfn.TEXTAFTER(_xlfn.XLOOKUP(J128,Collection!A:A,Collection!C:C,),"Cards "),_xlfn.TEXTAFTER(_xlfn.XLOOKUP(J128,Sold!A:A,Sold!C:C,),"Cards "))</f>
        <v>2025 Topps Chrome</v>
      </c>
      <c r="X128" s="18" t="str">
        <f>IFERROR(_xlfn.XLOOKUP(J128,Collection!A:A,Collection!B:B,),_xlfn.XLOOKUP(J128,Sold!A:A,Sold!B:B,))</f>
        <v>Dirk Nowitzki [Refractor] #246</v>
      </c>
      <c r="Y128" s="53" t="s">
        <v>507</v>
      </c>
    </row>
    <row r="129" spans="2:25" x14ac:dyDescent="0.3">
      <c r="B129" s="10" t="s">
        <v>691</v>
      </c>
      <c r="C129" s="10" t="s">
        <v>739</v>
      </c>
      <c r="D129" s="5">
        <v>46157</v>
      </c>
      <c r="E129" s="6">
        <v>9</v>
      </c>
      <c r="F129" s="4">
        <v>8</v>
      </c>
      <c r="G129" s="4">
        <v>0.45</v>
      </c>
      <c r="H129" s="4">
        <v>0.87</v>
      </c>
      <c r="I129" s="10" t="s">
        <v>510</v>
      </c>
      <c r="J129" s="10">
        <v>11830197</v>
      </c>
      <c r="K129" s="10">
        <v>67</v>
      </c>
      <c r="L129" s="16" t="s">
        <v>772</v>
      </c>
      <c r="M129" s="53" t="s">
        <v>1428</v>
      </c>
      <c r="N129" t="str">
        <f t="shared" si="10"/>
        <v>whatnot.com/order/UWospfHLJBJCwjKMbMJrJc
$8.00 + $0.35 (Shared Shipping) + $0.86 Tax = Total of $9.20</v>
      </c>
      <c r="O129" s="2">
        <f t="shared" si="11"/>
        <v>9.3199999999999985</v>
      </c>
      <c r="P129" s="1">
        <f t="shared" si="17"/>
        <v>0.3453846153846154</v>
      </c>
      <c r="Q129" s="1">
        <f t="shared" si="13"/>
        <v>8.3453846153846154</v>
      </c>
      <c r="R129" s="1">
        <f t="shared" si="14"/>
        <v>0.85540192307692298</v>
      </c>
      <c r="S129" s="1">
        <f t="shared" si="15"/>
        <v>9.2007865384615393</v>
      </c>
      <c r="T129" s="1">
        <f>IFERROR(_xlfn.XLOOKUP(J129,Collection!A:A,Collection!D:D,0)/100/_xlfn.XLOOKUP(J129,Collection!A:A,Collection!J:J,0),_xlfn.XLOOKUP(J129,Sold!A:A,Sold!D:D,0)/100/_xlfn.XLOOKUP(J129,Sold!A:A,Sold!J:J,0))</f>
        <v>10.99</v>
      </c>
      <c r="U129" s="1">
        <f t="shared" si="16"/>
        <v>1.7892134615384609</v>
      </c>
      <c r="V129" s="18">
        <f>COUNTIF(Collection!A:A,J129)+COUNTIF(Sold!A:A,J129)</f>
        <v>2</v>
      </c>
      <c r="W129" t="str">
        <f>IFERROR(_xlfn.TEXTAFTER(_xlfn.XLOOKUP(J129,Collection!A:A,Collection!C:C,),"Cards "),_xlfn.TEXTAFTER(_xlfn.XLOOKUP(J129,Sold!A:A,Sold!C:C,),"Cards "))</f>
        <v>2025 Topps Match Attax Breakthrough Baller</v>
      </c>
      <c r="X129" s="18" t="str">
        <f>IFERROR(_xlfn.XLOOKUP(J129,Collection!A:A,Collection!B:B,),_xlfn.XLOOKUP(J129,Sold!A:A,Sold!B:B,))</f>
        <v>Cooper Flagg #BB-CF</v>
      </c>
      <c r="Y129" s="53" t="s">
        <v>507</v>
      </c>
    </row>
    <row r="130" spans="2:25" x14ac:dyDescent="0.3">
      <c r="B130" s="10" t="s">
        <v>691</v>
      </c>
      <c r="C130" s="10" t="s">
        <v>739</v>
      </c>
      <c r="D130" s="5">
        <v>46157</v>
      </c>
      <c r="E130" s="6">
        <v>8</v>
      </c>
      <c r="F130" s="4">
        <v>5</v>
      </c>
      <c r="G130" s="4">
        <v>0</v>
      </c>
      <c r="H130" s="4">
        <v>0.52</v>
      </c>
      <c r="I130" s="10" t="s">
        <v>512</v>
      </c>
      <c r="J130" s="10">
        <v>11909426</v>
      </c>
      <c r="K130" s="10">
        <v>30</v>
      </c>
      <c r="L130" s="16" t="s">
        <v>773</v>
      </c>
      <c r="M130" s="53" t="s">
        <v>1429</v>
      </c>
      <c r="N130" t="str">
        <f t="shared" si="10"/>
        <v>whatnot.com/order/YizRVYJABNSdo22iZwgKNb
$5.00 + $0.35 (Shared Shipping) + $0.55 Tax = Total of $5.89</v>
      </c>
      <c r="O130" s="2">
        <f t="shared" si="11"/>
        <v>5.52</v>
      </c>
      <c r="P130" s="1">
        <f t="shared" si="17"/>
        <v>0.3453846153846154</v>
      </c>
      <c r="Q130" s="1">
        <f t="shared" si="13"/>
        <v>5.3453846153846154</v>
      </c>
      <c r="R130" s="1">
        <f t="shared" si="14"/>
        <v>0.54790192307692309</v>
      </c>
      <c r="S130" s="1">
        <f t="shared" si="15"/>
        <v>5.8932865384615383</v>
      </c>
      <c r="T130" s="1">
        <f>IFERROR(_xlfn.XLOOKUP(J130,Collection!A:A,Collection!D:D,0)/100/_xlfn.XLOOKUP(J130,Collection!A:A,Collection!J:J,0),_xlfn.XLOOKUP(J130,Sold!A:A,Sold!D:D,0)/100/_xlfn.XLOOKUP(J130,Sold!A:A,Sold!J:J,0))</f>
        <v>10.97</v>
      </c>
      <c r="U130" s="1">
        <f t="shared" si="16"/>
        <v>5.0767134615384624</v>
      </c>
      <c r="V130" s="18">
        <f>COUNTIF(Collection!A:A,J130)+COUNTIF(Sold!A:A,J130)</f>
        <v>1</v>
      </c>
      <c r="W130" t="str">
        <f>IFERROR(_xlfn.TEXTAFTER(_xlfn.XLOOKUP(J130,Collection!A:A,Collection!C:C,),"Cards "),_xlfn.TEXTAFTER(_xlfn.XLOOKUP(J130,Sold!A:A,Sold!C:C,),"Cards "))</f>
        <v>2025 Topps Match Attax In Motion</v>
      </c>
      <c r="X130" s="18" t="str">
        <f>IFERROR(_xlfn.XLOOKUP(J130,Collection!A:A,Collection!B:B,),_xlfn.XLOOKUP(J130,Sold!A:A,Sold!B:B,))</f>
        <v>Victor Wembanyama #KI-VW</v>
      </c>
      <c r="Y130" s="53" t="s">
        <v>507</v>
      </c>
    </row>
    <row r="131" spans="2:25" x14ac:dyDescent="0.3">
      <c r="B131" s="10" t="s">
        <v>691</v>
      </c>
      <c r="C131" s="10" t="s">
        <v>739</v>
      </c>
      <c r="D131" s="5">
        <v>46157</v>
      </c>
      <c r="E131" s="6">
        <v>57</v>
      </c>
      <c r="F131" s="4">
        <v>1</v>
      </c>
      <c r="G131" s="4">
        <v>0</v>
      </c>
      <c r="H131" s="4">
        <v>0.11</v>
      </c>
      <c r="I131" s="10" t="s">
        <v>776</v>
      </c>
      <c r="J131" s="10">
        <v>12952668</v>
      </c>
      <c r="K131" s="10">
        <v>610</v>
      </c>
      <c r="L131" s="16" t="s">
        <v>774</v>
      </c>
      <c r="M131" s="53" t="s">
        <v>1430</v>
      </c>
      <c r="N131" t="str">
        <f t="shared" si="10"/>
        <v>whatnot.com/order/A7skqPgdXNgH85B2zYMLjL
$1.00 + $0.35 (Shared Shipping) + $0.14 Tax = Total of $1.48</v>
      </c>
      <c r="O131" s="2">
        <f t="shared" si="11"/>
        <v>1.1100000000000001</v>
      </c>
      <c r="P131" s="1">
        <f t="shared" si="17"/>
        <v>0.3453846153846154</v>
      </c>
      <c r="Q131" s="1">
        <f t="shared" si="13"/>
        <v>1.3453846153846154</v>
      </c>
      <c r="R131" s="1">
        <f t="shared" si="14"/>
        <v>0.13790192307692306</v>
      </c>
      <c r="S131" s="1">
        <f t="shared" si="15"/>
        <v>1.4832865384615386</v>
      </c>
      <c r="T131" s="1">
        <f>IFERROR(_xlfn.XLOOKUP(J131,Collection!A:A,Collection!D:D,0)/100/_xlfn.XLOOKUP(J131,Collection!A:A,Collection!J:J,0),_xlfn.XLOOKUP(J131,Sold!A:A,Sold!D:D,0)/100/_xlfn.XLOOKUP(J131,Sold!A:A,Sold!J:J,0))</f>
        <v>0</v>
      </c>
      <c r="U131" s="1">
        <f t="shared" si="16"/>
        <v>-1.4832865384615386</v>
      </c>
      <c r="V131" s="18">
        <f>COUNTIF(Collection!A:A,J131)+COUNTIF(Sold!A:A,J131)</f>
        <v>1</v>
      </c>
      <c r="W131" t="str">
        <f>IFERROR(_xlfn.TEXTAFTER(_xlfn.XLOOKUP(J131,Collection!A:A,Collection!C:C,),"Cards "),_xlfn.TEXTAFTER(_xlfn.XLOOKUP(J131,Sold!A:A,Sold!C:C,),"Cards "))</f>
        <v>2025 Topps NBA Hoops</v>
      </c>
      <c r="X131" s="18" t="str">
        <f>IFERROR(_xlfn.XLOOKUP(J131,Collection!A:A,Collection!B:B,),_xlfn.XLOOKUP(J131,Sold!A:A,Sold!B:B,))</f>
        <v>Draymond Green [Rainbow Red Orange] #120</v>
      </c>
      <c r="Y131" s="53" t="s">
        <v>507</v>
      </c>
    </row>
    <row r="132" spans="2:25" x14ac:dyDescent="0.3">
      <c r="B132" s="10" t="s">
        <v>691</v>
      </c>
      <c r="C132" s="10" t="s">
        <v>739</v>
      </c>
      <c r="D132" s="5">
        <v>46157</v>
      </c>
      <c r="E132" s="6">
        <v>61</v>
      </c>
      <c r="F132" s="4">
        <v>3</v>
      </c>
      <c r="G132" s="4">
        <v>0</v>
      </c>
      <c r="H132" s="4">
        <v>0.31</v>
      </c>
      <c r="I132" s="10" t="s">
        <v>468</v>
      </c>
      <c r="J132" s="10">
        <v>11830175</v>
      </c>
      <c r="K132" s="10">
        <v>191</v>
      </c>
      <c r="L132" s="16" t="s">
        <v>740</v>
      </c>
      <c r="M132" s="53" t="s">
        <v>1431</v>
      </c>
      <c r="N132" t="str">
        <f t="shared" ref="N132:N195" si="18">IFERROR(_xlfn.TEXTAFTER(L132,"https://www."),"")&amp;CHAR(10)&amp;_xlfn.CONCAT(TEXT(F132,"$0.00")," + ",TEXT(P132,"$0.00")," (Shared Shipping) + ",TEXT(R132,"$0.00")," Tax = Total of ",TEXT(S132,"$0.00"))</f>
        <v>whatnot.com/order/Gzx3x3hroNb5oYG2Go9M4M
$3.00 + $0.35 (Shared Shipping) + $0.34 Tax = Total of $3.69</v>
      </c>
      <c r="O132" s="2">
        <f t="shared" ref="O132:O195" si="19">SUM(F132:H132)</f>
        <v>3.31</v>
      </c>
      <c r="P132" s="1">
        <f t="shared" ref="P132:P164" si="20">SUMIFS(G:G,C:C,C132,D:D,D132)/COUNTIFS(C:C,C132,D:D,D132)</f>
        <v>0.3453846153846154</v>
      </c>
      <c r="Q132" s="1">
        <f t="shared" ref="Q132:Q195" si="21">+F132+P132</f>
        <v>3.3453846153846154</v>
      </c>
      <c r="R132" s="1">
        <f t="shared" ref="R132:R195" si="22">IF(H132=0,0,Q132*0.1025)</f>
        <v>0.34290192307692308</v>
      </c>
      <c r="S132" s="1">
        <f t="shared" ref="S132:S195" si="23">+Q132+R132</f>
        <v>3.6882865384615386</v>
      </c>
      <c r="T132" s="1">
        <f>IFERROR(_xlfn.XLOOKUP(J132,Collection!A:A,Collection!D:D,0)/100/_xlfn.XLOOKUP(J132,Collection!A:A,Collection!J:J,0),_xlfn.XLOOKUP(J132,Sold!A:A,Sold!D:D,0)/100/_xlfn.XLOOKUP(J132,Sold!A:A,Sold!J:J,0))</f>
        <v>2.4900000000000002</v>
      </c>
      <c r="U132" s="1">
        <f t="shared" ref="U132:U195" si="24">IFERROR(T132-S132,0)</f>
        <v>-1.1982865384615384</v>
      </c>
      <c r="V132" s="18">
        <f>COUNTIF(Collection!A:A,J132)+COUNTIF(Sold!A:A,J132)</f>
        <v>1</v>
      </c>
      <c r="W132" t="str">
        <f>IFERROR(_xlfn.TEXTAFTER(_xlfn.XLOOKUP(J132,Collection!A:A,Collection!C:C,),"Cards "),_xlfn.TEXTAFTER(_xlfn.XLOOKUP(J132,Sold!A:A,Sold!C:C,),"Cards "))</f>
        <v>2025 Topps Match Attax 100 Club</v>
      </c>
      <c r="X132" s="18" t="str">
        <f>IFERROR(_xlfn.XLOOKUP(J132,Collection!A:A,Collection!B:B,),_xlfn.XLOOKUP(J132,Sold!A:A,Sold!B:B,))</f>
        <v>Shai Gilgeous-Alexander #100C-SG</v>
      </c>
      <c r="Y132" s="53" t="s">
        <v>507</v>
      </c>
    </row>
    <row r="133" spans="2:25" x14ac:dyDescent="0.3">
      <c r="B133" s="10" t="s">
        <v>691</v>
      </c>
      <c r="C133" s="10" t="s">
        <v>739</v>
      </c>
      <c r="D133" s="5">
        <v>46157</v>
      </c>
      <c r="E133" s="6">
        <v>64</v>
      </c>
      <c r="F133" s="4">
        <v>1</v>
      </c>
      <c r="G133" s="4">
        <v>0</v>
      </c>
      <c r="H133" s="4">
        <v>0.11</v>
      </c>
      <c r="I133" s="10" t="s">
        <v>708</v>
      </c>
      <c r="J133" s="10">
        <v>10697652</v>
      </c>
      <c r="K133" s="10">
        <v>165</v>
      </c>
      <c r="L133" s="16" t="s">
        <v>741</v>
      </c>
      <c r="M133" s="53" t="s">
        <v>1432</v>
      </c>
      <c r="N133" t="str">
        <f t="shared" si="18"/>
        <v>whatnot.com/order/LWb3sBpSSuKkKt2ouhdoxo
$1.00 + $0.35 (Shared Shipping) + $0.14 Tax = Total of $1.48</v>
      </c>
      <c r="O133" s="2">
        <f t="shared" si="19"/>
        <v>1.1100000000000001</v>
      </c>
      <c r="P133" s="1">
        <f t="shared" si="20"/>
        <v>0.3453846153846154</v>
      </c>
      <c r="Q133" s="1">
        <f t="shared" si="21"/>
        <v>1.3453846153846154</v>
      </c>
      <c r="R133" s="1">
        <f t="shared" si="22"/>
        <v>0.13790192307692306</v>
      </c>
      <c r="S133" s="1">
        <f t="shared" si="23"/>
        <v>1.4832865384615386</v>
      </c>
      <c r="T133" s="1">
        <f>IFERROR(_xlfn.XLOOKUP(J133,Collection!A:A,Collection!D:D,0)/100/_xlfn.XLOOKUP(J133,Collection!A:A,Collection!J:J,0),_xlfn.XLOOKUP(J133,Sold!A:A,Sold!D:D,0)/100/_xlfn.XLOOKUP(J133,Sold!A:A,Sold!J:J,0))</f>
        <v>3.25</v>
      </c>
      <c r="U133" s="1">
        <f t="shared" si="24"/>
        <v>1.7667134615384614</v>
      </c>
      <c r="V133" s="18">
        <f>COUNTIF(Collection!A:A,J133)+COUNTIF(Sold!A:A,J133)</f>
        <v>1</v>
      </c>
      <c r="W133" t="str">
        <f>IFERROR(_xlfn.TEXTAFTER(_xlfn.XLOOKUP(J133,Collection!A:A,Collection!C:C,),"Cards "),_xlfn.TEXTAFTER(_xlfn.XLOOKUP(J133,Sold!A:A,Sold!C:C,),"Cards "))</f>
        <v>2024 Panini Prizm Black</v>
      </c>
      <c r="X133" s="18" t="str">
        <f>IFERROR(_xlfn.XLOOKUP(J133,Collection!A:A,Collection!B:B,),_xlfn.XLOOKUP(J133,Sold!A:A,Sold!B:B,))</f>
        <v>Donovan Mitchell [Hyper] #49</v>
      </c>
      <c r="Y133" s="53" t="s">
        <v>507</v>
      </c>
    </row>
    <row r="134" spans="2:25" x14ac:dyDescent="0.3">
      <c r="B134" s="10" t="s">
        <v>691</v>
      </c>
      <c r="C134" s="10" t="s">
        <v>739</v>
      </c>
      <c r="D134" s="5">
        <v>46157</v>
      </c>
      <c r="E134" s="6">
        <v>67</v>
      </c>
      <c r="F134" s="4">
        <v>1</v>
      </c>
      <c r="G134" s="4">
        <v>0</v>
      </c>
      <c r="H134" s="4">
        <v>0.11</v>
      </c>
      <c r="I134" s="10" t="s">
        <v>766</v>
      </c>
      <c r="J134" s="10">
        <v>11589448</v>
      </c>
      <c r="K134" s="10">
        <v>341</v>
      </c>
      <c r="L134" s="16" t="s">
        <v>742</v>
      </c>
      <c r="M134" s="53" t="s">
        <v>1433</v>
      </c>
      <c r="N134" t="str">
        <f t="shared" si="18"/>
        <v>whatnot.com/order/2TyjnBKs5xc9uWHYUQd9fu
$1.00 + $0.35 (Shared Shipping) + $0.14 Tax = Total of $1.48</v>
      </c>
      <c r="O134" s="2">
        <f t="shared" si="19"/>
        <v>1.1100000000000001</v>
      </c>
      <c r="P134" s="1">
        <f t="shared" si="20"/>
        <v>0.3453846153846154</v>
      </c>
      <c r="Q134" s="1">
        <f t="shared" si="21"/>
        <v>1.3453846153846154</v>
      </c>
      <c r="R134" s="1">
        <f t="shared" si="22"/>
        <v>0.13790192307692306</v>
      </c>
      <c r="S134" s="1">
        <f t="shared" si="23"/>
        <v>1.4832865384615386</v>
      </c>
      <c r="T134" s="1">
        <f>IFERROR(_xlfn.XLOOKUP(J134,Collection!A:A,Collection!D:D,0)/100/_xlfn.XLOOKUP(J134,Collection!A:A,Collection!J:J,0),_xlfn.XLOOKUP(J134,Sold!A:A,Sold!D:D,0)/100/_xlfn.XLOOKUP(J134,Sold!A:A,Sold!J:J,0))</f>
        <v>1.75</v>
      </c>
      <c r="U134" s="1">
        <f t="shared" si="24"/>
        <v>0.26671346153846143</v>
      </c>
      <c r="V134" s="18">
        <f>COUNTIF(Collection!A:A,J134)+COUNTIF(Sold!A:A,J134)</f>
        <v>1</v>
      </c>
      <c r="W134" t="str">
        <f>IFERROR(_xlfn.TEXTAFTER(_xlfn.XLOOKUP(J134,Collection!A:A,Collection!C:C,),"Cards "),_xlfn.TEXTAFTER(_xlfn.XLOOKUP(J134,Sold!A:A,Sold!C:C,),"Cards "))</f>
        <v>2025 Topps Chrome Ball Of Duty</v>
      </c>
      <c r="X134" s="18" t="str">
        <f>IFERROR(_xlfn.XLOOKUP(J134,Collection!A:A,Collection!B:B,),_xlfn.XLOOKUP(J134,Sold!A:A,Sold!B:B,))</f>
        <v>Bam Adebayo [Refractor] #BD-15</v>
      </c>
      <c r="Y134" s="53" t="s">
        <v>507</v>
      </c>
    </row>
    <row r="135" spans="2:25" x14ac:dyDescent="0.3">
      <c r="B135" s="10" t="s">
        <v>691</v>
      </c>
      <c r="C135" s="10" t="s">
        <v>739</v>
      </c>
      <c r="D135" s="5">
        <v>46157</v>
      </c>
      <c r="E135" s="6">
        <v>69</v>
      </c>
      <c r="F135" s="4">
        <v>4</v>
      </c>
      <c r="G135" s="4">
        <v>0</v>
      </c>
      <c r="H135" s="4">
        <v>0.41</v>
      </c>
      <c r="I135" s="10" t="s">
        <v>512</v>
      </c>
      <c r="J135" s="10">
        <v>11909415</v>
      </c>
      <c r="K135" s="10">
        <v>52</v>
      </c>
      <c r="L135" s="16" t="s">
        <v>743</v>
      </c>
      <c r="M135" s="53" t="s">
        <v>1434</v>
      </c>
      <c r="N135" t="str">
        <f t="shared" si="18"/>
        <v>whatnot.com/order/jYo3VKPfAkNfdoPWbkE8fv
$4.00 + $0.35 (Shared Shipping) + $0.45 Tax = Total of $4.79</v>
      </c>
      <c r="O135" s="2">
        <f t="shared" si="19"/>
        <v>4.41</v>
      </c>
      <c r="P135" s="1">
        <f t="shared" si="20"/>
        <v>0.3453846153846154</v>
      </c>
      <c r="Q135" s="1">
        <f t="shared" si="21"/>
        <v>4.3453846153846154</v>
      </c>
      <c r="R135" s="1">
        <f t="shared" si="22"/>
        <v>0.44540192307692306</v>
      </c>
      <c r="S135" s="1">
        <f t="shared" si="23"/>
        <v>4.7907865384615382</v>
      </c>
      <c r="T135" s="1">
        <f>IFERROR(_xlfn.XLOOKUP(J135,Collection!A:A,Collection!D:D,0)/100/_xlfn.XLOOKUP(J135,Collection!A:A,Collection!J:J,0),_xlfn.XLOOKUP(J135,Sold!A:A,Sold!D:D,0)/100/_xlfn.XLOOKUP(J135,Sold!A:A,Sold!J:J,0))</f>
        <v>7</v>
      </c>
      <c r="U135" s="1">
        <f t="shared" si="24"/>
        <v>2.2092134615384618</v>
      </c>
      <c r="V135" s="18">
        <f>COUNTIF(Collection!A:A,J135)+COUNTIF(Sold!A:A,J135)</f>
        <v>4</v>
      </c>
      <c r="W135" t="str">
        <f>IFERROR(_xlfn.TEXTAFTER(_xlfn.XLOOKUP(J135,Collection!A:A,Collection!C:C,),"Cards "),_xlfn.TEXTAFTER(_xlfn.XLOOKUP(J135,Sold!A:A,Sold!C:C,),"Cards "))</f>
        <v>2025 Topps Match Attax Hot Prospects</v>
      </c>
      <c r="X135" s="18" t="str">
        <f>IFERROR(_xlfn.XLOOKUP(J135,Collection!A:A,Collection!B:B,),_xlfn.XLOOKUP(J135,Sold!A:A,Sold!B:B,))</f>
        <v>Victor Wembanyama #HP-VW</v>
      </c>
      <c r="Y135" s="53" t="s">
        <v>507</v>
      </c>
    </row>
    <row r="136" spans="2:25" x14ac:dyDescent="0.3">
      <c r="B136" s="10" t="s">
        <v>691</v>
      </c>
      <c r="C136" s="10" t="s">
        <v>745</v>
      </c>
      <c r="D136" s="5">
        <v>46157</v>
      </c>
      <c r="E136" s="6" t="s">
        <v>495</v>
      </c>
      <c r="F136" s="4">
        <v>0</v>
      </c>
      <c r="G136" s="4">
        <v>0</v>
      </c>
      <c r="H136" s="4">
        <v>0</v>
      </c>
      <c r="I136" s="10" t="s">
        <v>763</v>
      </c>
      <c r="J136" s="10">
        <v>2193671</v>
      </c>
      <c r="K136" s="10">
        <v>383</v>
      </c>
      <c r="L136" s="16" t="s">
        <v>746</v>
      </c>
      <c r="M136" s="53" t="s">
        <v>1435</v>
      </c>
      <c r="N136" t="str">
        <f t="shared" si="18"/>
        <v>whatnot.com/order/bjbSDowQ8rwtKXCHzkacVp
$0.00 + $1.36 (Shared Shipping) + $0.00 Tax = Total of $1.36</v>
      </c>
      <c r="O136" s="2">
        <f t="shared" si="19"/>
        <v>0</v>
      </c>
      <c r="P136" s="1">
        <f t="shared" si="20"/>
        <v>1.36</v>
      </c>
      <c r="Q136" s="1">
        <f t="shared" si="21"/>
        <v>1.36</v>
      </c>
      <c r="R136" s="1">
        <f t="shared" si="22"/>
        <v>0</v>
      </c>
      <c r="S136" s="1">
        <f t="shared" si="23"/>
        <v>1.36</v>
      </c>
      <c r="T136" s="1">
        <f>IFERROR(_xlfn.XLOOKUP(J136,Collection!A:A,Collection!D:D,0)/100/_xlfn.XLOOKUP(J136,Collection!A:A,Collection!J:J,0),_xlfn.XLOOKUP(J136,Sold!A:A,Sold!D:D,0)/100/_xlfn.XLOOKUP(J136,Sold!A:A,Sold!J:J,0))</f>
        <v>1.61</v>
      </c>
      <c r="U136" s="1">
        <f t="shared" si="24"/>
        <v>0.25</v>
      </c>
      <c r="V136" s="18">
        <f>COUNTIF(Collection!A:A,J136)+COUNTIF(Sold!A:A,J136)</f>
        <v>1</v>
      </c>
      <c r="W136" t="str">
        <f>IFERROR(_xlfn.TEXTAFTER(_xlfn.XLOOKUP(J136,Collection!A:A,Collection!C:C,),"Cards "),_xlfn.TEXTAFTER(_xlfn.XLOOKUP(J136,Sold!A:A,Sold!C:C,),"Cards "))</f>
        <v>1994 Upper Deck</v>
      </c>
      <c r="X136" s="18" t="str">
        <f>IFERROR(_xlfn.XLOOKUP(J136,Collection!A:A,Collection!B:B,),_xlfn.XLOOKUP(J136,Sold!A:A,Sold!B:B,))</f>
        <v>Dennis Rodman #279</v>
      </c>
      <c r="Y136" s="53" t="s">
        <v>507</v>
      </c>
    </row>
    <row r="137" spans="2:25" x14ac:dyDescent="0.3">
      <c r="B137" s="10" t="s">
        <v>691</v>
      </c>
      <c r="C137" s="10" t="s">
        <v>745</v>
      </c>
      <c r="D137" s="5">
        <v>46157</v>
      </c>
      <c r="E137" s="6">
        <v>25</v>
      </c>
      <c r="F137" s="4">
        <v>3</v>
      </c>
      <c r="G137" s="4">
        <v>0.61</v>
      </c>
      <c r="H137" s="4">
        <v>0.37</v>
      </c>
      <c r="I137" s="10" t="s">
        <v>11</v>
      </c>
      <c r="J137" s="10">
        <v>8560406</v>
      </c>
      <c r="K137" s="10">
        <v>454</v>
      </c>
      <c r="L137" s="16" t="s">
        <v>747</v>
      </c>
      <c r="M137" s="53" t="s">
        <v>1436</v>
      </c>
      <c r="N137" t="str">
        <f t="shared" si="18"/>
        <v>whatnot.com/order/YAUQiahE9jPotBCmxaNkUS
$3.00 + $1.36 (Shared Shipping) + $0.45 Tax = Total of $4.81</v>
      </c>
      <c r="O137" s="2">
        <f t="shared" si="19"/>
        <v>3.98</v>
      </c>
      <c r="P137" s="1">
        <f t="shared" si="20"/>
        <v>1.36</v>
      </c>
      <c r="Q137" s="1">
        <f t="shared" si="21"/>
        <v>4.3600000000000003</v>
      </c>
      <c r="R137" s="1">
        <f t="shared" si="22"/>
        <v>0.44690000000000002</v>
      </c>
      <c r="S137" s="1">
        <f t="shared" si="23"/>
        <v>4.8069000000000006</v>
      </c>
      <c r="T137" s="1">
        <f>IFERROR(_xlfn.XLOOKUP(J137,Collection!A:A,Collection!D:D,0)/100/_xlfn.XLOOKUP(J137,Collection!A:A,Collection!J:J,0),_xlfn.XLOOKUP(J137,Sold!A:A,Sold!D:D,0)/100/_xlfn.XLOOKUP(J137,Sold!A:A,Sold!J:J,0))</f>
        <v>1.39</v>
      </c>
      <c r="U137" s="1">
        <f t="shared" si="24"/>
        <v>-3.4169000000000009</v>
      </c>
      <c r="V137" s="18">
        <f>COUNTIF(Collection!A:A,J137)+COUNTIF(Sold!A:A,J137)</f>
        <v>2</v>
      </c>
      <c r="W137" t="str">
        <f>IFERROR(_xlfn.TEXTAFTER(_xlfn.XLOOKUP(J137,Collection!A:A,Collection!C:C,),"Cards "),_xlfn.TEXTAFTER(_xlfn.XLOOKUP(J137,Sold!A:A,Sold!C:C,),"Cards "))</f>
        <v>2024 Panini Prizm Dominance</v>
      </c>
      <c r="X137" s="18" t="str">
        <f>IFERROR(_xlfn.XLOOKUP(J137,Collection!A:A,Collection!B:B,),_xlfn.XLOOKUP(J137,Sold!A:A,Sold!B:B,))</f>
        <v>Luka Doncic #12</v>
      </c>
      <c r="Y137" s="53" t="s">
        <v>507</v>
      </c>
    </row>
    <row r="138" spans="2:25" x14ac:dyDescent="0.3">
      <c r="B138" s="10" t="s">
        <v>691</v>
      </c>
      <c r="C138" s="10" t="s">
        <v>745</v>
      </c>
      <c r="D138" s="5">
        <v>46157</v>
      </c>
      <c r="E138" s="6">
        <v>37</v>
      </c>
      <c r="F138" s="4">
        <v>6</v>
      </c>
      <c r="G138" s="4">
        <v>3.47</v>
      </c>
      <c r="H138" s="4">
        <v>0.98</v>
      </c>
      <c r="I138" s="10" t="s">
        <v>749</v>
      </c>
      <c r="J138" s="10">
        <v>9514806</v>
      </c>
      <c r="K138" s="10">
        <v>194</v>
      </c>
      <c r="L138" s="16" t="s">
        <v>748</v>
      </c>
      <c r="M138" s="53" t="s">
        <v>1437</v>
      </c>
      <c r="N138" t="str">
        <f t="shared" si="18"/>
        <v>whatnot.com/order/5UjjnZwur4KMPeFJnGd5wv
$6.00 + $1.36 (Shared Shipping) + $0.75 Tax = Total of $8.11</v>
      </c>
      <c r="O138" s="2">
        <f t="shared" si="19"/>
        <v>10.450000000000001</v>
      </c>
      <c r="P138" s="1">
        <f t="shared" si="20"/>
        <v>1.36</v>
      </c>
      <c r="Q138" s="1">
        <f t="shared" si="21"/>
        <v>7.36</v>
      </c>
      <c r="R138" s="1">
        <f t="shared" si="22"/>
        <v>0.75439999999999996</v>
      </c>
      <c r="S138" s="1">
        <f t="shared" si="23"/>
        <v>8.1143999999999998</v>
      </c>
      <c r="T138" s="1">
        <f>IFERROR(_xlfn.XLOOKUP(J138,Collection!A:A,Collection!D:D,0)/100/_xlfn.XLOOKUP(J138,Collection!A:A,Collection!J:J,0),_xlfn.XLOOKUP(J138,Sold!A:A,Sold!D:D,0)/100/_xlfn.XLOOKUP(J138,Sold!A:A,Sold!J:J,0))</f>
        <v>3.05</v>
      </c>
      <c r="U138" s="1">
        <f t="shared" si="24"/>
        <v>-5.0644</v>
      </c>
      <c r="V138" s="18">
        <f>COUNTIF(Collection!A:A,J138)+COUNTIF(Sold!A:A,J138)</f>
        <v>1</v>
      </c>
      <c r="W138" t="str">
        <f>IFERROR(_xlfn.TEXTAFTER(_xlfn.XLOOKUP(J138,Collection!A:A,Collection!C:C,),"Cards "),_xlfn.TEXTAFTER(_xlfn.XLOOKUP(J138,Sold!A:A,Sold!C:C,),"Cards "))</f>
        <v>2024 Panini Select</v>
      </c>
      <c r="X138" s="18" t="str">
        <f>IFERROR(_xlfn.XLOOKUP(J138,Collection!A:A,Collection!B:B,),_xlfn.XLOOKUP(J138,Sold!A:A,Sold!B:B,))</f>
        <v>Patrick Mahomes II [Red Yellow Prizm Shock] #120</v>
      </c>
      <c r="Y138" s="53" t="s">
        <v>507</v>
      </c>
    </row>
    <row r="139" spans="2:25" x14ac:dyDescent="0.3">
      <c r="B139" s="10" t="s">
        <v>691</v>
      </c>
      <c r="C139" s="10" t="s">
        <v>751</v>
      </c>
      <c r="D139" s="5">
        <v>46158</v>
      </c>
      <c r="E139" s="6">
        <v>5</v>
      </c>
      <c r="F139" s="4">
        <v>1.5</v>
      </c>
      <c r="G139" s="4">
        <v>2.2749999999999999</v>
      </c>
      <c r="H139" s="4">
        <f>0.78/2</f>
        <v>0.39</v>
      </c>
      <c r="I139" s="10" t="s">
        <v>11</v>
      </c>
      <c r="J139" s="10">
        <v>7511275</v>
      </c>
      <c r="K139" s="10">
        <v>225</v>
      </c>
      <c r="L139" s="16" t="s">
        <v>752</v>
      </c>
      <c r="M139" s="53" t="s">
        <v>1438</v>
      </c>
      <c r="N139" t="str">
        <f t="shared" si="18"/>
        <v>whatnot.com/order/5X36yCiHaJsMeN64D6uPLA
$1.50 + $2.28 (Shared Shipping) + $0.39 Tax = Total of $4.16</v>
      </c>
      <c r="O139" s="2">
        <f t="shared" si="19"/>
        <v>4.165</v>
      </c>
      <c r="P139" s="1">
        <f t="shared" si="20"/>
        <v>2.2749999999999999</v>
      </c>
      <c r="Q139" s="1">
        <f t="shared" si="21"/>
        <v>3.7749999999999999</v>
      </c>
      <c r="R139" s="1">
        <f t="shared" si="22"/>
        <v>0.38693749999999999</v>
      </c>
      <c r="S139" s="1">
        <f t="shared" si="23"/>
        <v>4.1619374999999996</v>
      </c>
      <c r="T139" s="1">
        <f>IFERROR(_xlfn.XLOOKUP(J139,Collection!A:A,Collection!D:D,0)/100/_xlfn.XLOOKUP(J139,Collection!A:A,Collection!J:J,0),_xlfn.XLOOKUP(J139,Sold!A:A,Sold!D:D,0)/100/_xlfn.XLOOKUP(J139,Sold!A:A,Sold!J:J,0))</f>
        <v>2.25</v>
      </c>
      <c r="U139" s="1">
        <f t="shared" si="24"/>
        <v>-1.9119374999999996</v>
      </c>
      <c r="V139" s="18">
        <f>COUNTIF(Collection!A:A,J139)+COUNTIF(Sold!A:A,J139)</f>
        <v>1</v>
      </c>
      <c r="W139" t="str">
        <f>IFERROR(_xlfn.TEXTAFTER(_xlfn.XLOOKUP(J139,Collection!A:A,Collection!C:C,),"Cards "),_xlfn.TEXTAFTER(_xlfn.XLOOKUP(J139,Sold!A:A,Sold!C:C,),"Cards "))</f>
        <v>2023 Panini Phoenix Fade To Black</v>
      </c>
      <c r="X139" s="18" t="str">
        <f>IFERROR(_xlfn.XLOOKUP(J139,Collection!A:A,Collection!B:B,),_xlfn.XLOOKUP(J139,Sold!A:A,Sold!B:B,))</f>
        <v>Luka Doncic [Red Ice] #18</v>
      </c>
      <c r="Y139" s="53" t="s">
        <v>507</v>
      </c>
    </row>
    <row r="140" spans="2:25" x14ac:dyDescent="0.3">
      <c r="B140" s="10" t="s">
        <v>691</v>
      </c>
      <c r="C140" s="10" t="s">
        <v>751</v>
      </c>
      <c r="D140" s="5">
        <v>46158</v>
      </c>
      <c r="E140" s="6">
        <v>5</v>
      </c>
      <c r="F140" s="4">
        <v>1.5</v>
      </c>
      <c r="G140" s="4">
        <v>2.2749999999999999</v>
      </c>
      <c r="H140" s="4">
        <f>0.78/2</f>
        <v>0.39</v>
      </c>
      <c r="I140" s="10" t="s">
        <v>11</v>
      </c>
      <c r="J140" s="10">
        <v>8560406</v>
      </c>
      <c r="K140" s="10">
        <v>456</v>
      </c>
      <c r="L140" s="16" t="s">
        <v>752</v>
      </c>
      <c r="M140" s="53" t="s">
        <v>1438</v>
      </c>
      <c r="N140" t="str">
        <f t="shared" si="18"/>
        <v>whatnot.com/order/5X36yCiHaJsMeN64D6uPLA
$1.50 + $2.28 (Shared Shipping) + $0.39 Tax = Total of $4.16</v>
      </c>
      <c r="O140" s="2">
        <f t="shared" si="19"/>
        <v>4.165</v>
      </c>
      <c r="P140" s="1">
        <f t="shared" si="20"/>
        <v>2.2749999999999999</v>
      </c>
      <c r="Q140" s="1">
        <f t="shared" si="21"/>
        <v>3.7749999999999999</v>
      </c>
      <c r="R140" s="1">
        <f t="shared" si="22"/>
        <v>0.38693749999999999</v>
      </c>
      <c r="S140" s="1">
        <f t="shared" si="23"/>
        <v>4.1619374999999996</v>
      </c>
      <c r="T140" s="1">
        <f>IFERROR(_xlfn.XLOOKUP(J140,Collection!A:A,Collection!D:D,0)/100/_xlfn.XLOOKUP(J140,Collection!A:A,Collection!J:J,0),_xlfn.XLOOKUP(J140,Sold!A:A,Sold!D:D,0)/100/_xlfn.XLOOKUP(J140,Sold!A:A,Sold!J:J,0))</f>
        <v>1.39</v>
      </c>
      <c r="U140" s="1">
        <f t="shared" si="24"/>
        <v>-2.7719374999999999</v>
      </c>
      <c r="V140" s="18">
        <f>COUNTIF(Collection!A:A,J140)+COUNTIF(Sold!A:A,J140)</f>
        <v>2</v>
      </c>
      <c r="W140" t="str">
        <f>IFERROR(_xlfn.TEXTAFTER(_xlfn.XLOOKUP(J140,Collection!A:A,Collection!C:C,),"Cards "),_xlfn.TEXTAFTER(_xlfn.XLOOKUP(J140,Sold!A:A,Sold!C:C,),"Cards "))</f>
        <v>2024 Panini Prizm Dominance</v>
      </c>
      <c r="X140" s="18" t="str">
        <f>IFERROR(_xlfn.XLOOKUP(J140,Collection!A:A,Collection!B:B,),_xlfn.XLOOKUP(J140,Sold!A:A,Sold!B:B,))</f>
        <v>Luka Doncic #12</v>
      </c>
      <c r="Y140" s="53" t="s">
        <v>507</v>
      </c>
    </row>
    <row r="141" spans="2:25" x14ac:dyDescent="0.3">
      <c r="B141" s="10" t="s">
        <v>691</v>
      </c>
      <c r="C141" s="10" t="s">
        <v>753</v>
      </c>
      <c r="D141" s="5">
        <v>46158</v>
      </c>
      <c r="E141" s="6">
        <v>70</v>
      </c>
      <c r="F141" s="4">
        <v>1</v>
      </c>
      <c r="G141" s="4">
        <v>0.7</v>
      </c>
      <c r="H141" s="4">
        <v>0.18</v>
      </c>
      <c r="I141" s="10" t="s">
        <v>468</v>
      </c>
      <c r="J141" s="10">
        <v>10212324</v>
      </c>
      <c r="K141" s="10">
        <v>533</v>
      </c>
      <c r="L141" s="16" t="s">
        <v>754</v>
      </c>
      <c r="M141" s="53" t="s">
        <v>1439</v>
      </c>
      <c r="N141" t="str">
        <f t="shared" si="18"/>
        <v>whatnot.com/order/BxpSgRamxcouLJ5UoJeEaP
$1.00 + $1.20 (Shared Shipping) + $0.23 Tax = Total of $2.43</v>
      </c>
      <c r="O141" s="2">
        <f t="shared" si="19"/>
        <v>1.88</v>
      </c>
      <c r="P141" s="1">
        <f t="shared" si="20"/>
        <v>1.2</v>
      </c>
      <c r="Q141" s="1">
        <f t="shared" si="21"/>
        <v>2.2000000000000002</v>
      </c>
      <c r="R141" s="1">
        <f t="shared" si="22"/>
        <v>0.22550000000000001</v>
      </c>
      <c r="S141" s="1">
        <f t="shared" si="23"/>
        <v>2.4255</v>
      </c>
      <c r="T141" s="1">
        <f>IFERROR(_xlfn.XLOOKUP(J141,Collection!A:A,Collection!D:D,0)/100/_xlfn.XLOOKUP(J141,Collection!A:A,Collection!J:J,0),_xlfn.XLOOKUP(J141,Sold!A:A,Sold!D:D,0)/100/_xlfn.XLOOKUP(J141,Sold!A:A,Sold!J:J,0))</f>
        <v>1.25</v>
      </c>
      <c r="U141" s="1">
        <f t="shared" si="24"/>
        <v>-1.1755</v>
      </c>
      <c r="V141" s="18">
        <f>COUNTIF(Collection!A:A,J141)+COUNTIF(Sold!A:A,J141)</f>
        <v>1</v>
      </c>
      <c r="W141" t="str">
        <f>IFERROR(_xlfn.TEXTAFTER(_xlfn.XLOOKUP(J141,Collection!A:A,Collection!C:C,),"Cards "),_xlfn.TEXTAFTER(_xlfn.XLOOKUP(J141,Sold!A:A,Sold!C:C,),"Cards "))</f>
        <v>2024 Panini Donruss Optic Splash</v>
      </c>
      <c r="X141" s="18" t="str">
        <f>IFERROR(_xlfn.XLOOKUP(J141,Collection!A:A,Collection!B:B,),_xlfn.XLOOKUP(J141,Sold!A:A,Sold!B:B,))</f>
        <v>Shai Gilgeous-Alexander #6</v>
      </c>
      <c r="Y141" s="53" t="s">
        <v>507</v>
      </c>
    </row>
    <row r="142" spans="2:25" x14ac:dyDescent="0.3">
      <c r="B142" s="10" t="s">
        <v>691</v>
      </c>
      <c r="C142" s="10" t="s">
        <v>753</v>
      </c>
      <c r="D142" s="5">
        <v>46158</v>
      </c>
      <c r="E142" s="6">
        <v>70</v>
      </c>
      <c r="F142" s="4">
        <v>1</v>
      </c>
      <c r="G142" s="4">
        <v>0.69</v>
      </c>
      <c r="H142" s="4">
        <v>0.17</v>
      </c>
      <c r="I142" s="10" t="s">
        <v>468</v>
      </c>
      <c r="J142" s="10">
        <v>9259816</v>
      </c>
      <c r="K142" s="10">
        <v>496</v>
      </c>
      <c r="L142" s="16" t="s">
        <v>754</v>
      </c>
      <c r="M142" s="53" t="s">
        <v>1439</v>
      </c>
      <c r="N142" t="str">
        <f t="shared" si="18"/>
        <v>whatnot.com/order/BxpSgRamxcouLJ5UoJeEaP
$1.00 + $1.20 (Shared Shipping) + $0.23 Tax = Total of $2.43</v>
      </c>
      <c r="O142" s="2">
        <f t="shared" si="19"/>
        <v>1.8599999999999999</v>
      </c>
      <c r="P142" s="1">
        <f t="shared" si="20"/>
        <v>1.2</v>
      </c>
      <c r="Q142" s="1">
        <f t="shared" si="21"/>
        <v>2.2000000000000002</v>
      </c>
      <c r="R142" s="1">
        <f t="shared" si="22"/>
        <v>0.22550000000000001</v>
      </c>
      <c r="S142" s="1">
        <f t="shared" si="23"/>
        <v>2.4255</v>
      </c>
      <c r="T142" s="1">
        <f>IFERROR(_xlfn.XLOOKUP(J142,Collection!A:A,Collection!D:D,0)/100/_xlfn.XLOOKUP(J142,Collection!A:A,Collection!J:J,0),_xlfn.XLOOKUP(J142,Sold!A:A,Sold!D:D,0)/100/_xlfn.XLOOKUP(J142,Sold!A:A,Sold!J:J,0))</f>
        <v>1.21</v>
      </c>
      <c r="U142" s="1">
        <f t="shared" si="24"/>
        <v>-1.2155</v>
      </c>
      <c r="V142" s="18">
        <f>COUNTIF(Collection!A:A,J142)+COUNTIF(Sold!A:A,J142)</f>
        <v>2</v>
      </c>
      <c r="W142" t="str">
        <f>IFERROR(_xlfn.TEXTAFTER(_xlfn.XLOOKUP(J142,Collection!A:A,Collection!C:C,),"Cards "),_xlfn.TEXTAFTER(_xlfn.XLOOKUP(J142,Sold!A:A,Sold!C:C,),"Cards "))</f>
        <v>2024 Panini Revolution</v>
      </c>
      <c r="X142" s="18" t="str">
        <f>IFERROR(_xlfn.XLOOKUP(J142,Collection!A:A,Collection!B:B,),_xlfn.XLOOKUP(J142,Sold!A:A,Sold!B:B,))</f>
        <v>Shai Gilgeous-Alexander #8</v>
      </c>
      <c r="Y142" s="53" t="s">
        <v>507</v>
      </c>
    </row>
    <row r="143" spans="2:25" x14ac:dyDescent="0.3">
      <c r="B143" s="10" t="s">
        <v>691</v>
      </c>
      <c r="C143" s="10" t="s">
        <v>753</v>
      </c>
      <c r="D143" s="5">
        <v>46158</v>
      </c>
      <c r="E143" s="6">
        <v>94</v>
      </c>
      <c r="F143" s="4">
        <v>1.5</v>
      </c>
      <c r="G143" s="4">
        <v>1.71</v>
      </c>
      <c r="H143" s="4">
        <v>0.33</v>
      </c>
      <c r="I143" s="10" t="s">
        <v>77</v>
      </c>
      <c r="J143" s="10">
        <v>7296808</v>
      </c>
      <c r="K143" s="10">
        <v>148</v>
      </c>
      <c r="L143" s="16" t="s">
        <v>755</v>
      </c>
      <c r="M143" s="53" t="s">
        <v>1440</v>
      </c>
      <c r="N143" t="str">
        <f t="shared" si="18"/>
        <v>whatnot.com/order/9ER4Qs3djKVVj6qwbLpnAt
$1.50 + $1.20 (Shared Shipping) + $0.28 Tax = Total of $2.98</v>
      </c>
      <c r="O143" s="2">
        <f t="shared" si="19"/>
        <v>3.54</v>
      </c>
      <c r="P143" s="1">
        <f t="shared" si="20"/>
        <v>1.2</v>
      </c>
      <c r="Q143" s="1">
        <f t="shared" si="21"/>
        <v>2.7</v>
      </c>
      <c r="R143" s="1">
        <f t="shared" si="22"/>
        <v>0.27675</v>
      </c>
      <c r="S143" s="1">
        <f t="shared" si="23"/>
        <v>2.97675</v>
      </c>
      <c r="T143" s="1">
        <f>IFERROR(_xlfn.XLOOKUP(J143,Collection!A:A,Collection!D:D,0)/100/_xlfn.XLOOKUP(J143,Collection!A:A,Collection!J:J,0),_xlfn.XLOOKUP(J143,Sold!A:A,Sold!D:D,0)/100/_xlfn.XLOOKUP(J143,Sold!A:A,Sold!J:J,0))</f>
        <v>3.9</v>
      </c>
      <c r="U143" s="1">
        <f t="shared" si="24"/>
        <v>0.9232499999999999</v>
      </c>
      <c r="V143" s="18">
        <f>COUNTIF(Collection!A:A,J143)+COUNTIF(Sold!A:A,J143)</f>
        <v>1</v>
      </c>
      <c r="W143" t="str">
        <f>IFERROR(_xlfn.TEXTAFTER(_xlfn.XLOOKUP(J143,Collection!A:A,Collection!C:C,),"Cards "),_xlfn.TEXTAFTER(_xlfn.XLOOKUP(J143,Sold!A:A,Sold!C:C,),"Cards "))</f>
        <v>2023 Topps Chrome</v>
      </c>
      <c r="X143" s="18" t="str">
        <f>IFERROR(_xlfn.XLOOKUP(J143,Collection!A:A,Collection!B:B,),_xlfn.XLOOKUP(J143,Sold!A:A,Sold!B:B,))</f>
        <v>Jayson Tatum [Orange Basketball Refractor] #164</v>
      </c>
      <c r="Y143" s="53" t="s">
        <v>507</v>
      </c>
    </row>
    <row r="144" spans="2:25" x14ac:dyDescent="0.3">
      <c r="B144" s="10" t="s">
        <v>691</v>
      </c>
      <c r="C144" s="10" t="s">
        <v>753</v>
      </c>
      <c r="D144" s="5">
        <v>46158</v>
      </c>
      <c r="E144" s="6">
        <v>94</v>
      </c>
      <c r="F144" s="4">
        <v>1.5</v>
      </c>
      <c r="G144" s="4">
        <v>1.7</v>
      </c>
      <c r="H144" s="4">
        <v>0.33</v>
      </c>
      <c r="I144" s="10" t="s">
        <v>77</v>
      </c>
      <c r="J144" s="10">
        <v>6014501</v>
      </c>
      <c r="K144" s="10">
        <v>314</v>
      </c>
      <c r="L144" s="16" t="s">
        <v>755</v>
      </c>
      <c r="M144" s="53" t="s">
        <v>1440</v>
      </c>
      <c r="N144" t="str">
        <f t="shared" si="18"/>
        <v>whatnot.com/order/9ER4Qs3djKVVj6qwbLpnAt
$1.50 + $1.20 (Shared Shipping) + $0.28 Tax = Total of $2.98</v>
      </c>
      <c r="O144" s="2">
        <f t="shared" si="19"/>
        <v>3.5300000000000002</v>
      </c>
      <c r="P144" s="1">
        <f t="shared" si="20"/>
        <v>1.2</v>
      </c>
      <c r="Q144" s="1">
        <f t="shared" si="21"/>
        <v>2.7</v>
      </c>
      <c r="R144" s="1">
        <f t="shared" si="22"/>
        <v>0.27675</v>
      </c>
      <c r="S144" s="1">
        <f t="shared" si="23"/>
        <v>2.97675</v>
      </c>
      <c r="T144" s="1">
        <f>IFERROR(_xlfn.XLOOKUP(J144,Collection!A:A,Collection!D:D,0)/100/_xlfn.XLOOKUP(J144,Collection!A:A,Collection!J:J,0),_xlfn.XLOOKUP(J144,Sold!A:A,Sold!D:D,0)/100/_xlfn.XLOOKUP(J144,Sold!A:A,Sold!J:J,0))</f>
        <v>1.85</v>
      </c>
      <c r="U144" s="1">
        <f t="shared" si="24"/>
        <v>-1.1267499999999999</v>
      </c>
      <c r="V144" s="18">
        <f>COUNTIF(Collection!A:A,J144)+COUNTIF(Sold!A:A,J144)</f>
        <v>1</v>
      </c>
      <c r="W144" t="str">
        <f>IFERROR(_xlfn.TEXTAFTER(_xlfn.XLOOKUP(J144,Collection!A:A,Collection!C:C,),"Cards "),_xlfn.TEXTAFTER(_xlfn.XLOOKUP(J144,Sold!A:A,Sold!C:C,),"Cards "))</f>
        <v>2023 Panini Prizm Draft Picks</v>
      </c>
      <c r="X144" s="18" t="str">
        <f>IFERROR(_xlfn.XLOOKUP(J144,Collection!A:A,Collection!B:B,),_xlfn.XLOOKUP(J144,Sold!A:A,Sold!B:B,))</f>
        <v>Jayson Tatum [Red Ice] #51</v>
      </c>
      <c r="Y144" s="53" t="s">
        <v>507</v>
      </c>
    </row>
    <row r="145" spans="2:25" x14ac:dyDescent="0.3">
      <c r="B145" s="10" t="s">
        <v>691</v>
      </c>
      <c r="C145" s="10" t="s">
        <v>756</v>
      </c>
      <c r="D145" s="5">
        <v>46159</v>
      </c>
      <c r="E145" s="6" t="s">
        <v>496</v>
      </c>
      <c r="F145" s="4">
        <v>0</v>
      </c>
      <c r="G145" s="4">
        <v>0</v>
      </c>
      <c r="H145" s="4">
        <v>0</v>
      </c>
      <c r="I145" s="10" t="s">
        <v>969</v>
      </c>
      <c r="J145" s="10">
        <v>358012</v>
      </c>
      <c r="K145" s="10">
        <v>334</v>
      </c>
      <c r="L145" s="16" t="s">
        <v>757</v>
      </c>
      <c r="M145" s="53" t="s">
        <v>1441</v>
      </c>
      <c r="N145" t="str">
        <f t="shared" si="18"/>
        <v>whatnot.com/order/TYnJSjGYYq23Mb9UWhC6Xk
$0.00 + $0.78 (Shared Shipping) + $0.00 Tax = Total of $0.78</v>
      </c>
      <c r="O145" s="2">
        <f t="shared" si="19"/>
        <v>0</v>
      </c>
      <c r="P145" s="1">
        <f t="shared" si="20"/>
        <v>0.77666666666666673</v>
      </c>
      <c r="Q145" s="1">
        <f t="shared" si="21"/>
        <v>0.77666666666666673</v>
      </c>
      <c r="R145" s="1">
        <f t="shared" si="22"/>
        <v>0</v>
      </c>
      <c r="S145" s="1">
        <f t="shared" si="23"/>
        <v>0.77666666666666673</v>
      </c>
      <c r="T145" s="1">
        <f>IFERROR(_xlfn.XLOOKUP(J145,Collection!A:A,Collection!D:D,0)/100/_xlfn.XLOOKUP(J145,Collection!A:A,Collection!J:J,0),_xlfn.XLOOKUP(J145,Sold!A:A,Sold!D:D,0)/100/_xlfn.XLOOKUP(J145,Sold!A:A,Sold!J:J,0))</f>
        <v>1.62</v>
      </c>
      <c r="U145" s="1">
        <f t="shared" si="24"/>
        <v>0.84333333333333338</v>
      </c>
      <c r="V145" s="18">
        <f>COUNTIF(Collection!A:A,J145)+COUNTIF(Sold!A:A,J145)</f>
        <v>1</v>
      </c>
      <c r="W145" t="str">
        <f>IFERROR(_xlfn.TEXTAFTER(_xlfn.XLOOKUP(J145,Collection!A:A,Collection!C:C,),"Cards "),_xlfn.TEXTAFTER(_xlfn.XLOOKUP(J145,Sold!A:A,Sold!C:C,),"Cards "))</f>
        <v>2020 Panini Prizm Draft Picks</v>
      </c>
      <c r="X145" s="18" t="str">
        <f>IFERROR(_xlfn.XLOOKUP(J145,Collection!A:A,Collection!B:B,),_xlfn.XLOOKUP(J145,Sold!A:A,Sold!B:B,))</f>
        <v>Anthony Edwards #81</v>
      </c>
      <c r="Y145" s="53" t="s">
        <v>507</v>
      </c>
    </row>
    <row r="146" spans="2:25" x14ac:dyDescent="0.3">
      <c r="B146" s="10" t="s">
        <v>691</v>
      </c>
      <c r="C146" s="10" t="s">
        <v>756</v>
      </c>
      <c r="D146" s="5">
        <v>46159</v>
      </c>
      <c r="E146" s="6">
        <v>68</v>
      </c>
      <c r="F146" s="4">
        <v>3</v>
      </c>
      <c r="G146" s="4">
        <v>0</v>
      </c>
      <c r="H146" s="4">
        <v>0.31</v>
      </c>
      <c r="I146" s="10" t="s">
        <v>11</v>
      </c>
      <c r="J146" s="10">
        <v>4116083</v>
      </c>
      <c r="K146" s="10">
        <v>305</v>
      </c>
      <c r="L146" s="16" t="s">
        <v>758</v>
      </c>
      <c r="M146" s="53" t="s">
        <v>1442</v>
      </c>
      <c r="N146" t="str">
        <f t="shared" si="18"/>
        <v>whatnot.com/order/V4B7eTMpR47RKMGyDdYHuc
$3.00 + $0.78 (Shared Shipping) + $0.39 Tax = Total of $4.16</v>
      </c>
      <c r="O146" s="2">
        <f t="shared" si="19"/>
        <v>3.31</v>
      </c>
      <c r="P146" s="1">
        <f t="shared" si="20"/>
        <v>0.77666666666666673</v>
      </c>
      <c r="Q146" s="1">
        <f t="shared" si="21"/>
        <v>3.7766666666666668</v>
      </c>
      <c r="R146" s="1">
        <f t="shared" si="22"/>
        <v>0.38710833333333333</v>
      </c>
      <c r="S146" s="1">
        <f t="shared" si="23"/>
        <v>4.1637750000000002</v>
      </c>
      <c r="T146" s="1">
        <f>IFERROR(_xlfn.XLOOKUP(J146,Collection!A:A,Collection!D:D,0)/100/_xlfn.XLOOKUP(J146,Collection!A:A,Collection!J:J,0),_xlfn.XLOOKUP(J146,Sold!A:A,Sold!D:D,0)/100/_xlfn.XLOOKUP(J146,Sold!A:A,Sold!J:J,0))</f>
        <v>1.88</v>
      </c>
      <c r="U146" s="1">
        <f t="shared" si="24"/>
        <v>-2.2837750000000003</v>
      </c>
      <c r="V146" s="18">
        <f>COUNTIF(Collection!A:A,J146)+COUNTIF(Sold!A:A,J146)</f>
        <v>1</v>
      </c>
      <c r="W146" t="str">
        <f>IFERROR(_xlfn.TEXTAFTER(_xlfn.XLOOKUP(J146,Collection!A:A,Collection!C:C,),"Cards "),_xlfn.TEXTAFTER(_xlfn.XLOOKUP(J146,Sold!A:A,Sold!C:C,),"Cards "))</f>
        <v>2021 Panini Donruss Optic Express Lane</v>
      </c>
      <c r="X146" s="18" t="str">
        <f>IFERROR(_xlfn.XLOOKUP(J146,Collection!A:A,Collection!B:B,),_xlfn.XLOOKUP(J146,Sold!A:A,Sold!B:B,))</f>
        <v>Luka Doncic [Holo] #7</v>
      </c>
      <c r="Y146" s="53" t="s">
        <v>507</v>
      </c>
    </row>
    <row r="147" spans="2:25" x14ac:dyDescent="0.3">
      <c r="B147" s="10" t="s">
        <v>691</v>
      </c>
      <c r="C147" s="10" t="s">
        <v>756</v>
      </c>
      <c r="D147" s="5">
        <v>46159</v>
      </c>
      <c r="E147" s="6">
        <v>78</v>
      </c>
      <c r="F147" s="4">
        <v>3</v>
      </c>
      <c r="G147" s="4">
        <v>0.4</v>
      </c>
      <c r="H147" s="4">
        <v>0.36</v>
      </c>
      <c r="I147" s="10" t="s">
        <v>762</v>
      </c>
      <c r="J147" s="10">
        <v>10842357</v>
      </c>
      <c r="K147" s="10">
        <v>131</v>
      </c>
      <c r="L147" s="16" t="s">
        <v>759</v>
      </c>
      <c r="M147" s="53" t="s">
        <v>1443</v>
      </c>
      <c r="N147" t="str">
        <f t="shared" si="18"/>
        <v>whatnot.com/order/nf6DKG4X4BE3RvCtyQDywr
$3.00 + $0.78 (Shared Shipping) + $0.39 Tax = Total of $4.16</v>
      </c>
      <c r="O147" s="2">
        <f t="shared" si="19"/>
        <v>3.76</v>
      </c>
      <c r="P147" s="1">
        <f t="shared" si="20"/>
        <v>0.77666666666666673</v>
      </c>
      <c r="Q147" s="1">
        <f t="shared" si="21"/>
        <v>3.7766666666666668</v>
      </c>
      <c r="R147" s="1">
        <f t="shared" si="22"/>
        <v>0.38710833333333333</v>
      </c>
      <c r="S147" s="1">
        <f t="shared" si="23"/>
        <v>4.1637750000000002</v>
      </c>
      <c r="T147" s="1">
        <f>IFERROR(_xlfn.XLOOKUP(J147,Collection!A:A,Collection!D:D,0)/100/_xlfn.XLOOKUP(J147,Collection!A:A,Collection!J:J,0),_xlfn.XLOOKUP(J147,Sold!A:A,Sold!D:D,0)/100/_xlfn.XLOOKUP(J147,Sold!A:A,Sold!J:J,0))</f>
        <v>4.2</v>
      </c>
      <c r="U147" s="1">
        <f t="shared" si="24"/>
        <v>3.6224999999999952E-2</v>
      </c>
      <c r="V147" s="18">
        <f>COUNTIF(Collection!A:A,J147)+COUNTIF(Sold!A:A,J147)</f>
        <v>1</v>
      </c>
      <c r="W147" t="str">
        <f>IFERROR(_xlfn.TEXTAFTER(_xlfn.XLOOKUP(J147,Collection!A:A,Collection!C:C,),"Cards "),_xlfn.TEXTAFTER(_xlfn.XLOOKUP(J147,Sold!A:A,Sold!C:C,),"Cards "))</f>
        <v>2025 Topps Stars of the NBA</v>
      </c>
      <c r="X147" s="18" t="str">
        <f>IFERROR(_xlfn.XLOOKUP(J147,Collection!A:A,Collection!B:B,),_xlfn.XLOOKUP(J147,Sold!A:A,Sold!B:B,))</f>
        <v>Paolo Banchero [Purple Rainbow] #SA-20</v>
      </c>
      <c r="Y147" s="53" t="s">
        <v>507</v>
      </c>
    </row>
    <row r="148" spans="2:25" x14ac:dyDescent="0.3">
      <c r="B148" s="10" t="s">
        <v>691</v>
      </c>
      <c r="C148" s="10" t="s">
        <v>756</v>
      </c>
      <c r="D148" s="5">
        <v>46159</v>
      </c>
      <c r="E148" s="6">
        <v>85</v>
      </c>
      <c r="F148" s="4">
        <v>2</v>
      </c>
      <c r="G148" s="4">
        <v>0.96</v>
      </c>
      <c r="H148" s="4">
        <v>0.31</v>
      </c>
      <c r="I148" s="10" t="s">
        <v>11</v>
      </c>
      <c r="J148" s="10">
        <v>2491470</v>
      </c>
      <c r="K148" s="10">
        <v>224</v>
      </c>
      <c r="L148" s="16" t="s">
        <v>760</v>
      </c>
      <c r="M148" s="53" t="s">
        <v>1444</v>
      </c>
      <c r="N148" t="str">
        <f t="shared" si="18"/>
        <v>whatnot.com/order/ZtB4ZVd8p4oiJnLmAJs7tz
$2.00 + $0.78 (Shared Shipping) + $0.28 Tax = Total of $3.06</v>
      </c>
      <c r="O148" s="2">
        <f t="shared" si="19"/>
        <v>3.27</v>
      </c>
      <c r="P148" s="1">
        <f t="shared" si="20"/>
        <v>0.77666666666666673</v>
      </c>
      <c r="Q148" s="1">
        <f t="shared" si="21"/>
        <v>2.7766666666666668</v>
      </c>
      <c r="R148" s="1">
        <f t="shared" si="22"/>
        <v>0.28460833333333335</v>
      </c>
      <c r="S148" s="1">
        <f t="shared" si="23"/>
        <v>3.0612750000000002</v>
      </c>
      <c r="T148" s="1">
        <f>IFERROR(_xlfn.XLOOKUP(J148,Collection!A:A,Collection!D:D,0)/100/_xlfn.XLOOKUP(J148,Collection!A:A,Collection!J:J,0),_xlfn.XLOOKUP(J148,Sold!A:A,Sold!D:D,0)/100/_xlfn.XLOOKUP(J148,Sold!A:A,Sold!J:J,0))</f>
        <v>2.37</v>
      </c>
      <c r="U148" s="1">
        <f t="shared" si="24"/>
        <v>-0.69127500000000008</v>
      </c>
      <c r="V148" s="18">
        <f>COUNTIF(Collection!A:A,J148)+COUNTIF(Sold!A:A,J148)</f>
        <v>1</v>
      </c>
      <c r="W148" t="str">
        <f>IFERROR(_xlfn.TEXTAFTER(_xlfn.XLOOKUP(J148,Collection!A:A,Collection!C:C,),"Cards "),_xlfn.TEXTAFTER(_xlfn.XLOOKUP(J148,Sold!A:A,Sold!C:C,),"Cards "))</f>
        <v>2020 Panini Select</v>
      </c>
      <c r="X148" s="18" t="str">
        <f>IFERROR(_xlfn.XLOOKUP(J148,Collection!A:A,Collection!B:B,),_xlfn.XLOOKUP(J148,Sold!A:A,Sold!B:B,))</f>
        <v>Luka Doncic [Red White Orange Shimmer] #150</v>
      </c>
      <c r="Y148" s="53" t="s">
        <v>970</v>
      </c>
    </row>
    <row r="149" spans="2:25" x14ac:dyDescent="0.3">
      <c r="B149" s="10" t="s">
        <v>691</v>
      </c>
      <c r="C149" s="10" t="s">
        <v>756</v>
      </c>
      <c r="D149" s="5">
        <v>46159</v>
      </c>
      <c r="E149" s="6">
        <v>3</v>
      </c>
      <c r="F149" s="4">
        <v>10</v>
      </c>
      <c r="G149" s="4">
        <v>1.61</v>
      </c>
      <c r="H149" s="4">
        <v>1.19</v>
      </c>
      <c r="I149" s="10" t="s">
        <v>16</v>
      </c>
      <c r="J149" s="10">
        <v>5021346</v>
      </c>
      <c r="K149" s="10">
        <v>79810203</v>
      </c>
      <c r="L149" s="16" t="s">
        <v>761</v>
      </c>
      <c r="M149" s="53" t="s">
        <v>1445</v>
      </c>
      <c r="N149" t="str">
        <f t="shared" si="18"/>
        <v>whatnot.com/order/F54vujG64TkcHYp4KU7RHA
$10.00 + $0.78 (Shared Shipping) + $1.10 Tax = Total of $11.88</v>
      </c>
      <c r="O149" s="2">
        <f t="shared" si="19"/>
        <v>12.799999999999999</v>
      </c>
      <c r="P149" s="1">
        <f t="shared" si="20"/>
        <v>0.77666666666666673</v>
      </c>
      <c r="Q149" s="1">
        <f t="shared" si="21"/>
        <v>10.776666666666667</v>
      </c>
      <c r="R149" s="1">
        <f t="shared" si="22"/>
        <v>1.1046083333333334</v>
      </c>
      <c r="S149" s="1">
        <f t="shared" si="23"/>
        <v>11.881275</v>
      </c>
      <c r="T149" s="1">
        <f>IFERROR(_xlfn.XLOOKUP(J149,Collection!A:A,Collection!D:D,0)/100/_xlfn.XLOOKUP(J149,Collection!A:A,Collection!J:J,0),_xlfn.XLOOKUP(J149,Sold!A:A,Sold!D:D,0)/100/_xlfn.XLOOKUP(J149,Sold!A:A,Sold!J:J,0))</f>
        <v>11.29</v>
      </c>
      <c r="U149" s="1">
        <f t="shared" si="24"/>
        <v>-0.59127500000000133</v>
      </c>
      <c r="V149" s="18">
        <f>COUNTIF(Collection!A:A,J149)+COUNTIF(Sold!A:A,J149)</f>
        <v>1</v>
      </c>
      <c r="W149" t="str">
        <f>IFERROR(_xlfn.TEXTAFTER(_xlfn.XLOOKUP(J149,Collection!A:A,Collection!C:C,),"Cards "),_xlfn.TEXTAFTER(_xlfn.XLOOKUP(J149,Sold!A:A,Sold!C:C,),"Cards "))</f>
        <v>2022 Panini Prizm</v>
      </c>
      <c r="X149" s="18" t="str">
        <f>IFERROR(_xlfn.XLOOKUP(J149,Collection!A:A,Collection!B:B,),_xlfn.XLOOKUP(J149,Sold!A:A,Sold!B:B,))</f>
        <v>Austin Reaves #123</v>
      </c>
      <c r="Y149" s="53" t="s">
        <v>507</v>
      </c>
    </row>
    <row r="150" spans="2:25" x14ac:dyDescent="0.3">
      <c r="B150" s="10" t="s">
        <v>691</v>
      </c>
      <c r="C150" s="10" t="s">
        <v>756</v>
      </c>
      <c r="D150" s="5">
        <v>46159</v>
      </c>
      <c r="E150" s="6">
        <v>111</v>
      </c>
      <c r="F150" s="4">
        <v>4</v>
      </c>
      <c r="G150" s="4">
        <v>1.69</v>
      </c>
      <c r="H150" s="4">
        <v>0.57999999999999996</v>
      </c>
      <c r="I150" s="10" t="s">
        <v>11</v>
      </c>
      <c r="J150" s="10">
        <v>8537652</v>
      </c>
      <c r="K150" s="10">
        <v>202</v>
      </c>
      <c r="L150" s="16" t="s">
        <v>761</v>
      </c>
      <c r="M150" s="53" t="s">
        <v>1446</v>
      </c>
      <c r="N150" t="str">
        <f t="shared" si="18"/>
        <v>whatnot.com/order/F54vujG64TkcHYp4KU7RHA
$4.00 + $0.78 (Shared Shipping) + $0.49 Tax = Total of $5.27</v>
      </c>
      <c r="O150" s="2">
        <f t="shared" si="19"/>
        <v>6.27</v>
      </c>
      <c r="P150" s="1">
        <f t="shared" si="20"/>
        <v>0.77666666666666673</v>
      </c>
      <c r="Q150" s="1">
        <f t="shared" si="21"/>
        <v>4.7766666666666664</v>
      </c>
      <c r="R150" s="1">
        <f t="shared" si="22"/>
        <v>0.48960833333333326</v>
      </c>
      <c r="S150" s="1">
        <f t="shared" si="23"/>
        <v>5.2662749999999994</v>
      </c>
      <c r="T150" s="1">
        <f>IFERROR(_xlfn.XLOOKUP(J150,Collection!A:A,Collection!D:D,0)/100/_xlfn.XLOOKUP(J150,Collection!A:A,Collection!J:J,0),_xlfn.XLOOKUP(J150,Sold!A:A,Sold!D:D,0)/100/_xlfn.XLOOKUP(J150,Sold!A:A,Sold!J:J,0))</f>
        <v>2.88</v>
      </c>
      <c r="U150" s="1">
        <f t="shared" si="24"/>
        <v>-2.3862749999999995</v>
      </c>
      <c r="V150" s="18">
        <f>COUNTIF(Collection!A:A,J150)+COUNTIF(Sold!A:A,J150)</f>
        <v>1</v>
      </c>
      <c r="W150" t="str">
        <f>IFERROR(_xlfn.TEXTAFTER(_xlfn.XLOOKUP(J150,Collection!A:A,Collection!C:C,),"Cards "),_xlfn.TEXTAFTER(_xlfn.XLOOKUP(J150,Sold!A:A,Sold!C:C,),"Cards "))</f>
        <v>2024 Panini Prizm</v>
      </c>
      <c r="X150" s="18" t="str">
        <f>IFERROR(_xlfn.XLOOKUP(J150,Collection!A:A,Collection!B:B,),_xlfn.XLOOKUP(J150,Sold!A:A,Sold!B:B,))</f>
        <v>Luka Doncic [Pink Ice] #89</v>
      </c>
      <c r="Y150" s="53" t="s">
        <v>507</v>
      </c>
    </row>
    <row r="151" spans="2:25" x14ac:dyDescent="0.3">
      <c r="B151" s="10" t="s">
        <v>691</v>
      </c>
      <c r="C151" s="10" t="s">
        <v>777</v>
      </c>
      <c r="D151" s="5">
        <v>46159</v>
      </c>
      <c r="E151" s="6">
        <v>2</v>
      </c>
      <c r="F151" s="4">
        <v>0.5</v>
      </c>
      <c r="G151" s="4">
        <v>0.39</v>
      </c>
      <c r="H151" s="4">
        <v>0.1</v>
      </c>
      <c r="I151" s="10" t="s">
        <v>468</v>
      </c>
      <c r="J151" s="10">
        <v>12957398</v>
      </c>
      <c r="K151" s="10">
        <v>347</v>
      </c>
      <c r="L151" s="16" t="s">
        <v>778</v>
      </c>
      <c r="M151" s="53" t="s">
        <v>1447</v>
      </c>
      <c r="N151" t="str">
        <f t="shared" si="18"/>
        <v>whatnot.com/order/nAEkrSA7yzkeKXKekwWJV7
$0.50 + $0.27 (Shared Shipping) + $0.08 Tax = Total of $0.85</v>
      </c>
      <c r="O151" s="2">
        <f t="shared" si="19"/>
        <v>0.99</v>
      </c>
      <c r="P151" s="1">
        <f t="shared" si="20"/>
        <v>0.27250000000000002</v>
      </c>
      <c r="Q151" s="1">
        <f t="shared" si="21"/>
        <v>0.77249999999999996</v>
      </c>
      <c r="R151" s="1">
        <f t="shared" si="22"/>
        <v>7.9181249999999995E-2</v>
      </c>
      <c r="S151" s="1">
        <f t="shared" si="23"/>
        <v>0.85168124999999995</v>
      </c>
      <c r="T151" s="1">
        <f>IFERROR(_xlfn.XLOOKUP(J151,Collection!A:A,Collection!D:D,0)/100/_xlfn.XLOOKUP(J151,Collection!A:A,Collection!J:J,0),_xlfn.XLOOKUP(J151,Sold!A:A,Sold!D:D,0)/100/_xlfn.XLOOKUP(J151,Sold!A:A,Sold!J:J,0))</f>
        <v>1.02</v>
      </c>
      <c r="U151" s="1">
        <f t="shared" si="24"/>
        <v>0.16831875000000007</v>
      </c>
      <c r="V151" s="18">
        <f>COUNTIF(Collection!A:A,J151)+COUNTIF(Sold!A:A,J151)</f>
        <v>2</v>
      </c>
      <c r="W151" t="str">
        <f>IFERROR(_xlfn.TEXTAFTER(_xlfn.XLOOKUP(J151,Collection!A:A,Collection!C:C,),"Cards "),_xlfn.TEXTAFTER(_xlfn.XLOOKUP(J151,Sold!A:A,Sold!C:C,),"Cards "))</f>
        <v>2025 Topps NBA Hoops</v>
      </c>
      <c r="X151" s="18" t="str">
        <f>IFERROR(_xlfn.XLOOKUP(J151,Collection!A:A,Collection!B:B,),_xlfn.XLOOKUP(J151,Sold!A:A,Sold!B:B,))</f>
        <v>Shai Gilgeous-Alexander #286</v>
      </c>
      <c r="Y151" s="53" t="s">
        <v>507</v>
      </c>
    </row>
    <row r="152" spans="2:25" x14ac:dyDescent="0.3">
      <c r="B152" s="10" t="s">
        <v>691</v>
      </c>
      <c r="C152" s="10" t="s">
        <v>777</v>
      </c>
      <c r="D152" s="5">
        <v>46159</v>
      </c>
      <c r="E152" s="6">
        <v>2</v>
      </c>
      <c r="F152" s="4">
        <v>0.5</v>
      </c>
      <c r="G152" s="4">
        <v>0.39</v>
      </c>
      <c r="H152" s="4">
        <v>0.09</v>
      </c>
      <c r="I152" s="10" t="s">
        <v>511</v>
      </c>
      <c r="J152" s="10">
        <v>12957119</v>
      </c>
      <c r="K152" s="10">
        <v>432</v>
      </c>
      <c r="L152" s="16" t="s">
        <v>778</v>
      </c>
      <c r="M152" s="53" t="s">
        <v>1447</v>
      </c>
      <c r="N152" t="str">
        <f t="shared" si="18"/>
        <v>whatnot.com/order/nAEkrSA7yzkeKXKekwWJV7
$0.50 + $0.27 (Shared Shipping) + $0.08 Tax = Total of $0.85</v>
      </c>
      <c r="O152" s="2">
        <f t="shared" si="19"/>
        <v>0.98</v>
      </c>
      <c r="P152" s="1">
        <f t="shared" si="20"/>
        <v>0.27250000000000002</v>
      </c>
      <c r="Q152" s="1">
        <f t="shared" si="21"/>
        <v>0.77249999999999996</v>
      </c>
      <c r="R152" s="1">
        <f t="shared" si="22"/>
        <v>7.9181249999999995E-2</v>
      </c>
      <c r="S152" s="1">
        <f t="shared" si="23"/>
        <v>0.85168124999999995</v>
      </c>
      <c r="T152" s="1">
        <f>IFERROR(_xlfn.XLOOKUP(J152,Collection!A:A,Collection!D:D,0)/100/_xlfn.XLOOKUP(J152,Collection!A:A,Collection!J:J,0),_xlfn.XLOOKUP(J152,Sold!A:A,Sold!D:D,0)/100/_xlfn.XLOOKUP(J152,Sold!A:A,Sold!J:J,0))</f>
        <v>1.25</v>
      </c>
      <c r="U152" s="1">
        <f t="shared" si="24"/>
        <v>0.39831875000000005</v>
      </c>
      <c r="V152" s="18">
        <f>COUNTIF(Collection!A:A,J152)+COUNTIF(Sold!A:A,J152)</f>
        <v>1</v>
      </c>
      <c r="W152" t="str">
        <f>IFERROR(_xlfn.TEXTAFTER(_xlfn.XLOOKUP(J152,Collection!A:A,Collection!C:C,),"Cards "),_xlfn.TEXTAFTER(_xlfn.XLOOKUP(J152,Sold!A:A,Sold!C:C,),"Cards "))</f>
        <v>2025 Topps NBA Hoops</v>
      </c>
      <c r="X152" s="18" t="str">
        <f>IFERROR(_xlfn.XLOOKUP(J152,Collection!A:A,Collection!B:B,),_xlfn.XLOOKUP(J152,Sold!A:A,Sold!B:B,))</f>
        <v>Ja Morant #264</v>
      </c>
      <c r="Y152" s="53" t="s">
        <v>507</v>
      </c>
    </row>
    <row r="153" spans="2:25" x14ac:dyDescent="0.3">
      <c r="B153" s="10" t="s">
        <v>691</v>
      </c>
      <c r="C153" s="10" t="s">
        <v>777</v>
      </c>
      <c r="D153" s="5">
        <v>46159</v>
      </c>
      <c r="E153" s="6">
        <v>3</v>
      </c>
      <c r="F153" s="4">
        <v>0.5</v>
      </c>
      <c r="G153" s="4">
        <v>0.16</v>
      </c>
      <c r="H153" s="4">
        <v>0.08</v>
      </c>
      <c r="I153" s="10" t="s">
        <v>782</v>
      </c>
      <c r="J153" s="10">
        <v>12642248</v>
      </c>
      <c r="K153" s="10">
        <v>540</v>
      </c>
      <c r="L153" s="16" t="s">
        <v>779</v>
      </c>
      <c r="M153" s="53" t="s">
        <v>1448</v>
      </c>
      <c r="N153" t="str">
        <f t="shared" si="18"/>
        <v>whatnot.com/order/C8wNmr23XSGaFU3EsaesSS
$0.50 + $0.27 (Shared Shipping) + $0.08 Tax = Total of $0.85</v>
      </c>
      <c r="O153" s="2">
        <f t="shared" si="19"/>
        <v>0.74</v>
      </c>
      <c r="P153" s="1">
        <f t="shared" si="20"/>
        <v>0.27250000000000002</v>
      </c>
      <c r="Q153" s="1">
        <f t="shared" si="21"/>
        <v>0.77249999999999996</v>
      </c>
      <c r="R153" s="1">
        <f t="shared" si="22"/>
        <v>7.9181249999999995E-2</v>
      </c>
      <c r="S153" s="1">
        <f t="shared" si="23"/>
        <v>0.85168124999999995</v>
      </c>
      <c r="T153" s="1">
        <f>IFERROR(_xlfn.XLOOKUP(J153,Collection!A:A,Collection!D:D,0)/100/_xlfn.XLOOKUP(J153,Collection!A:A,Collection!J:J,0),_xlfn.XLOOKUP(J153,Sold!A:A,Sold!D:D,0)/100/_xlfn.XLOOKUP(J153,Sold!A:A,Sold!J:J,0))</f>
        <v>0.97</v>
      </c>
      <c r="U153" s="1">
        <f t="shared" si="24"/>
        <v>0.11831875000000003</v>
      </c>
      <c r="V153" s="18">
        <f>COUNTIF(Collection!A:A,J153)+COUNTIF(Sold!A:A,J153)</f>
        <v>1</v>
      </c>
      <c r="W153" t="str">
        <f>IFERROR(_xlfn.TEXTAFTER(_xlfn.XLOOKUP(J153,Collection!A:A,Collection!C:C,),"Cards "),_xlfn.TEXTAFTER(_xlfn.XLOOKUP(J153,Sold!A:A,Sold!C:C,),"Cards "))</f>
        <v>2025 Bowman Verified</v>
      </c>
      <c r="X153" s="18" t="str">
        <f>IFERROR(_xlfn.XLOOKUP(J153,Collection!A:A,Collection!B:B,),_xlfn.XLOOKUP(J153,Sold!A:A,Sold!B:B,))</f>
        <v>JT Toppin #BV-15</v>
      </c>
      <c r="Y153" s="53" t="s">
        <v>507</v>
      </c>
    </row>
    <row r="154" spans="2:25" x14ac:dyDescent="0.3">
      <c r="B154" s="10" t="s">
        <v>691</v>
      </c>
      <c r="C154" s="10" t="s">
        <v>777</v>
      </c>
      <c r="D154" s="5">
        <v>46159</v>
      </c>
      <c r="E154" s="6">
        <v>3</v>
      </c>
      <c r="F154" s="4">
        <v>0.5</v>
      </c>
      <c r="G154" s="4">
        <v>0.15</v>
      </c>
      <c r="H154" s="4">
        <v>7.0000000000000007E-2</v>
      </c>
      <c r="I154" s="10" t="s">
        <v>782</v>
      </c>
      <c r="J154" s="10">
        <v>12628486</v>
      </c>
      <c r="K154" s="10">
        <v>331</v>
      </c>
      <c r="L154" s="16" t="s">
        <v>779</v>
      </c>
      <c r="M154" s="53" t="s">
        <v>1448</v>
      </c>
      <c r="N154" t="str">
        <f t="shared" si="18"/>
        <v>whatnot.com/order/C8wNmr23XSGaFU3EsaesSS
$0.50 + $0.27 (Shared Shipping) + $0.08 Tax = Total of $0.85</v>
      </c>
      <c r="O154" s="2">
        <f t="shared" si="19"/>
        <v>0.72</v>
      </c>
      <c r="P154" s="1">
        <f t="shared" si="20"/>
        <v>0.27250000000000002</v>
      </c>
      <c r="Q154" s="1">
        <f t="shared" si="21"/>
        <v>0.77249999999999996</v>
      </c>
      <c r="R154" s="1">
        <f t="shared" si="22"/>
        <v>7.9181249999999995E-2</v>
      </c>
      <c r="S154" s="1">
        <f t="shared" si="23"/>
        <v>0.85168124999999995</v>
      </c>
      <c r="T154" s="1">
        <f>IFERROR(_xlfn.XLOOKUP(J154,Collection!A:A,Collection!D:D,0)/100/_xlfn.XLOOKUP(J154,Collection!A:A,Collection!J:J,0),_xlfn.XLOOKUP(J154,Sold!A:A,Sold!D:D,0)/100/_xlfn.XLOOKUP(J154,Sold!A:A,Sold!J:J,0))</f>
        <v>1.75</v>
      </c>
      <c r="U154" s="1">
        <f t="shared" si="24"/>
        <v>0.89831875000000005</v>
      </c>
      <c r="V154" s="18">
        <f>COUNTIF(Collection!A:A,J154)+COUNTIF(Sold!A:A,J154)</f>
        <v>1</v>
      </c>
      <c r="W154" t="str">
        <f>IFERROR(_xlfn.TEXTAFTER(_xlfn.XLOOKUP(J154,Collection!A:A,Collection!C:C,),"Cards "),_xlfn.TEXTAFTER(_xlfn.XLOOKUP(J154,Sold!A:A,Sold!C:C,),"Cards "))</f>
        <v>2025 Bowman Prospects</v>
      </c>
      <c r="X154" s="18" t="str">
        <f>IFERROR(_xlfn.XLOOKUP(J154,Collection!A:A,Collection!B:B,),_xlfn.XLOOKUP(J154,Sold!A:A,Sold!B:B,))</f>
        <v>JT Toppin #BPP-93</v>
      </c>
      <c r="Y154" s="53" t="s">
        <v>507</v>
      </c>
    </row>
    <row r="155" spans="2:25" x14ac:dyDescent="0.3">
      <c r="B155" s="10" t="s">
        <v>691</v>
      </c>
      <c r="C155" s="10" t="s">
        <v>780</v>
      </c>
      <c r="D155" s="5">
        <v>46159</v>
      </c>
      <c r="E155" s="6">
        <v>56</v>
      </c>
      <c r="F155" s="4">
        <v>3</v>
      </c>
      <c r="G155" s="4">
        <v>0.78</v>
      </c>
      <c r="H155" s="4">
        <v>0.39</v>
      </c>
      <c r="I155" s="10" t="s">
        <v>11</v>
      </c>
      <c r="J155" s="10">
        <v>10199090</v>
      </c>
      <c r="K155" s="10">
        <v>357</v>
      </c>
      <c r="L155" s="16" t="s">
        <v>781</v>
      </c>
      <c r="M155" s="53" t="s">
        <v>1449</v>
      </c>
      <c r="N155" t="str">
        <f t="shared" si="18"/>
        <v>whatnot.com/order/Mqc2Uuzq8b8WstsiTribsF
$3.00 + $0.78 (Shared Shipping) + $0.39 Tax = Total of $4.17</v>
      </c>
      <c r="O155" s="2">
        <f t="shared" si="19"/>
        <v>4.17</v>
      </c>
      <c r="P155" s="1">
        <f t="shared" si="20"/>
        <v>0.78</v>
      </c>
      <c r="Q155" s="1">
        <f t="shared" si="21"/>
        <v>3.7800000000000002</v>
      </c>
      <c r="R155" s="1">
        <f t="shared" si="22"/>
        <v>0.38745000000000002</v>
      </c>
      <c r="S155" s="1">
        <f t="shared" si="23"/>
        <v>4.1674500000000005</v>
      </c>
      <c r="T155" s="1">
        <f>IFERROR(_xlfn.XLOOKUP(J155,Collection!A:A,Collection!D:D,0)/100/_xlfn.XLOOKUP(J155,Collection!A:A,Collection!J:J,0),_xlfn.XLOOKUP(J155,Sold!A:A,Sold!D:D,0)/100/_xlfn.XLOOKUP(J155,Sold!A:A,Sold!J:J,0))</f>
        <v>1.5</v>
      </c>
      <c r="U155" s="1">
        <f t="shared" si="24"/>
        <v>-2.6674500000000005</v>
      </c>
      <c r="V155" s="18">
        <f>COUNTIF(Collection!A:A,J155)+COUNTIF(Sold!A:A,J155)</f>
        <v>1</v>
      </c>
      <c r="W155" t="str">
        <f>IFERROR(_xlfn.TEXTAFTER(_xlfn.XLOOKUP(J155,Collection!A:A,Collection!C:C,),"Cards "),_xlfn.TEXTAFTER(_xlfn.XLOOKUP(J155,Sold!A:A,Sold!C:C,),"Cards "))</f>
        <v>2024 Panini Donruss Optic</v>
      </c>
      <c r="X155" s="18" t="str">
        <f>IFERROR(_xlfn.XLOOKUP(J155,Collection!A:A,Collection!B:B,),_xlfn.XLOOKUP(J155,Sold!A:A,Sold!B:B,))</f>
        <v>Luka Doncic [Hyper Pink] #214</v>
      </c>
      <c r="Y155" s="53" t="s">
        <v>507</v>
      </c>
    </row>
    <row r="156" spans="2:25" x14ac:dyDescent="0.3">
      <c r="B156" s="10" t="s">
        <v>691</v>
      </c>
      <c r="C156" s="10" t="s">
        <v>480</v>
      </c>
      <c r="D156" s="5">
        <v>46160</v>
      </c>
      <c r="E156" s="6">
        <v>125</v>
      </c>
      <c r="F156" s="4">
        <v>8</v>
      </c>
      <c r="G156" s="4">
        <v>0.78</v>
      </c>
      <c r="H156" s="4">
        <v>0.9</v>
      </c>
      <c r="I156" s="10" t="s">
        <v>510</v>
      </c>
      <c r="J156" s="10">
        <v>11830197</v>
      </c>
      <c r="K156" s="10">
        <v>68</v>
      </c>
      <c r="L156" s="16" t="s">
        <v>783</v>
      </c>
      <c r="M156" s="53" t="s">
        <v>1450</v>
      </c>
      <c r="N156" t="str">
        <f t="shared" si="18"/>
        <v>whatnot.com/order/Kd3DTS6aAunowd6ZnJ4KTS
$8.00 + $0.78 (Shared Shipping) + $0.90 Tax = Total of $9.68</v>
      </c>
      <c r="O156" s="2">
        <f t="shared" si="19"/>
        <v>9.68</v>
      </c>
      <c r="P156" s="1">
        <f t="shared" si="20"/>
        <v>0.78</v>
      </c>
      <c r="Q156" s="1">
        <f t="shared" si="21"/>
        <v>8.7799999999999994</v>
      </c>
      <c r="R156" s="1">
        <f t="shared" si="22"/>
        <v>0.89994999999999992</v>
      </c>
      <c r="S156" s="1">
        <f t="shared" si="23"/>
        <v>9.6799499999999998</v>
      </c>
      <c r="T156" s="1">
        <f>IFERROR(_xlfn.XLOOKUP(J156,Collection!A:A,Collection!D:D,0)/100/_xlfn.XLOOKUP(J156,Collection!A:A,Collection!J:J,0),_xlfn.XLOOKUP(J156,Sold!A:A,Sold!D:D,0)/100/_xlfn.XLOOKUP(J156,Sold!A:A,Sold!J:J,0))</f>
        <v>10.99</v>
      </c>
      <c r="U156" s="1">
        <f t="shared" si="24"/>
        <v>1.3100500000000004</v>
      </c>
      <c r="V156" s="18">
        <f>COUNTIF(Collection!A:A,J156)+COUNTIF(Sold!A:A,J156)</f>
        <v>2</v>
      </c>
      <c r="W156" t="str">
        <f>IFERROR(_xlfn.TEXTAFTER(_xlfn.XLOOKUP(J156,Collection!A:A,Collection!C:C,),"Cards "),_xlfn.TEXTAFTER(_xlfn.XLOOKUP(J156,Sold!A:A,Sold!C:C,),"Cards "))</f>
        <v>2025 Topps Match Attax Breakthrough Baller</v>
      </c>
      <c r="X156" s="18" t="str">
        <f>IFERROR(_xlfn.XLOOKUP(J156,Collection!A:A,Collection!B:B,),_xlfn.XLOOKUP(J156,Sold!A:A,Sold!B:B,))</f>
        <v>Cooper Flagg #BB-CF</v>
      </c>
      <c r="Y156" s="53" t="s">
        <v>507</v>
      </c>
    </row>
    <row r="157" spans="2:25" x14ac:dyDescent="0.3">
      <c r="B157" s="10" t="s">
        <v>691</v>
      </c>
      <c r="C157" s="10" t="s">
        <v>785</v>
      </c>
      <c r="D157" s="5">
        <v>46161</v>
      </c>
      <c r="E157" s="6">
        <v>7</v>
      </c>
      <c r="F157" s="4">
        <v>2</v>
      </c>
      <c r="G157" s="4">
        <v>4.55</v>
      </c>
      <c r="H157" s="4">
        <v>0.68</v>
      </c>
      <c r="I157" s="10" t="s">
        <v>510</v>
      </c>
      <c r="J157" s="10">
        <v>12613839</v>
      </c>
      <c r="K157" s="10">
        <v>149</v>
      </c>
      <c r="L157" s="16" t="s">
        <v>784</v>
      </c>
      <c r="M157" s="53" t="s">
        <v>1451</v>
      </c>
      <c r="N157" t="str">
        <f t="shared" si="18"/>
        <v>whatnot.com/order/cVAH6c2Ha2VVKr4oHxHUDo
$2.00 + $4.55 (Shared Shipping) + $0.67 Tax = Total of $7.22</v>
      </c>
      <c r="O157" s="2">
        <f t="shared" si="19"/>
        <v>7.2299999999999995</v>
      </c>
      <c r="P157" s="1">
        <f t="shared" si="20"/>
        <v>4.55</v>
      </c>
      <c r="Q157" s="1">
        <f t="shared" si="21"/>
        <v>6.55</v>
      </c>
      <c r="R157" s="1">
        <f t="shared" si="22"/>
        <v>0.67137499999999994</v>
      </c>
      <c r="S157" s="1">
        <f t="shared" si="23"/>
        <v>7.2213750000000001</v>
      </c>
      <c r="T157" s="1">
        <f>IFERROR(_xlfn.XLOOKUP(J157,Collection!A:A,Collection!D:D,0)/100/_xlfn.XLOOKUP(J157,Collection!A:A,Collection!J:J,0),_xlfn.XLOOKUP(J157,Sold!A:A,Sold!D:D,0)/100/_xlfn.XLOOKUP(J157,Sold!A:A,Sold!J:J,0))</f>
        <v>3.71</v>
      </c>
      <c r="U157" s="1">
        <f t="shared" si="24"/>
        <v>-3.5113750000000001</v>
      </c>
      <c r="V157" s="18">
        <f>COUNTIF(Collection!A:A,J157)+COUNTIF(Sold!A:A,J157)</f>
        <v>2</v>
      </c>
      <c r="W157" t="str">
        <f>IFERROR(_xlfn.TEXTAFTER(_xlfn.XLOOKUP(J157,Collection!A:A,Collection!C:C,),"Cards "),_xlfn.TEXTAFTER(_xlfn.XLOOKUP(J157,Sold!A:A,Sold!C:C,),"Cards "))</f>
        <v>2025 Bowman</v>
      </c>
      <c r="X157" s="18" t="str">
        <f>IFERROR(_xlfn.XLOOKUP(J157,Collection!A:A,Collection!B:B,),_xlfn.XLOOKUP(J157,Sold!A:A,Sold!B:B,))</f>
        <v>Cooper Flagg #1</v>
      </c>
      <c r="Y157" s="53" t="s">
        <v>507</v>
      </c>
    </row>
    <row r="158" spans="2:25" x14ac:dyDescent="0.3">
      <c r="B158" s="10" t="s">
        <v>691</v>
      </c>
      <c r="C158" s="10" t="s">
        <v>739</v>
      </c>
      <c r="D158" s="5">
        <v>46161</v>
      </c>
      <c r="E158" s="6">
        <v>25</v>
      </c>
      <c r="F158" s="4">
        <v>1</v>
      </c>
      <c r="G158" s="4">
        <v>1.0900000000000001</v>
      </c>
      <c r="H158" s="4">
        <v>0.22</v>
      </c>
      <c r="I158" s="10" t="s">
        <v>512</v>
      </c>
      <c r="J158" s="10">
        <v>11830213</v>
      </c>
      <c r="K158" s="10">
        <v>101</v>
      </c>
      <c r="L158" s="16" t="s">
        <v>786</v>
      </c>
      <c r="M158" s="53" t="s">
        <v>1452</v>
      </c>
      <c r="N158" t="str">
        <f t="shared" si="18"/>
        <v>whatnot.com/order/7uWiSpZyq2Roey5Rr4Z456
$1.00 + $0.35 (Shared Shipping) + $0.14 Tax = Total of $1.49</v>
      </c>
      <c r="O158" s="2">
        <f t="shared" si="19"/>
        <v>2.31</v>
      </c>
      <c r="P158" s="1">
        <f t="shared" si="20"/>
        <v>0.35235294117647059</v>
      </c>
      <c r="Q158" s="1">
        <f t="shared" si="21"/>
        <v>1.3523529411764705</v>
      </c>
      <c r="R158" s="1">
        <f t="shared" si="22"/>
        <v>0.13861617647058821</v>
      </c>
      <c r="S158" s="1">
        <f t="shared" si="23"/>
        <v>1.4909691176470588</v>
      </c>
      <c r="T158" s="1">
        <f>IFERROR(_xlfn.XLOOKUP(J158,Collection!A:A,Collection!D:D,0)/100/_xlfn.XLOOKUP(J158,Collection!A:A,Collection!J:J,0),_xlfn.XLOOKUP(J158,Sold!A:A,Sold!D:D,0)/100/_xlfn.XLOOKUP(J158,Sold!A:A,Sold!J:J,0))</f>
        <v>5.52</v>
      </c>
      <c r="U158" s="1">
        <f t="shared" si="24"/>
        <v>4.0290308823529406</v>
      </c>
      <c r="V158" s="18">
        <f>COUNTIF(Collection!A:A,J158)+COUNTIF(Sold!A:A,J158)</f>
        <v>5</v>
      </c>
      <c r="W158" t="str">
        <f>IFERROR(_xlfn.TEXTAFTER(_xlfn.XLOOKUP(J158,Collection!A:A,Collection!C:C,),"Cards "),_xlfn.TEXTAFTER(_xlfn.XLOOKUP(J158,Sold!A:A,Sold!C:C,),"Cards "))</f>
        <v>2025 Topps Match Attax Breakthrough Baller</v>
      </c>
      <c r="X158" s="18" t="str">
        <f>IFERROR(_xlfn.XLOOKUP(J158,Collection!A:A,Collection!B:B,),_xlfn.XLOOKUP(J158,Sold!A:A,Sold!B:B,))</f>
        <v>Victor Wembanyama #BB-VW</v>
      </c>
      <c r="Y158" s="53" t="s">
        <v>507</v>
      </c>
    </row>
    <row r="159" spans="2:25" x14ac:dyDescent="0.3">
      <c r="B159" s="10" t="s">
        <v>691</v>
      </c>
      <c r="C159" s="10" t="s">
        <v>739</v>
      </c>
      <c r="D159" s="5">
        <v>46161</v>
      </c>
      <c r="E159" s="6">
        <v>26</v>
      </c>
      <c r="F159" s="4">
        <v>1</v>
      </c>
      <c r="G159" s="4">
        <v>0.3</v>
      </c>
      <c r="H159" s="4">
        <v>0.15</v>
      </c>
      <c r="I159" s="10" t="s">
        <v>468</v>
      </c>
      <c r="J159" s="10">
        <v>11909462</v>
      </c>
      <c r="K159" s="10">
        <v>250</v>
      </c>
      <c r="L159" s="16" t="s">
        <v>791</v>
      </c>
      <c r="M159" s="53" t="s">
        <v>1453</v>
      </c>
      <c r="N159" t="str">
        <f t="shared" si="18"/>
        <v>whatnot.com/order/QCeWrxwuLDSmy5kirafwrW
$1.00 + $0.35 (Shared Shipping) + $0.14 Tax = Total of $1.49</v>
      </c>
      <c r="O159" s="2">
        <f t="shared" si="19"/>
        <v>1.45</v>
      </c>
      <c r="P159" s="1">
        <f t="shared" si="20"/>
        <v>0.35235294117647059</v>
      </c>
      <c r="Q159" s="1">
        <f t="shared" si="21"/>
        <v>1.3523529411764705</v>
      </c>
      <c r="R159" s="1">
        <f t="shared" si="22"/>
        <v>0.13861617647058821</v>
      </c>
      <c r="S159" s="1">
        <f t="shared" si="23"/>
        <v>1.4909691176470588</v>
      </c>
      <c r="T159" s="1">
        <f>IFERROR(_xlfn.XLOOKUP(J159,Collection!A:A,Collection!D:D,0)/100/_xlfn.XLOOKUP(J159,Collection!A:A,Collection!J:J,0),_xlfn.XLOOKUP(J159,Sold!A:A,Sold!D:D,0)/100/_xlfn.XLOOKUP(J159,Sold!A:A,Sold!J:J,0))</f>
        <v>2.0099999999999998</v>
      </c>
      <c r="U159" s="1">
        <f t="shared" si="24"/>
        <v>0.51903088235294104</v>
      </c>
      <c r="V159" s="18">
        <f>COUNTIF(Collection!A:A,J159)+COUNTIF(Sold!A:A,J159)</f>
        <v>3</v>
      </c>
      <c r="W159" t="str">
        <f>IFERROR(_xlfn.TEXTAFTER(_xlfn.XLOOKUP(J159,Collection!A:A,Collection!C:C,),"Cards "),_xlfn.TEXTAFTER(_xlfn.XLOOKUP(J159,Sold!A:A,Sold!C:C,),"Cards "))</f>
        <v>2025 Topps Match Attax Scoring Hero</v>
      </c>
      <c r="X159" s="18" t="str">
        <f>IFERROR(_xlfn.XLOOKUP(J159,Collection!A:A,Collection!B:B,),_xlfn.XLOOKUP(J159,Sold!A:A,Sold!B:B,))</f>
        <v>Shai Gilgeous-Alexander #SH-SG</v>
      </c>
      <c r="Y159" s="53" t="s">
        <v>507</v>
      </c>
    </row>
    <row r="160" spans="2:25" x14ac:dyDescent="0.3">
      <c r="B160" s="10" t="s">
        <v>691</v>
      </c>
      <c r="C160" s="10" t="s">
        <v>739</v>
      </c>
      <c r="D160" s="5">
        <v>46161</v>
      </c>
      <c r="E160" s="6">
        <v>27</v>
      </c>
      <c r="F160" s="4">
        <v>1</v>
      </c>
      <c r="G160" s="4">
        <v>2.96</v>
      </c>
      <c r="H160" s="4">
        <v>0.41</v>
      </c>
      <c r="I160" s="10" t="s">
        <v>64</v>
      </c>
      <c r="J160" s="10">
        <v>5419755</v>
      </c>
      <c r="K160" s="10">
        <v>162</v>
      </c>
      <c r="L160" s="16" t="s">
        <v>792</v>
      </c>
      <c r="M160" s="53" t="s">
        <v>1454</v>
      </c>
      <c r="N160" t="str">
        <f t="shared" si="18"/>
        <v>whatnot.com/order/n7MxSz7PrCaHnYLU8dzQbP
$1.00 + $0.35 (Shared Shipping) + $0.14 Tax = Total of $1.49</v>
      </c>
      <c r="O160" s="2">
        <f t="shared" si="19"/>
        <v>4.37</v>
      </c>
      <c r="P160" s="1">
        <f t="shared" si="20"/>
        <v>0.35235294117647059</v>
      </c>
      <c r="Q160" s="1">
        <f t="shared" si="21"/>
        <v>1.3523529411764705</v>
      </c>
      <c r="R160" s="1">
        <f t="shared" si="22"/>
        <v>0.13861617647058821</v>
      </c>
      <c r="S160" s="1">
        <f t="shared" si="23"/>
        <v>1.4909691176470588</v>
      </c>
      <c r="T160" s="1">
        <f>IFERROR(_xlfn.XLOOKUP(J160,Collection!A:A,Collection!D:D,0)/100/_xlfn.XLOOKUP(J160,Collection!A:A,Collection!J:J,0),_xlfn.XLOOKUP(J160,Sold!A:A,Sold!D:D,0)/100/_xlfn.XLOOKUP(J160,Sold!A:A,Sold!J:J,0))</f>
        <v>3.29</v>
      </c>
      <c r="U160" s="1">
        <f t="shared" si="24"/>
        <v>1.7990308823529413</v>
      </c>
      <c r="V160" s="18">
        <f>COUNTIF(Collection!A:A,J160)+COUNTIF(Sold!A:A,J160)</f>
        <v>1</v>
      </c>
      <c r="W160" t="str">
        <f>IFERROR(_xlfn.TEXTAFTER(_xlfn.XLOOKUP(J160,Collection!A:A,Collection!C:C,),"Cards "),_xlfn.TEXTAFTER(_xlfn.XLOOKUP(J160,Sold!A:A,Sold!C:C,),"Cards "))</f>
        <v>2021 Panini Illusions Mystique</v>
      </c>
      <c r="X160" s="18" t="str">
        <f>IFERROR(_xlfn.XLOOKUP(J160,Collection!A:A,Collection!B:B,),_xlfn.XLOOKUP(J160,Sold!A:A,Sold!B:B,))</f>
        <v>Joel Embiid #4</v>
      </c>
      <c r="Y160" s="53" t="s">
        <v>507</v>
      </c>
    </row>
    <row r="161" spans="2:25" x14ac:dyDescent="0.3">
      <c r="B161" s="10" t="s">
        <v>691</v>
      </c>
      <c r="C161" s="10" t="s">
        <v>739</v>
      </c>
      <c r="D161" s="5">
        <v>46161</v>
      </c>
      <c r="E161" s="6">
        <v>29</v>
      </c>
      <c r="F161" s="4">
        <v>3</v>
      </c>
      <c r="G161" s="4">
        <v>0.45</v>
      </c>
      <c r="H161" s="4">
        <v>0.36</v>
      </c>
      <c r="I161" s="10" t="s">
        <v>512</v>
      </c>
      <c r="J161" s="10">
        <v>11830213</v>
      </c>
      <c r="K161" s="10">
        <v>44</v>
      </c>
      <c r="L161" s="16" t="s">
        <v>793</v>
      </c>
      <c r="M161" s="53" t="s">
        <v>1455</v>
      </c>
      <c r="N161" t="str">
        <f t="shared" si="18"/>
        <v>whatnot.com/order/V3RCUewZwCDfiBZPvUE9Az
$3.00 + $0.35 (Shared Shipping) + $0.34 Tax = Total of $3.70</v>
      </c>
      <c r="O161" s="2">
        <f t="shared" si="19"/>
        <v>3.81</v>
      </c>
      <c r="P161" s="1">
        <f t="shared" si="20"/>
        <v>0.35235294117647059</v>
      </c>
      <c r="Q161" s="1">
        <f t="shared" si="21"/>
        <v>3.3523529411764708</v>
      </c>
      <c r="R161" s="1">
        <f t="shared" si="22"/>
        <v>0.34361617647058823</v>
      </c>
      <c r="S161" s="1">
        <f t="shared" si="23"/>
        <v>3.695969117647059</v>
      </c>
      <c r="T161" s="1">
        <f>IFERROR(_xlfn.XLOOKUP(J161,Collection!A:A,Collection!D:D,0)/100/_xlfn.XLOOKUP(J161,Collection!A:A,Collection!J:J,0),_xlfn.XLOOKUP(J161,Sold!A:A,Sold!D:D,0)/100/_xlfn.XLOOKUP(J161,Sold!A:A,Sold!J:J,0))</f>
        <v>5.52</v>
      </c>
      <c r="U161" s="1">
        <f t="shared" si="24"/>
        <v>1.8240308823529405</v>
      </c>
      <c r="V161" s="18">
        <f>COUNTIF(Collection!A:A,J161)+COUNTIF(Sold!A:A,J161)</f>
        <v>5</v>
      </c>
      <c r="W161" t="str">
        <f>IFERROR(_xlfn.TEXTAFTER(_xlfn.XLOOKUP(J161,Collection!A:A,Collection!C:C,),"Cards "),_xlfn.TEXTAFTER(_xlfn.XLOOKUP(J161,Sold!A:A,Sold!C:C,),"Cards "))</f>
        <v>2025 Topps Match Attax Breakthrough Baller</v>
      </c>
      <c r="X161" s="18" t="str">
        <f>IFERROR(_xlfn.XLOOKUP(J161,Collection!A:A,Collection!B:B,),_xlfn.XLOOKUP(J161,Sold!A:A,Sold!B:B,))</f>
        <v>Victor Wembanyama #BB-VW</v>
      </c>
      <c r="Y161" s="53" t="s">
        <v>507</v>
      </c>
    </row>
    <row r="162" spans="2:25" x14ac:dyDescent="0.3">
      <c r="B162" s="10" t="s">
        <v>691</v>
      </c>
      <c r="C162" s="10" t="s">
        <v>739</v>
      </c>
      <c r="D162" s="5">
        <v>46161</v>
      </c>
      <c r="E162" s="6">
        <v>31</v>
      </c>
      <c r="F162" s="4">
        <v>1</v>
      </c>
      <c r="G162" s="4">
        <v>0</v>
      </c>
      <c r="H162" s="4">
        <v>0.11</v>
      </c>
      <c r="I162" s="10" t="s">
        <v>66</v>
      </c>
      <c r="J162" s="10">
        <v>12950794</v>
      </c>
      <c r="K162" s="10">
        <v>606</v>
      </c>
      <c r="L162" s="16" t="s">
        <v>794</v>
      </c>
      <c r="M162" s="53" t="s">
        <v>1456</v>
      </c>
      <c r="N162" t="str">
        <f t="shared" si="18"/>
        <v>whatnot.com/order/adbiydZbLLFo8x6jprPUeB
$1.00 + $0.35 (Shared Shipping) + $0.14 Tax = Total of $1.49</v>
      </c>
      <c r="O162" s="2">
        <f t="shared" si="19"/>
        <v>1.1100000000000001</v>
      </c>
      <c r="P162" s="1">
        <f t="shared" si="20"/>
        <v>0.35235294117647059</v>
      </c>
      <c r="Q162" s="1">
        <f t="shared" si="21"/>
        <v>1.3523529411764705</v>
      </c>
      <c r="R162" s="1">
        <f t="shared" si="22"/>
        <v>0.13861617647058821</v>
      </c>
      <c r="S162" s="1">
        <f t="shared" si="23"/>
        <v>1.4909691176470588</v>
      </c>
      <c r="T162" s="1">
        <f>IFERROR(_xlfn.XLOOKUP(J162,Collection!A:A,Collection!D:D,0)/100/_xlfn.XLOOKUP(J162,Collection!A:A,Collection!J:J,0),_xlfn.XLOOKUP(J162,Sold!A:A,Sold!D:D,0)/100/_xlfn.XLOOKUP(J162,Sold!A:A,Sold!J:J,0))</f>
        <v>0</v>
      </c>
      <c r="U162" s="1">
        <f t="shared" si="24"/>
        <v>-1.4909691176470588</v>
      </c>
      <c r="V162" s="18">
        <f>COUNTIF(Collection!A:A,J162)+COUNTIF(Sold!A:A,J162)</f>
        <v>1</v>
      </c>
      <c r="W162" t="str">
        <f>IFERROR(_xlfn.TEXTAFTER(_xlfn.XLOOKUP(J162,Collection!A:A,Collection!C:C,),"Cards "),_xlfn.TEXTAFTER(_xlfn.XLOOKUP(J162,Sold!A:A,Sold!C:C,),"Cards "))</f>
        <v>2025 Topps NBA Hoops</v>
      </c>
      <c r="X162" s="18" t="str">
        <f>IFERROR(_xlfn.XLOOKUP(J162,Collection!A:A,Collection!B:B,),_xlfn.XLOOKUP(J162,Sold!A:A,Sold!B:B,))</f>
        <v>James Harden [Orange Hoops] #71</v>
      </c>
      <c r="Y162" s="53" t="s">
        <v>507</v>
      </c>
    </row>
    <row r="163" spans="2:25" x14ac:dyDescent="0.3">
      <c r="B163" s="10" t="s">
        <v>691</v>
      </c>
      <c r="C163" s="10" t="s">
        <v>739</v>
      </c>
      <c r="D163" s="5">
        <v>46161</v>
      </c>
      <c r="E163" s="6">
        <v>35</v>
      </c>
      <c r="F163" s="4">
        <v>3</v>
      </c>
      <c r="G163" s="4">
        <v>0</v>
      </c>
      <c r="H163" s="4">
        <v>0.31</v>
      </c>
      <c r="I163" s="10" t="s">
        <v>512</v>
      </c>
      <c r="J163" s="10">
        <v>11830213</v>
      </c>
      <c r="K163" s="10">
        <v>46</v>
      </c>
      <c r="L163" s="16" t="s">
        <v>795</v>
      </c>
      <c r="M163" s="53" t="s">
        <v>1457</v>
      </c>
      <c r="N163" t="str">
        <f t="shared" si="18"/>
        <v>whatnot.com/order/XkjMoJAg278e8FP5go6RjV
$3.00 + $0.35 (Shared Shipping) + $0.34 Tax = Total of $3.70</v>
      </c>
      <c r="O163" s="2">
        <f t="shared" si="19"/>
        <v>3.31</v>
      </c>
      <c r="P163" s="1">
        <f t="shared" si="20"/>
        <v>0.35235294117647059</v>
      </c>
      <c r="Q163" s="1">
        <f t="shared" si="21"/>
        <v>3.3523529411764708</v>
      </c>
      <c r="R163" s="1">
        <f t="shared" si="22"/>
        <v>0.34361617647058823</v>
      </c>
      <c r="S163" s="1">
        <f t="shared" si="23"/>
        <v>3.695969117647059</v>
      </c>
      <c r="T163" s="1">
        <f>IFERROR(_xlfn.XLOOKUP(J163,Collection!A:A,Collection!D:D,0)/100/_xlfn.XLOOKUP(J163,Collection!A:A,Collection!J:J,0),_xlfn.XLOOKUP(J163,Sold!A:A,Sold!D:D,0)/100/_xlfn.XLOOKUP(J163,Sold!A:A,Sold!J:J,0))</f>
        <v>5.52</v>
      </c>
      <c r="U163" s="1">
        <f t="shared" si="24"/>
        <v>1.8240308823529405</v>
      </c>
      <c r="V163" s="18">
        <f>COUNTIF(Collection!A:A,J163)+COUNTIF(Sold!A:A,J163)</f>
        <v>5</v>
      </c>
      <c r="W163" t="str">
        <f>IFERROR(_xlfn.TEXTAFTER(_xlfn.XLOOKUP(J163,Collection!A:A,Collection!C:C,),"Cards "),_xlfn.TEXTAFTER(_xlfn.XLOOKUP(J163,Sold!A:A,Sold!C:C,),"Cards "))</f>
        <v>2025 Topps Match Attax Breakthrough Baller</v>
      </c>
      <c r="X163" s="18" t="str">
        <f>IFERROR(_xlfn.XLOOKUP(J163,Collection!A:A,Collection!B:B,),_xlfn.XLOOKUP(J163,Sold!A:A,Sold!B:B,))</f>
        <v>Victor Wembanyama #BB-VW</v>
      </c>
      <c r="Y163" s="53" t="s">
        <v>507</v>
      </c>
    </row>
    <row r="164" spans="2:25" x14ac:dyDescent="0.3">
      <c r="B164" s="10" t="s">
        <v>691</v>
      </c>
      <c r="C164" s="10" t="s">
        <v>739</v>
      </c>
      <c r="D164" s="5">
        <v>46161</v>
      </c>
      <c r="E164" s="6">
        <v>38</v>
      </c>
      <c r="F164" s="4">
        <v>1</v>
      </c>
      <c r="G164" s="4">
        <v>0.78</v>
      </c>
      <c r="H164" s="4">
        <v>0.19</v>
      </c>
      <c r="I164" s="10" t="s">
        <v>64</v>
      </c>
      <c r="J164" s="10">
        <v>9646041</v>
      </c>
      <c r="K164" s="10">
        <v>547</v>
      </c>
      <c r="L164" s="16" t="s">
        <v>796</v>
      </c>
      <c r="M164" s="53" t="s">
        <v>1458</v>
      </c>
      <c r="N164" t="str">
        <f t="shared" si="18"/>
        <v>whatnot.com/order/Z2R37fViUKxpmERP7PNyqv
$1.00 + $0.35 (Shared Shipping) + $0.14 Tax = Total of $1.49</v>
      </c>
      <c r="O164" s="2">
        <f t="shared" si="19"/>
        <v>1.97</v>
      </c>
      <c r="P164" s="1">
        <f t="shared" si="20"/>
        <v>0.35235294117647059</v>
      </c>
      <c r="Q164" s="1">
        <f t="shared" si="21"/>
        <v>1.3523529411764705</v>
      </c>
      <c r="R164" s="1">
        <f t="shared" si="22"/>
        <v>0.13861617647058821</v>
      </c>
      <c r="S164" s="1">
        <f t="shared" si="23"/>
        <v>1.4909691176470588</v>
      </c>
      <c r="T164" s="1">
        <f>IFERROR(_xlfn.XLOOKUP(J164,Collection!A:A,Collection!D:D,0)/100/_xlfn.XLOOKUP(J164,Collection!A:A,Collection!J:J,0),_xlfn.XLOOKUP(J164,Sold!A:A,Sold!D:D,0)/100/_xlfn.XLOOKUP(J164,Sold!A:A,Sold!J:J,0))</f>
        <v>1</v>
      </c>
      <c r="U164" s="1">
        <f t="shared" si="24"/>
        <v>-0.49096911764705875</v>
      </c>
      <c r="V164" s="18">
        <f>COUNTIF(Collection!A:A,J164)+COUNTIF(Sold!A:A,J164)</f>
        <v>1</v>
      </c>
      <c r="W164" t="str">
        <f>IFERROR(_xlfn.TEXTAFTER(_xlfn.XLOOKUP(J164,Collection!A:A,Collection!C:C,),"Cards "),_xlfn.TEXTAFTER(_xlfn.XLOOKUP(J164,Sold!A:A,Sold!C:C,),"Cards "))</f>
        <v>2024 Topps Chrome Instinct</v>
      </c>
      <c r="X164" s="18" t="str">
        <f>IFERROR(_xlfn.XLOOKUP(J164,Collection!A:A,Collection!B:B,),_xlfn.XLOOKUP(J164,Sold!A:A,Sold!B:B,))</f>
        <v>Joel Embiid [Purple Geometric Refractor] #INS-6</v>
      </c>
      <c r="Y164" s="53" t="s">
        <v>507</v>
      </c>
    </row>
    <row r="165" spans="2:25" x14ac:dyDescent="0.3">
      <c r="B165" s="10" t="s">
        <v>691</v>
      </c>
      <c r="C165" s="10" t="s">
        <v>739</v>
      </c>
      <c r="D165" s="5">
        <v>46161</v>
      </c>
      <c r="E165" s="6">
        <v>61</v>
      </c>
      <c r="F165" s="4">
        <v>4</v>
      </c>
      <c r="G165" s="4">
        <v>0</v>
      </c>
      <c r="H165" s="4">
        <v>0.41</v>
      </c>
      <c r="I165" s="10" t="s">
        <v>512</v>
      </c>
      <c r="J165" s="10">
        <v>11830213</v>
      </c>
      <c r="K165" s="10">
        <v>45</v>
      </c>
      <c r="L165" s="16" t="s">
        <v>801</v>
      </c>
      <c r="M165" s="53" t="s">
        <v>1459</v>
      </c>
      <c r="N165" t="str">
        <f t="shared" si="18"/>
        <v>whatnot.com/order/V7U6XPjihidFw6zF8nFVk5
$4.00 + $0.80 (Shared Shipping) + $0.49 Tax = Total of $5.29</v>
      </c>
      <c r="O165" s="2">
        <f t="shared" si="19"/>
        <v>4.41</v>
      </c>
      <c r="P165" s="1">
        <f>SUMIFS(G:G,C:C,C175,D:D,D175)/COUNTIFS(C:C,C175,D:D,D175)</f>
        <v>0.79999999999999993</v>
      </c>
      <c r="Q165" s="1">
        <f t="shared" si="21"/>
        <v>4.8</v>
      </c>
      <c r="R165" s="1">
        <f t="shared" si="22"/>
        <v>0.49199999999999994</v>
      </c>
      <c r="S165" s="1">
        <f t="shared" si="23"/>
        <v>5.2919999999999998</v>
      </c>
      <c r="T165" s="1">
        <f>IFERROR(_xlfn.XLOOKUP(J165,Collection!A:A,Collection!D:D,0)/100/_xlfn.XLOOKUP(J165,Collection!A:A,Collection!J:J,0),_xlfn.XLOOKUP(J165,Sold!A:A,Sold!D:D,0)/100/_xlfn.XLOOKUP(J165,Sold!A:A,Sold!J:J,0))</f>
        <v>5.52</v>
      </c>
      <c r="U165" s="1">
        <f t="shared" si="24"/>
        <v>0.22799999999999976</v>
      </c>
      <c r="V165" s="18">
        <f>COUNTIF(Collection!A:A,J165)+COUNTIF(Sold!A:A,J165)</f>
        <v>5</v>
      </c>
      <c r="W165" t="str">
        <f>IFERROR(_xlfn.TEXTAFTER(_xlfn.XLOOKUP(J165,Collection!A:A,Collection!C:C,),"Cards "),_xlfn.TEXTAFTER(_xlfn.XLOOKUP(J165,Sold!A:A,Sold!C:C,),"Cards "))</f>
        <v>2025 Topps Match Attax Breakthrough Baller</v>
      </c>
      <c r="X165" s="18" t="str">
        <f>IFERROR(_xlfn.XLOOKUP(J165,Collection!A:A,Collection!B:B,),_xlfn.XLOOKUP(J165,Sold!A:A,Sold!B:B,))</f>
        <v>Victor Wembanyama #BB-VW</v>
      </c>
      <c r="Y165" s="53" t="s">
        <v>507</v>
      </c>
    </row>
    <row r="166" spans="2:25" x14ac:dyDescent="0.3">
      <c r="B166" s="10" t="s">
        <v>691</v>
      </c>
      <c r="C166" s="10" t="s">
        <v>739</v>
      </c>
      <c r="D166" s="5">
        <v>46161</v>
      </c>
      <c r="E166" s="6">
        <v>62</v>
      </c>
      <c r="F166" s="4">
        <v>5</v>
      </c>
      <c r="G166" s="4">
        <v>0</v>
      </c>
      <c r="H166" s="4">
        <v>0.52</v>
      </c>
      <c r="I166" s="10" t="s">
        <v>512</v>
      </c>
      <c r="J166" s="10">
        <v>11909415</v>
      </c>
      <c r="K166" s="10">
        <v>39</v>
      </c>
      <c r="L166" s="16" t="s">
        <v>802</v>
      </c>
      <c r="M166" s="53" t="s">
        <v>1460</v>
      </c>
      <c r="N166" t="str">
        <f t="shared" si="18"/>
        <v>whatnot.com/order/iZbKHBvYo5zS45eekjhRzc
$5.00 + $0.80 (Shared Shipping) + $0.59 Tax = Total of $6.39</v>
      </c>
      <c r="O166" s="2">
        <f t="shared" si="19"/>
        <v>5.52</v>
      </c>
      <c r="P166" s="1">
        <f>SUMIFS(G:G,C:C,C176,D:D,D176)/COUNTIFS(C:C,C176,D:D,D176)</f>
        <v>0.79999999999999993</v>
      </c>
      <c r="Q166" s="1">
        <f t="shared" si="21"/>
        <v>5.8</v>
      </c>
      <c r="R166" s="1">
        <f t="shared" si="22"/>
        <v>0.59449999999999992</v>
      </c>
      <c r="S166" s="1">
        <f t="shared" si="23"/>
        <v>6.3944999999999999</v>
      </c>
      <c r="T166" s="1">
        <f>IFERROR(_xlfn.XLOOKUP(J166,Collection!A:A,Collection!D:D,0)/100/_xlfn.XLOOKUP(J166,Collection!A:A,Collection!J:J,0),_xlfn.XLOOKUP(J166,Sold!A:A,Sold!D:D,0)/100/_xlfn.XLOOKUP(J166,Sold!A:A,Sold!J:J,0))</f>
        <v>7</v>
      </c>
      <c r="U166" s="1">
        <f t="shared" si="24"/>
        <v>0.60550000000000015</v>
      </c>
      <c r="V166" s="18">
        <f>COUNTIF(Collection!A:A,J166)+COUNTIF(Sold!A:A,J166)</f>
        <v>4</v>
      </c>
      <c r="W166" t="str">
        <f>IFERROR(_xlfn.TEXTAFTER(_xlfn.XLOOKUP(J166,Collection!A:A,Collection!C:C,),"Cards "),_xlfn.TEXTAFTER(_xlfn.XLOOKUP(J166,Sold!A:A,Sold!C:C,),"Cards "))</f>
        <v>2025 Topps Match Attax Hot Prospects</v>
      </c>
      <c r="X166" s="18" t="str">
        <f>IFERROR(_xlfn.XLOOKUP(J166,Collection!A:A,Collection!B:B,),_xlfn.XLOOKUP(J166,Sold!A:A,Sold!B:B,))</f>
        <v>Victor Wembanyama #HP-VW</v>
      </c>
      <c r="Y166" s="53" t="s">
        <v>507</v>
      </c>
    </row>
    <row r="167" spans="2:25" x14ac:dyDescent="0.3">
      <c r="B167" s="10" t="s">
        <v>691</v>
      </c>
      <c r="C167" s="10" t="s">
        <v>739</v>
      </c>
      <c r="D167" s="5">
        <v>46161</v>
      </c>
      <c r="E167" s="6">
        <v>64</v>
      </c>
      <c r="F167" s="4">
        <v>2</v>
      </c>
      <c r="G167" s="4">
        <v>0.41</v>
      </c>
      <c r="H167" s="4">
        <v>0.26</v>
      </c>
      <c r="I167" s="10" t="s">
        <v>468</v>
      </c>
      <c r="J167" s="10">
        <v>11909462</v>
      </c>
      <c r="K167" s="10">
        <v>251</v>
      </c>
      <c r="L167" s="16" t="s">
        <v>803</v>
      </c>
      <c r="M167" s="53" t="s">
        <v>1461</v>
      </c>
      <c r="N167" t="str">
        <f t="shared" si="18"/>
        <v>whatnot.com/order/gKVf7ZXT8eYzYEJbDN84nY
$2.00 + $0.80 (Shared Shipping) + $0.29 Tax = Total of $3.09</v>
      </c>
      <c r="O167" s="2">
        <f t="shared" si="19"/>
        <v>2.67</v>
      </c>
      <c r="P167" s="1">
        <f>SUMIFS(G:G,C:C,C177,D:D,D177)/COUNTIFS(C:C,C177,D:D,D177)</f>
        <v>0.79999999999999993</v>
      </c>
      <c r="Q167" s="1">
        <f t="shared" si="21"/>
        <v>2.8</v>
      </c>
      <c r="R167" s="1">
        <f t="shared" si="22"/>
        <v>0.28699999999999998</v>
      </c>
      <c r="S167" s="1">
        <f t="shared" si="23"/>
        <v>3.0869999999999997</v>
      </c>
      <c r="T167" s="1">
        <f>IFERROR(_xlfn.XLOOKUP(J167,Collection!A:A,Collection!D:D,0)/100/_xlfn.XLOOKUP(J167,Collection!A:A,Collection!J:J,0),_xlfn.XLOOKUP(J167,Sold!A:A,Sold!D:D,0)/100/_xlfn.XLOOKUP(J167,Sold!A:A,Sold!J:J,0))</f>
        <v>2.0099999999999998</v>
      </c>
      <c r="U167" s="1">
        <f t="shared" si="24"/>
        <v>-1.077</v>
      </c>
      <c r="V167" s="18">
        <f>COUNTIF(Collection!A:A,J167)+COUNTIF(Sold!A:A,J167)</f>
        <v>3</v>
      </c>
      <c r="W167" t="str">
        <f>IFERROR(_xlfn.TEXTAFTER(_xlfn.XLOOKUP(J167,Collection!A:A,Collection!C:C,),"Cards "),_xlfn.TEXTAFTER(_xlfn.XLOOKUP(J167,Sold!A:A,Sold!C:C,),"Cards "))</f>
        <v>2025 Topps Match Attax Scoring Hero</v>
      </c>
      <c r="X167" s="18" t="str">
        <f>IFERROR(_xlfn.XLOOKUP(J167,Collection!A:A,Collection!B:B,),_xlfn.XLOOKUP(J167,Sold!A:A,Sold!B:B,))</f>
        <v>Shai Gilgeous-Alexander #SH-SG</v>
      </c>
      <c r="Y167" s="53" t="s">
        <v>507</v>
      </c>
    </row>
    <row r="168" spans="2:25" x14ac:dyDescent="0.3">
      <c r="B168" s="10" t="s">
        <v>691</v>
      </c>
      <c r="C168" s="10" t="s">
        <v>739</v>
      </c>
      <c r="D168" s="5">
        <v>46161</v>
      </c>
      <c r="E168" s="6">
        <v>65</v>
      </c>
      <c r="F168" s="4">
        <v>2</v>
      </c>
      <c r="G168" s="4">
        <v>0</v>
      </c>
      <c r="H168" s="4">
        <v>0.21</v>
      </c>
      <c r="I168" s="10" t="s">
        <v>468</v>
      </c>
      <c r="J168" s="10">
        <v>12957398</v>
      </c>
      <c r="K168" s="10">
        <v>351</v>
      </c>
      <c r="L168" s="16" t="s">
        <v>804</v>
      </c>
      <c r="M168" s="53" t="s">
        <v>1462</v>
      </c>
      <c r="N168" t="str">
        <f t="shared" si="18"/>
        <v>whatnot.com/order/D6qPAHQXHsNLKzLT7qX4E9
$2.00 + $0.80 (Shared Shipping) + $0.29 Tax = Total of $3.09</v>
      </c>
      <c r="O168" s="2">
        <f t="shared" si="19"/>
        <v>2.21</v>
      </c>
      <c r="P168" s="1">
        <f>SUMIFS(G:G,C:C,C180,D:D,D180)/COUNTIFS(C:C,C180,D:D,D180)</f>
        <v>0.79999999999999993</v>
      </c>
      <c r="Q168" s="1">
        <f t="shared" si="21"/>
        <v>2.8</v>
      </c>
      <c r="R168" s="1">
        <f t="shared" si="22"/>
        <v>0.28699999999999998</v>
      </c>
      <c r="S168" s="1">
        <f t="shared" si="23"/>
        <v>3.0869999999999997</v>
      </c>
      <c r="T168" s="1">
        <f>IFERROR(_xlfn.XLOOKUP(J168,Collection!A:A,Collection!D:D,0)/100/_xlfn.XLOOKUP(J168,Collection!A:A,Collection!J:J,0),_xlfn.XLOOKUP(J168,Sold!A:A,Sold!D:D,0)/100/_xlfn.XLOOKUP(J168,Sold!A:A,Sold!J:J,0))</f>
        <v>1.02</v>
      </c>
      <c r="U168" s="1">
        <f t="shared" si="24"/>
        <v>-2.0669999999999997</v>
      </c>
      <c r="V168" s="18">
        <f>COUNTIF(Collection!A:A,J168)+COUNTIF(Sold!A:A,J168)</f>
        <v>2</v>
      </c>
      <c r="W168" t="str">
        <f>IFERROR(_xlfn.TEXTAFTER(_xlfn.XLOOKUP(J168,Collection!A:A,Collection!C:C,),"Cards "),_xlfn.TEXTAFTER(_xlfn.XLOOKUP(J168,Sold!A:A,Sold!C:C,),"Cards "))</f>
        <v>2025 Topps NBA Hoops</v>
      </c>
      <c r="X168" s="18" t="str">
        <f>IFERROR(_xlfn.XLOOKUP(J168,Collection!A:A,Collection!B:B,),_xlfn.XLOOKUP(J168,Sold!A:A,Sold!B:B,))</f>
        <v>Shai Gilgeous-Alexander #286</v>
      </c>
      <c r="Y168" s="53" t="s">
        <v>507</v>
      </c>
    </row>
    <row r="169" spans="2:25" x14ac:dyDescent="0.3">
      <c r="B169" s="10" t="s">
        <v>691</v>
      </c>
      <c r="C169" s="10" t="s">
        <v>739</v>
      </c>
      <c r="D169" s="5">
        <v>46161</v>
      </c>
      <c r="E169" s="6">
        <v>66</v>
      </c>
      <c r="F169" s="4">
        <v>5</v>
      </c>
      <c r="G169" s="4">
        <v>0</v>
      </c>
      <c r="H169" s="4">
        <v>0.52</v>
      </c>
      <c r="I169" s="10" t="s">
        <v>512</v>
      </c>
      <c r="J169" s="10">
        <v>11909415</v>
      </c>
      <c r="K169" s="10">
        <v>100</v>
      </c>
      <c r="L169" s="16" t="s">
        <v>805</v>
      </c>
      <c r="M169" s="53" t="s">
        <v>1463</v>
      </c>
      <c r="N169" t="str">
        <f t="shared" si="18"/>
        <v>whatnot.com/order/VQe2Xcgdk5QnGCBcwfuXsR
$5.00 + $0.35 (Shared Shipping) + $0.55 Tax = Total of $5.90</v>
      </c>
      <c r="O169" s="2">
        <f t="shared" si="19"/>
        <v>5.52</v>
      </c>
      <c r="P169" s="1">
        <f>SUMIFS(G:G,C:C,C165,D:D,D165)/COUNTIFS(C:C,C165,D:D,D165)</f>
        <v>0.35235294117647059</v>
      </c>
      <c r="Q169" s="1">
        <f t="shared" si="21"/>
        <v>5.3523529411764708</v>
      </c>
      <c r="R169" s="1">
        <f t="shared" si="22"/>
        <v>0.54861617647058825</v>
      </c>
      <c r="S169" s="1">
        <f t="shared" si="23"/>
        <v>5.9009691176470591</v>
      </c>
      <c r="T169" s="1">
        <f>IFERROR(_xlfn.XLOOKUP(J169,Collection!A:A,Collection!D:D,0)/100/_xlfn.XLOOKUP(J169,Collection!A:A,Collection!J:J,0),_xlfn.XLOOKUP(J169,Sold!A:A,Sold!D:D,0)/100/_xlfn.XLOOKUP(J169,Sold!A:A,Sold!J:J,0))</f>
        <v>7</v>
      </c>
      <c r="U169" s="1">
        <f t="shared" si="24"/>
        <v>1.0990308823529409</v>
      </c>
      <c r="V169" s="18">
        <f>COUNTIF(Collection!A:A,J169)+COUNTIF(Sold!A:A,J169)</f>
        <v>4</v>
      </c>
      <c r="W169" t="str">
        <f>IFERROR(_xlfn.TEXTAFTER(_xlfn.XLOOKUP(J169,Collection!A:A,Collection!C:C,),"Cards "),_xlfn.TEXTAFTER(_xlfn.XLOOKUP(J169,Sold!A:A,Sold!C:C,),"Cards "))</f>
        <v>2025 Topps Match Attax Hot Prospects</v>
      </c>
      <c r="X169" s="18" t="str">
        <f>IFERROR(_xlfn.XLOOKUP(J169,Collection!A:A,Collection!B:B,),_xlfn.XLOOKUP(J169,Sold!A:A,Sold!B:B,))</f>
        <v>Victor Wembanyama #HP-VW</v>
      </c>
      <c r="Y169" s="53" t="s">
        <v>507</v>
      </c>
    </row>
    <row r="170" spans="2:25" x14ac:dyDescent="0.3">
      <c r="B170" s="10" t="s">
        <v>691</v>
      </c>
      <c r="C170" s="10" t="s">
        <v>739</v>
      </c>
      <c r="D170" s="5">
        <v>46161</v>
      </c>
      <c r="E170" s="6">
        <v>68</v>
      </c>
      <c r="F170" s="4">
        <v>3</v>
      </c>
      <c r="G170" s="4">
        <v>0</v>
      </c>
      <c r="H170" s="4">
        <v>0.31</v>
      </c>
      <c r="I170" s="10" t="s">
        <v>512</v>
      </c>
      <c r="J170" s="10">
        <v>11830213</v>
      </c>
      <c r="K170" s="10">
        <v>47</v>
      </c>
      <c r="L170" s="16" t="s">
        <v>806</v>
      </c>
      <c r="M170" s="53" t="s">
        <v>1464</v>
      </c>
      <c r="N170" t="str">
        <f t="shared" si="18"/>
        <v>whatnot.com/order/dreE2xdZz6eNaRJPKmkUNj
$3.00 + $0.35 (Shared Shipping) + $0.34 Tax = Total of $3.70</v>
      </c>
      <c r="O170" s="2">
        <f t="shared" si="19"/>
        <v>3.31</v>
      </c>
      <c r="P170" s="1">
        <f>SUMIFS(G:G,C:C,C166,D:D,D166)/COUNTIFS(C:C,C166,D:D,D166)</f>
        <v>0.35235294117647059</v>
      </c>
      <c r="Q170" s="1">
        <f t="shared" si="21"/>
        <v>3.3523529411764708</v>
      </c>
      <c r="R170" s="1">
        <f t="shared" si="22"/>
        <v>0.34361617647058823</v>
      </c>
      <c r="S170" s="1">
        <f t="shared" si="23"/>
        <v>3.695969117647059</v>
      </c>
      <c r="T170" s="1">
        <f>IFERROR(_xlfn.XLOOKUP(J170,Collection!A:A,Collection!D:D,0)/100/_xlfn.XLOOKUP(J170,Collection!A:A,Collection!J:J,0),_xlfn.XLOOKUP(J170,Sold!A:A,Sold!D:D,0)/100/_xlfn.XLOOKUP(J170,Sold!A:A,Sold!J:J,0))</f>
        <v>5.52</v>
      </c>
      <c r="U170" s="1">
        <f t="shared" si="24"/>
        <v>1.8240308823529405</v>
      </c>
      <c r="V170" s="18">
        <f>COUNTIF(Collection!A:A,J170)+COUNTIF(Sold!A:A,J170)</f>
        <v>5</v>
      </c>
      <c r="W170" t="str">
        <f>IFERROR(_xlfn.TEXTAFTER(_xlfn.XLOOKUP(J170,Collection!A:A,Collection!C:C,),"Cards "),_xlfn.TEXTAFTER(_xlfn.XLOOKUP(J170,Sold!A:A,Sold!C:C,),"Cards "))</f>
        <v>2025 Topps Match Attax Breakthrough Baller</v>
      </c>
      <c r="X170" s="18" t="str">
        <f>IFERROR(_xlfn.XLOOKUP(J170,Collection!A:A,Collection!B:B,),_xlfn.XLOOKUP(J170,Sold!A:A,Sold!B:B,))</f>
        <v>Victor Wembanyama #BB-VW</v>
      </c>
      <c r="Y170" s="53" t="s">
        <v>507</v>
      </c>
    </row>
    <row r="171" spans="2:25" x14ac:dyDescent="0.3">
      <c r="B171" s="10" t="s">
        <v>691</v>
      </c>
      <c r="C171" s="10" t="s">
        <v>739</v>
      </c>
      <c r="D171" s="5">
        <v>46161</v>
      </c>
      <c r="E171" s="6" t="s">
        <v>1060</v>
      </c>
      <c r="F171" s="4">
        <v>0</v>
      </c>
      <c r="G171" s="4">
        <v>0</v>
      </c>
      <c r="H171" s="4">
        <v>0</v>
      </c>
      <c r="I171" s="10" t="s">
        <v>1042</v>
      </c>
      <c r="J171" s="10"/>
      <c r="K171" s="10" t="s">
        <v>1831</v>
      </c>
      <c r="L171" s="16" t="s">
        <v>1045</v>
      </c>
      <c r="M171" s="53" t="s">
        <v>1465</v>
      </c>
      <c r="N171" t="str">
        <f t="shared" si="18"/>
        <v xml:space="preserve">
$0.00 + $0.35 (Shared Shipping) + $0.00 Tax = Total of $0.35</v>
      </c>
      <c r="O171" s="2">
        <f t="shared" si="19"/>
        <v>0</v>
      </c>
      <c r="P171" s="1">
        <f>SUMIFS(G:G,C:C,C167,D:D,D167)/COUNTIFS(C:C,C167,D:D,D167)</f>
        <v>0.35235294117647059</v>
      </c>
      <c r="Q171" s="1">
        <f t="shared" si="21"/>
        <v>0.35235294117647059</v>
      </c>
      <c r="R171" s="1">
        <f t="shared" si="22"/>
        <v>0</v>
      </c>
      <c r="S171" s="1">
        <f t="shared" si="23"/>
        <v>0.35235294117647059</v>
      </c>
      <c r="T171" s="1" t="e">
        <f>IFERROR(_xlfn.XLOOKUP(J171,Collection!A:A,Collection!D:D,0)/100/_xlfn.XLOOKUP(J171,Collection!A:A,Collection!J:J,0),_xlfn.XLOOKUP(J171,Sold!A:A,Sold!D:D,0)/100/_xlfn.XLOOKUP(J171,Sold!A:A,Sold!J:J,0))</f>
        <v>#DIV/0!</v>
      </c>
      <c r="U171" s="1">
        <f t="shared" si="24"/>
        <v>0</v>
      </c>
      <c r="V171" s="18">
        <f>COUNTIF(Collection!A:A,J171)+COUNTIF(Sold!A:A,J171)</f>
        <v>0</v>
      </c>
      <c r="W171" t="e">
        <f>IFERROR(_xlfn.TEXTAFTER(_xlfn.XLOOKUP(J171,Collection!A:A,Collection!C:C,),"Cards "),_xlfn.TEXTAFTER(_xlfn.XLOOKUP(J171,Sold!A:A,Sold!C:C,),"Cards "))</f>
        <v>#N/A</v>
      </c>
      <c r="X171" s="18">
        <f>IFERROR(_xlfn.XLOOKUP(J171,Collection!A:A,Collection!B:B,),_xlfn.XLOOKUP(J171,Sold!A:A,Sold!B:B,))</f>
        <v>0</v>
      </c>
      <c r="Y171" s="53" t="s">
        <v>507</v>
      </c>
    </row>
    <row r="172" spans="2:25" x14ac:dyDescent="0.3">
      <c r="B172" s="10" t="s">
        <v>691</v>
      </c>
      <c r="C172" s="10" t="s">
        <v>739</v>
      </c>
      <c r="D172" s="5">
        <v>46161</v>
      </c>
      <c r="E172" s="6" t="s">
        <v>1060</v>
      </c>
      <c r="F172" s="4">
        <v>0</v>
      </c>
      <c r="G172" s="4">
        <v>0</v>
      </c>
      <c r="H172" s="4">
        <v>0</v>
      </c>
      <c r="I172" s="10" t="s">
        <v>10</v>
      </c>
      <c r="J172" s="10">
        <v>6059248</v>
      </c>
      <c r="K172" s="10">
        <v>405</v>
      </c>
      <c r="L172" s="16" t="s">
        <v>1045</v>
      </c>
      <c r="M172" s="53" t="s">
        <v>1465</v>
      </c>
      <c r="N172" t="str">
        <f t="shared" si="18"/>
        <v xml:space="preserve">
$0.00 + $0.35 (Shared Shipping) + $0.00 Tax = Total of $0.35</v>
      </c>
      <c r="O172" s="2">
        <f t="shared" si="19"/>
        <v>0</v>
      </c>
      <c r="P172" s="1">
        <f>SUMIFS(G:G,C:C,C168,D:D,D168)/COUNTIFS(C:C,C168,D:D,D168)</f>
        <v>0.35235294117647059</v>
      </c>
      <c r="Q172" s="1">
        <f t="shared" si="21"/>
        <v>0.35235294117647059</v>
      </c>
      <c r="R172" s="1">
        <f t="shared" si="22"/>
        <v>0</v>
      </c>
      <c r="S172" s="1">
        <f t="shared" si="23"/>
        <v>0.35235294117647059</v>
      </c>
      <c r="T172" s="1">
        <f>IFERROR(_xlfn.XLOOKUP(J172,Collection!A:A,Collection!D:D,0)/100/_xlfn.XLOOKUP(J172,Collection!A:A,Collection!J:J,0),_xlfn.XLOOKUP(J172,Sold!A:A,Sold!D:D,0)/100/_xlfn.XLOOKUP(J172,Sold!A:A,Sold!J:J,0))</f>
        <v>1.51</v>
      </c>
      <c r="U172" s="1">
        <f t="shared" si="24"/>
        <v>1.1576470588235295</v>
      </c>
      <c r="V172" s="18">
        <f>COUNTIF(Collection!A:A,J172)+COUNTIF(Sold!A:A,J172)</f>
        <v>1</v>
      </c>
      <c r="W172" t="str">
        <f>IFERROR(_xlfn.TEXTAFTER(_xlfn.XLOOKUP(J172,Collection!A:A,Collection!C:C,),"Cards "),_xlfn.TEXTAFTER(_xlfn.XLOOKUP(J172,Sold!A:A,Sold!C:C,),"Cards "))</f>
        <v>2023 Panini Hoops</v>
      </c>
      <c r="X172" s="18" t="str">
        <f>IFERROR(_xlfn.XLOOKUP(J172,Collection!A:A,Collection!B:B,),_xlfn.XLOOKUP(J172,Sold!A:A,Sold!B:B,))</f>
        <v>Nikola Jokic #291</v>
      </c>
      <c r="Y172" s="53" t="s">
        <v>507</v>
      </c>
    </row>
    <row r="173" spans="2:25" x14ac:dyDescent="0.3">
      <c r="B173" s="10" t="s">
        <v>691</v>
      </c>
      <c r="C173" s="10" t="s">
        <v>739</v>
      </c>
      <c r="D173" s="5">
        <v>46161</v>
      </c>
      <c r="E173" s="6" t="s">
        <v>1060</v>
      </c>
      <c r="F173" s="4">
        <v>0</v>
      </c>
      <c r="G173" s="4">
        <v>0</v>
      </c>
      <c r="H173" s="4">
        <v>0</v>
      </c>
      <c r="I173" s="10" t="s">
        <v>716</v>
      </c>
      <c r="J173" s="10"/>
      <c r="K173" s="10" t="s">
        <v>1832</v>
      </c>
      <c r="L173" s="16" t="s">
        <v>1045</v>
      </c>
      <c r="M173" s="53" t="s">
        <v>1465</v>
      </c>
      <c r="N173" t="str">
        <f t="shared" si="18"/>
        <v xml:space="preserve">
$0.00 + $0.35 (Shared Shipping) + $0.00 Tax = Total of $0.35</v>
      </c>
      <c r="O173" s="2">
        <f t="shared" si="19"/>
        <v>0</v>
      </c>
      <c r="P173" s="1">
        <f>SUMIFS(G:G,C:C,C169,D:D,D169)/COUNTIFS(C:C,C169,D:D,D169)</f>
        <v>0.35235294117647059</v>
      </c>
      <c r="Q173" s="1">
        <f t="shared" si="21"/>
        <v>0.35235294117647059</v>
      </c>
      <c r="R173" s="1">
        <f t="shared" si="22"/>
        <v>0</v>
      </c>
      <c r="S173" s="1">
        <f t="shared" si="23"/>
        <v>0.35235294117647059</v>
      </c>
      <c r="T173" s="1" t="e">
        <f>IFERROR(_xlfn.XLOOKUP(J173,Collection!A:A,Collection!D:D,0)/100/_xlfn.XLOOKUP(J173,Collection!A:A,Collection!J:J,0),_xlfn.XLOOKUP(J173,Sold!A:A,Sold!D:D,0)/100/_xlfn.XLOOKUP(J173,Sold!A:A,Sold!J:J,0))</f>
        <v>#DIV/0!</v>
      </c>
      <c r="U173" s="1">
        <f t="shared" si="24"/>
        <v>0</v>
      </c>
      <c r="V173" s="18">
        <f>COUNTIF(Collection!A:A,J173)+COUNTIF(Sold!A:A,J173)</f>
        <v>0</v>
      </c>
      <c r="W173" t="e">
        <f>IFERROR(_xlfn.TEXTAFTER(_xlfn.XLOOKUP(J173,Collection!A:A,Collection!C:C,),"Cards "),_xlfn.TEXTAFTER(_xlfn.XLOOKUP(J173,Sold!A:A,Sold!C:C,),"Cards "))</f>
        <v>#N/A</v>
      </c>
      <c r="X173" s="18">
        <f>IFERROR(_xlfn.XLOOKUP(J173,Collection!A:A,Collection!B:B,),_xlfn.XLOOKUP(J173,Sold!A:A,Sold!B:B,))</f>
        <v>0</v>
      </c>
      <c r="Y173" s="53" t="s">
        <v>507</v>
      </c>
    </row>
    <row r="174" spans="2:25" x14ac:dyDescent="0.3">
      <c r="B174" s="10" t="s">
        <v>691</v>
      </c>
      <c r="C174" s="10" t="s">
        <v>739</v>
      </c>
      <c r="D174" s="5">
        <v>46161</v>
      </c>
      <c r="E174" s="6">
        <v>74</v>
      </c>
      <c r="F174" s="4">
        <v>4</v>
      </c>
      <c r="G174" s="4">
        <v>0</v>
      </c>
      <c r="H174" s="4">
        <v>0.41</v>
      </c>
      <c r="I174" s="10" t="s">
        <v>512</v>
      </c>
      <c r="J174" s="10">
        <v>11909415</v>
      </c>
      <c r="K174" s="10">
        <v>103</v>
      </c>
      <c r="L174" s="16" t="s">
        <v>807</v>
      </c>
      <c r="M174" s="53" t="s">
        <v>1466</v>
      </c>
      <c r="N174" t="str">
        <f t="shared" si="18"/>
        <v>whatnot.com/order/EUA4Ax5q4f9gC5Gv9mTsGc
$4.00 + $0.35 (Shared Shipping) + $0.45 Tax = Total of $4.80</v>
      </c>
      <c r="O174" s="2">
        <f t="shared" si="19"/>
        <v>4.41</v>
      </c>
      <c r="P174" s="1">
        <f t="shared" ref="P174:P179" si="25">SUMIFS(G:G,C:C,C167,D:D,D167)/COUNTIFS(C:C,C167,D:D,D167)</f>
        <v>0.35235294117647059</v>
      </c>
      <c r="Q174" s="1">
        <f t="shared" si="21"/>
        <v>4.3523529411764708</v>
      </c>
      <c r="R174" s="1">
        <f t="shared" si="22"/>
        <v>0.44611617647058821</v>
      </c>
      <c r="S174" s="1">
        <f t="shared" si="23"/>
        <v>4.7984691176470591</v>
      </c>
      <c r="T174" s="1">
        <f>IFERROR(_xlfn.XLOOKUP(J174,Collection!A:A,Collection!D:D,0)/100/_xlfn.XLOOKUP(J174,Collection!A:A,Collection!J:J,0),_xlfn.XLOOKUP(J174,Sold!A:A,Sold!D:D,0)/100/_xlfn.XLOOKUP(J174,Sold!A:A,Sold!J:J,0))</f>
        <v>7</v>
      </c>
      <c r="U174" s="1">
        <f t="shared" si="24"/>
        <v>2.2015308823529409</v>
      </c>
      <c r="V174" s="18">
        <f>COUNTIF(Collection!A:A,J174)+COUNTIF(Sold!A:A,J174)</f>
        <v>4</v>
      </c>
      <c r="W174" t="str">
        <f>IFERROR(_xlfn.TEXTAFTER(_xlfn.XLOOKUP(J174,Collection!A:A,Collection!C:C,),"Cards "),_xlfn.TEXTAFTER(_xlfn.XLOOKUP(J174,Sold!A:A,Sold!C:C,),"Cards "))</f>
        <v>2025 Topps Match Attax Hot Prospects</v>
      </c>
      <c r="X174" s="18" t="str">
        <f>IFERROR(_xlfn.XLOOKUP(J174,Collection!A:A,Collection!B:B,),_xlfn.XLOOKUP(J174,Sold!A:A,Sold!B:B,))</f>
        <v>Victor Wembanyama #HP-VW</v>
      </c>
      <c r="Y174" s="53" t="s">
        <v>507</v>
      </c>
    </row>
    <row r="175" spans="2:25" x14ac:dyDescent="0.3">
      <c r="B175" s="10" t="s">
        <v>691</v>
      </c>
      <c r="C175" s="10" t="s">
        <v>787</v>
      </c>
      <c r="D175" s="5">
        <v>46161</v>
      </c>
      <c r="E175" s="6">
        <v>56</v>
      </c>
      <c r="F175" s="4">
        <v>1</v>
      </c>
      <c r="G175" s="4">
        <v>0.3</v>
      </c>
      <c r="H175" s="4">
        <v>0.15</v>
      </c>
      <c r="I175" s="10" t="s">
        <v>10</v>
      </c>
      <c r="J175" s="10">
        <v>112623</v>
      </c>
      <c r="K175" s="10">
        <v>141</v>
      </c>
      <c r="L175" s="16" t="s">
        <v>797</v>
      </c>
      <c r="M175" s="53" t="s">
        <v>1467</v>
      </c>
      <c r="N175" t="str">
        <f t="shared" si="18"/>
        <v>whatnot.com/order/QxNucFNxSrMWbb9wNao39X
$1.00 + $0.35 (Shared Shipping) + $0.14 Tax = Total of $1.49</v>
      </c>
      <c r="O175" s="2">
        <f t="shared" si="19"/>
        <v>1.45</v>
      </c>
      <c r="P175" s="1">
        <f t="shared" si="25"/>
        <v>0.35235294117647059</v>
      </c>
      <c r="Q175" s="1">
        <f t="shared" si="21"/>
        <v>1.3523529411764705</v>
      </c>
      <c r="R175" s="1">
        <f t="shared" si="22"/>
        <v>0.13861617647058821</v>
      </c>
      <c r="S175" s="1">
        <f t="shared" si="23"/>
        <v>1.4909691176470588</v>
      </c>
      <c r="T175" s="1">
        <f>IFERROR(_xlfn.XLOOKUP(J175,Collection!A:A,Collection!D:D,0)/100/_xlfn.XLOOKUP(J175,Collection!A:A,Collection!J:J,0),_xlfn.XLOOKUP(J175,Sold!A:A,Sold!D:D,0)/100/_xlfn.XLOOKUP(J175,Sold!A:A,Sold!J:J,0))</f>
        <v>3.99</v>
      </c>
      <c r="U175" s="1">
        <f t="shared" si="24"/>
        <v>2.4990308823529412</v>
      </c>
      <c r="V175" s="18">
        <f>COUNTIF(Collection!A:A,J175)+COUNTIF(Sold!A:A,J175)</f>
        <v>1</v>
      </c>
      <c r="W175" t="str">
        <f>IFERROR(_xlfn.TEXTAFTER(_xlfn.XLOOKUP(J175,Collection!A:A,Collection!C:C,),"Cards "),_xlfn.TEXTAFTER(_xlfn.XLOOKUP(J175,Sold!A:A,Sold!C:C,),"Cards "))</f>
        <v>2018 Panini Prizm</v>
      </c>
      <c r="X175" s="18" t="str">
        <f>IFERROR(_xlfn.XLOOKUP(J175,Collection!A:A,Collection!B:B,),_xlfn.XLOOKUP(J175,Sold!A:A,Sold!B:B,))</f>
        <v>Nikola Jokic [Silver Prizm] #92</v>
      </c>
      <c r="Y175" s="53" t="s">
        <v>507</v>
      </c>
    </row>
    <row r="176" spans="2:25" x14ac:dyDescent="0.3">
      <c r="B176" s="10" t="s">
        <v>691</v>
      </c>
      <c r="C176" s="10" t="s">
        <v>787</v>
      </c>
      <c r="D176" s="5">
        <v>46161</v>
      </c>
      <c r="E176" s="6">
        <v>57</v>
      </c>
      <c r="F176" s="4">
        <v>1</v>
      </c>
      <c r="G176" s="4">
        <v>1.0900000000000001</v>
      </c>
      <c r="H176" s="4">
        <v>0.22</v>
      </c>
      <c r="I176" s="10" t="s">
        <v>63</v>
      </c>
      <c r="J176" s="10">
        <v>9778659</v>
      </c>
      <c r="K176" s="10">
        <v>543</v>
      </c>
      <c r="L176" s="16" t="s">
        <v>798</v>
      </c>
      <c r="M176" s="53" t="s">
        <v>1468</v>
      </c>
      <c r="N176" t="str">
        <f t="shared" si="18"/>
        <v>whatnot.com/order/FPqEc5jV3NSTjBSSKH6SCF
$1.00 + $0.35 (Shared Shipping) + $0.14 Tax = Total of $1.49</v>
      </c>
      <c r="O176" s="2">
        <f t="shared" si="19"/>
        <v>2.31</v>
      </c>
      <c r="P176" s="1">
        <f t="shared" si="25"/>
        <v>0.35235294117647059</v>
      </c>
      <c r="Q176" s="1">
        <f t="shared" si="21"/>
        <v>1.3523529411764705</v>
      </c>
      <c r="R176" s="1">
        <f t="shared" si="22"/>
        <v>0.13861617647058821</v>
      </c>
      <c r="S176" s="1">
        <f t="shared" si="23"/>
        <v>1.4909691176470588</v>
      </c>
      <c r="T176" s="1">
        <f>IFERROR(_xlfn.XLOOKUP(J176,Collection!A:A,Collection!D:D,0)/100/_xlfn.XLOOKUP(J176,Collection!A:A,Collection!J:J,0),_xlfn.XLOOKUP(J176,Sold!A:A,Sold!D:D,0)/100/_xlfn.XLOOKUP(J176,Sold!A:A,Sold!J:J,0))</f>
        <v>1.84</v>
      </c>
      <c r="U176" s="1">
        <f t="shared" si="24"/>
        <v>0.34903088235294133</v>
      </c>
      <c r="V176" s="18">
        <f>COUNTIF(Collection!A:A,J176)+COUNTIF(Sold!A:A,J176)</f>
        <v>1</v>
      </c>
      <c r="W176" t="str">
        <f>IFERROR(_xlfn.TEXTAFTER(_xlfn.XLOOKUP(J176,Collection!A:A,Collection!C:C,),"Cards "),_xlfn.TEXTAFTER(_xlfn.XLOOKUP(J176,Sold!A:A,Sold!C:C,),"Cards "))</f>
        <v>2024 Panini Select</v>
      </c>
      <c r="X176" s="18" t="str">
        <f>IFERROR(_xlfn.XLOOKUP(J176,Collection!A:A,Collection!B:B,),_xlfn.XLOOKUP(J176,Sold!A:A,Sold!B:B,))</f>
        <v>Stephen Curry [Blue] #7</v>
      </c>
      <c r="Y176" s="53" t="s">
        <v>507</v>
      </c>
    </row>
    <row r="177" spans="2:25" x14ac:dyDescent="0.3">
      <c r="B177" s="10" t="s">
        <v>691</v>
      </c>
      <c r="C177" s="10" t="s">
        <v>787</v>
      </c>
      <c r="D177" s="5">
        <v>46161</v>
      </c>
      <c r="E177" s="6">
        <v>61</v>
      </c>
      <c r="F177" s="4">
        <v>4</v>
      </c>
      <c r="G177" s="4">
        <v>2.96</v>
      </c>
      <c r="H177" s="4">
        <v>0.71</v>
      </c>
      <c r="I177" s="10" t="s">
        <v>11</v>
      </c>
      <c r="J177" s="10">
        <v>4245780</v>
      </c>
      <c r="K177" s="10">
        <v>384</v>
      </c>
      <c r="L177" s="16" t="s">
        <v>799</v>
      </c>
      <c r="M177" s="53" t="s">
        <v>1469</v>
      </c>
      <c r="N177" t="str">
        <f t="shared" si="18"/>
        <v>whatnot.com/order/GPS2oVEvpYFQarAZqquyDW
$4.00 + $0.35 (Shared Shipping) + $0.45 Tax = Total of $4.80</v>
      </c>
      <c r="O177" s="2">
        <f t="shared" si="19"/>
        <v>7.67</v>
      </c>
      <c r="P177" s="1">
        <f t="shared" si="25"/>
        <v>0.35235294117647059</v>
      </c>
      <c r="Q177" s="1">
        <f t="shared" si="21"/>
        <v>4.3523529411764708</v>
      </c>
      <c r="R177" s="1">
        <f t="shared" si="22"/>
        <v>0.44611617647058821</v>
      </c>
      <c r="S177" s="1">
        <f t="shared" si="23"/>
        <v>4.7984691176470591</v>
      </c>
      <c r="T177" s="1">
        <f>IFERROR(_xlfn.XLOOKUP(J177,Collection!A:A,Collection!D:D,0)/100/_xlfn.XLOOKUP(J177,Collection!A:A,Collection!J:J,0),_xlfn.XLOOKUP(J177,Sold!A:A,Sold!D:D,0)/100/_xlfn.XLOOKUP(J177,Sold!A:A,Sold!J:J,0))</f>
        <v>1.6</v>
      </c>
      <c r="U177" s="1">
        <f t="shared" si="24"/>
        <v>-3.198469117647059</v>
      </c>
      <c r="V177" s="18">
        <f>COUNTIF(Collection!A:A,J177)+COUNTIF(Sold!A:A,J177)</f>
        <v>1</v>
      </c>
      <c r="W177" t="str">
        <f>IFERROR(_xlfn.TEXTAFTER(_xlfn.XLOOKUP(J177,Collection!A:A,Collection!C:C,),"Cards "),_xlfn.TEXTAFTER(_xlfn.XLOOKUP(J177,Sold!A:A,Sold!C:C,),"Cards "))</f>
        <v>2021 Panini Select Numbers</v>
      </c>
      <c r="X177" s="18" t="str">
        <f>IFERROR(_xlfn.XLOOKUP(J177,Collection!A:A,Collection!B:B,),_xlfn.XLOOKUP(J177,Sold!A:A,Sold!B:B,))</f>
        <v>Luka Doncic #7</v>
      </c>
      <c r="Y177" s="53" t="s">
        <v>1032</v>
      </c>
    </row>
    <row r="178" spans="2:25" x14ac:dyDescent="0.3">
      <c r="B178" s="10" t="s">
        <v>691</v>
      </c>
      <c r="C178" s="10" t="s">
        <v>787</v>
      </c>
      <c r="D178" s="5">
        <v>46161</v>
      </c>
      <c r="E178" s="6" t="s">
        <v>1060</v>
      </c>
      <c r="F178" s="4">
        <v>0</v>
      </c>
      <c r="G178" s="4">
        <v>0</v>
      </c>
      <c r="H178" s="4">
        <v>0</v>
      </c>
      <c r="I178" s="10" t="s">
        <v>1043</v>
      </c>
      <c r="J178" s="10"/>
      <c r="K178" s="10" t="s">
        <v>1833</v>
      </c>
      <c r="L178" s="16" t="s">
        <v>1045</v>
      </c>
      <c r="M178" s="53" t="s">
        <v>1465</v>
      </c>
      <c r="N178" t="str">
        <f t="shared" si="18"/>
        <v xml:space="preserve">
$0.00 + $0.35 (Shared Shipping) + $0.00 Tax = Total of $0.35</v>
      </c>
      <c r="O178" s="2">
        <f t="shared" si="19"/>
        <v>0</v>
      </c>
      <c r="P178" s="1">
        <f t="shared" si="25"/>
        <v>0.35235294117647059</v>
      </c>
      <c r="Q178" s="1">
        <f t="shared" si="21"/>
        <v>0.35235294117647059</v>
      </c>
      <c r="R178" s="1">
        <f t="shared" si="22"/>
        <v>0</v>
      </c>
      <c r="S178" s="1">
        <f t="shared" si="23"/>
        <v>0.35235294117647059</v>
      </c>
      <c r="T178" s="1" t="e">
        <f>IFERROR(_xlfn.XLOOKUP(J178,Collection!A:A,Collection!D:D,0)/100/_xlfn.XLOOKUP(J178,Collection!A:A,Collection!J:J,0),_xlfn.XLOOKUP(J178,Sold!A:A,Sold!D:D,0)/100/_xlfn.XLOOKUP(J178,Sold!A:A,Sold!J:J,0))</f>
        <v>#DIV/0!</v>
      </c>
      <c r="U178" s="1">
        <f t="shared" si="24"/>
        <v>0</v>
      </c>
      <c r="V178" s="18">
        <f>COUNTIF(Collection!A:A,J178)+COUNTIF(Sold!A:A,J178)</f>
        <v>0</v>
      </c>
      <c r="W178" t="e">
        <f>IFERROR(_xlfn.TEXTAFTER(_xlfn.XLOOKUP(J178,Collection!A:A,Collection!C:C,),"Cards "),_xlfn.TEXTAFTER(_xlfn.XLOOKUP(J178,Sold!A:A,Sold!C:C,),"Cards "))</f>
        <v>#N/A</v>
      </c>
      <c r="X178" s="18">
        <f>IFERROR(_xlfn.XLOOKUP(J178,Collection!A:A,Collection!B:B,),_xlfn.XLOOKUP(J178,Sold!A:A,Sold!B:B,))</f>
        <v>0</v>
      </c>
      <c r="Y178" s="53" t="s">
        <v>507</v>
      </c>
    </row>
    <row r="179" spans="2:25" x14ac:dyDescent="0.3">
      <c r="B179" s="10" t="s">
        <v>691</v>
      </c>
      <c r="C179" s="10" t="s">
        <v>787</v>
      </c>
      <c r="D179" s="5">
        <v>46161</v>
      </c>
      <c r="E179" s="6" t="s">
        <v>1060</v>
      </c>
      <c r="F179" s="4">
        <v>0</v>
      </c>
      <c r="G179" s="4">
        <v>0</v>
      </c>
      <c r="H179" s="4">
        <v>0</v>
      </c>
      <c r="I179" s="10" t="s">
        <v>470</v>
      </c>
      <c r="J179" s="10"/>
      <c r="K179" s="10" t="s">
        <v>1834</v>
      </c>
      <c r="L179" s="16" t="s">
        <v>1045</v>
      </c>
      <c r="M179" s="53" t="s">
        <v>1465</v>
      </c>
      <c r="N179" t="str">
        <f t="shared" si="18"/>
        <v xml:space="preserve">
$0.00 + $0.35 (Shared Shipping) + $0.00 Tax = Total of $0.35</v>
      </c>
      <c r="O179" s="2">
        <f t="shared" si="19"/>
        <v>0</v>
      </c>
      <c r="P179" s="1">
        <f t="shared" si="25"/>
        <v>0.35235294117647059</v>
      </c>
      <c r="Q179" s="1">
        <f t="shared" si="21"/>
        <v>0.35235294117647059</v>
      </c>
      <c r="R179" s="1">
        <f t="shared" si="22"/>
        <v>0</v>
      </c>
      <c r="S179" s="1">
        <f t="shared" si="23"/>
        <v>0.35235294117647059</v>
      </c>
      <c r="T179" s="1" t="e">
        <f>IFERROR(_xlfn.XLOOKUP(J179,Collection!A:A,Collection!D:D,0)/100/_xlfn.XLOOKUP(J179,Collection!A:A,Collection!J:J,0),_xlfn.XLOOKUP(J179,Sold!A:A,Sold!D:D,0)/100/_xlfn.XLOOKUP(J179,Sold!A:A,Sold!J:J,0))</f>
        <v>#DIV/0!</v>
      </c>
      <c r="U179" s="1">
        <f t="shared" si="24"/>
        <v>0</v>
      </c>
      <c r="V179" s="18">
        <f>COUNTIF(Collection!A:A,J179)+COUNTIF(Sold!A:A,J179)</f>
        <v>0</v>
      </c>
      <c r="W179" t="e">
        <f>IFERROR(_xlfn.TEXTAFTER(_xlfn.XLOOKUP(J179,Collection!A:A,Collection!C:C,),"Cards "),_xlfn.TEXTAFTER(_xlfn.XLOOKUP(J179,Sold!A:A,Sold!C:C,),"Cards "))</f>
        <v>#N/A</v>
      </c>
      <c r="X179" s="18">
        <f>IFERROR(_xlfn.XLOOKUP(J179,Collection!A:A,Collection!B:B,),_xlfn.XLOOKUP(J179,Sold!A:A,Sold!B:B,))</f>
        <v>0</v>
      </c>
      <c r="Y179" s="53" t="s">
        <v>507</v>
      </c>
    </row>
    <row r="180" spans="2:25" x14ac:dyDescent="0.3">
      <c r="B180" s="10" t="s">
        <v>691</v>
      </c>
      <c r="C180" s="10" t="s">
        <v>787</v>
      </c>
      <c r="D180" s="5">
        <v>46161</v>
      </c>
      <c r="E180" s="6">
        <v>66</v>
      </c>
      <c r="F180" s="4">
        <v>1</v>
      </c>
      <c r="G180" s="4">
        <v>0.45</v>
      </c>
      <c r="H180" s="4">
        <v>0.16</v>
      </c>
      <c r="I180" s="10" t="s">
        <v>11</v>
      </c>
      <c r="J180" s="10">
        <v>4245820</v>
      </c>
      <c r="K180" s="10">
        <v>259</v>
      </c>
      <c r="L180" s="16" t="s">
        <v>800</v>
      </c>
      <c r="M180" s="53" t="s">
        <v>1470</v>
      </c>
      <c r="N180" t="str">
        <f t="shared" si="18"/>
        <v>whatnot.com/order/UJkddQRLVRPS28Tdsjeg99
$1.00 + $0.35 (Shared Shipping) + $0.14 Tax = Total of $1.49</v>
      </c>
      <c r="O180" s="2">
        <f t="shared" si="19"/>
        <v>1.6099999999999999</v>
      </c>
      <c r="P180" s="1">
        <f>SUMIFS(G:G,C:C,C174,D:D,D174)/COUNTIFS(C:C,C174,D:D,D174)</f>
        <v>0.35235294117647059</v>
      </c>
      <c r="Q180" s="1">
        <f t="shared" si="21"/>
        <v>1.3523529411764705</v>
      </c>
      <c r="R180" s="1">
        <f t="shared" si="22"/>
        <v>0.13861617647058821</v>
      </c>
      <c r="S180" s="1">
        <f t="shared" si="23"/>
        <v>1.4909691176470588</v>
      </c>
      <c r="T180" s="1">
        <f>IFERROR(_xlfn.XLOOKUP(J180,Collection!A:A,Collection!D:D,0)/100/_xlfn.XLOOKUP(J180,Collection!A:A,Collection!J:J,0),_xlfn.XLOOKUP(J180,Sold!A:A,Sold!D:D,0)/100/_xlfn.XLOOKUP(J180,Sold!A:A,Sold!J:J,0))</f>
        <v>2</v>
      </c>
      <c r="U180" s="1">
        <f t="shared" si="24"/>
        <v>0.50903088235294125</v>
      </c>
      <c r="V180" s="18">
        <f>COUNTIF(Collection!A:A,J180)+COUNTIF(Sold!A:A,J180)</f>
        <v>1</v>
      </c>
      <c r="W180" t="str">
        <f>IFERROR(_xlfn.TEXTAFTER(_xlfn.XLOOKUP(J180,Collection!A:A,Collection!C:C,),"Cards "),_xlfn.TEXTAFTER(_xlfn.XLOOKUP(J180,Sold!A:A,Sold!C:C,),"Cards "))</f>
        <v>2021 Panini Select Numbers</v>
      </c>
      <c r="X180" s="18" t="str">
        <f>IFERROR(_xlfn.XLOOKUP(J180,Collection!A:A,Collection!B:B,),_xlfn.XLOOKUP(J180,Sold!A:A,Sold!B:B,))</f>
        <v>Luka Doncic [Blue Prizm] #7</v>
      </c>
      <c r="Y180" s="53" t="s">
        <v>507</v>
      </c>
    </row>
    <row r="181" spans="2:25" x14ac:dyDescent="0.3">
      <c r="B181" s="10" t="s">
        <v>691</v>
      </c>
      <c r="C181" s="10" t="s">
        <v>788</v>
      </c>
      <c r="D181" s="5">
        <v>46161</v>
      </c>
      <c r="E181" s="6" t="s">
        <v>789</v>
      </c>
      <c r="F181" s="4">
        <v>190</v>
      </c>
      <c r="G181" s="4">
        <v>6</v>
      </c>
      <c r="H181" s="4">
        <f>+(F181+G181)*0.1025</f>
        <v>20.09</v>
      </c>
      <c r="I181" s="10" t="s">
        <v>11</v>
      </c>
      <c r="J181" s="10">
        <v>114784</v>
      </c>
      <c r="K181" s="10">
        <v>44578691</v>
      </c>
      <c r="L181" s="16" t="s">
        <v>790</v>
      </c>
      <c r="M181" s="53" t="s">
        <v>1471</v>
      </c>
      <c r="N181" t="str">
        <f t="shared" si="18"/>
        <v xml:space="preserve">
$190.00 + $6.00 (Shared Shipping) + $20.09 Tax = Total of $216.09</v>
      </c>
      <c r="O181" s="2">
        <f t="shared" si="19"/>
        <v>216.09</v>
      </c>
      <c r="P181" s="1">
        <f t="shared" ref="P181:P212" si="26">SUMIFS(G:G,C:C,C181,D:D,D181)/COUNTIFS(C:C,C181,D:D,D181)</f>
        <v>6</v>
      </c>
      <c r="Q181" s="1">
        <f t="shared" si="21"/>
        <v>196</v>
      </c>
      <c r="R181" s="1">
        <f t="shared" si="22"/>
        <v>20.09</v>
      </c>
      <c r="S181" s="1">
        <f t="shared" si="23"/>
        <v>216.09</v>
      </c>
      <c r="T181" s="1">
        <f>IFERROR(_xlfn.XLOOKUP(J181,Collection!A:A,Collection!D:D,0)/100/_xlfn.XLOOKUP(J181,Collection!A:A,Collection!J:J,0),_xlfn.XLOOKUP(J181,Sold!A:A,Sold!D:D,0)/100/_xlfn.XLOOKUP(J181,Sold!A:A,Sold!J:J,0))</f>
        <v>194.25</v>
      </c>
      <c r="U181" s="1">
        <f t="shared" si="24"/>
        <v>-21.840000000000003</v>
      </c>
      <c r="V181" s="18">
        <f>COUNTIF(Collection!A:A,J181)+COUNTIF(Sold!A:A,J181)</f>
        <v>1</v>
      </c>
      <c r="W181" t="str">
        <f>IFERROR(_xlfn.TEXTAFTER(_xlfn.XLOOKUP(J181,Collection!A:A,Collection!C:C,),"Cards "),_xlfn.TEXTAFTER(_xlfn.XLOOKUP(J181,Sold!A:A,Sold!C:C,),"Cards "))</f>
        <v>2018 Panini Prizm</v>
      </c>
      <c r="X181" s="18" t="str">
        <f>IFERROR(_xlfn.XLOOKUP(J181,Collection!A:A,Collection!B:B,),_xlfn.XLOOKUP(J181,Sold!A:A,Sold!B:B,))</f>
        <v>Luka Doncic #280</v>
      </c>
      <c r="Y181" s="53" t="s">
        <v>507</v>
      </c>
    </row>
    <row r="182" spans="2:25" x14ac:dyDescent="0.3">
      <c r="B182" s="10" t="s">
        <v>691</v>
      </c>
      <c r="C182" s="10" t="s">
        <v>962</v>
      </c>
      <c r="D182" s="5">
        <v>46162</v>
      </c>
      <c r="E182" s="6">
        <v>1</v>
      </c>
      <c r="F182" s="4">
        <v>7</v>
      </c>
      <c r="G182" s="4">
        <v>4.47</v>
      </c>
      <c r="H182" s="4">
        <v>1.18</v>
      </c>
      <c r="I182" s="10" t="s">
        <v>16</v>
      </c>
      <c r="J182" s="10">
        <v>11493558</v>
      </c>
      <c r="K182" s="10">
        <v>31</v>
      </c>
      <c r="L182" s="16" t="s">
        <v>963</v>
      </c>
      <c r="M182" s="53" t="s">
        <v>1472</v>
      </c>
      <c r="N182" t="str">
        <f t="shared" si="18"/>
        <v>whatnot.com/order/4qGFB5WJq67f7VePPgdKVK
$7.00 + $2.24 (Shared Shipping) + $0.95 Tax = Total of $10.18</v>
      </c>
      <c r="O182" s="2">
        <f t="shared" si="19"/>
        <v>12.649999999999999</v>
      </c>
      <c r="P182" s="1">
        <f t="shared" si="26"/>
        <v>2.2349999999999999</v>
      </c>
      <c r="Q182" s="1">
        <f t="shared" si="21"/>
        <v>9.2349999999999994</v>
      </c>
      <c r="R182" s="1">
        <f t="shared" si="22"/>
        <v>0.94658749999999992</v>
      </c>
      <c r="S182" s="1">
        <f t="shared" si="23"/>
        <v>10.181587499999999</v>
      </c>
      <c r="T182" s="1">
        <f>IFERROR(_xlfn.XLOOKUP(J182,Collection!A:A,Collection!D:D,0)/100/_xlfn.XLOOKUP(J182,Collection!A:A,Collection!J:J,0),_xlfn.XLOOKUP(J182,Sold!A:A,Sold!D:D,0)/100/_xlfn.XLOOKUP(J182,Sold!A:A,Sold!J:J,0))</f>
        <v>10</v>
      </c>
      <c r="U182" s="1">
        <f t="shared" si="24"/>
        <v>-0.18158749999999912</v>
      </c>
      <c r="V182" s="18">
        <f>COUNTIF(Collection!A:A,J182)+COUNTIF(Sold!A:A,J182)</f>
        <v>1</v>
      </c>
      <c r="W182" t="str">
        <f>IFERROR(_xlfn.TEXTAFTER(_xlfn.XLOOKUP(J182,Collection!A:A,Collection!C:C,),"Cards "),_xlfn.TEXTAFTER(_xlfn.XLOOKUP(J182,Sold!A:A,Sold!C:C,),"Cards "))</f>
        <v>2025 Topps Chrome Sleek Finishers</v>
      </c>
      <c r="X182" s="18" t="str">
        <f>IFERROR(_xlfn.XLOOKUP(J182,Collection!A:A,Collection!B:B,),_xlfn.XLOOKUP(J182,Sold!A:A,Sold!B:B,))</f>
        <v>Austin Reaves [Refractor Green] #SF-8</v>
      </c>
      <c r="Y182" s="53" t="s">
        <v>964</v>
      </c>
    </row>
    <row r="183" spans="2:25" x14ac:dyDescent="0.3">
      <c r="B183" s="10" t="s">
        <v>691</v>
      </c>
      <c r="C183" s="10" t="s">
        <v>962</v>
      </c>
      <c r="D183" s="5">
        <v>46162</v>
      </c>
      <c r="E183" s="6">
        <v>1</v>
      </c>
      <c r="F183" s="4">
        <v>0</v>
      </c>
      <c r="G183" s="4">
        <v>0</v>
      </c>
      <c r="H183" s="4">
        <v>0</v>
      </c>
      <c r="I183" s="10" t="s">
        <v>965</v>
      </c>
      <c r="J183" s="10">
        <v>11490416</v>
      </c>
      <c r="K183" s="10">
        <v>227</v>
      </c>
      <c r="L183" s="16" t="s">
        <v>963</v>
      </c>
      <c r="M183" s="53" t="s">
        <v>1473</v>
      </c>
      <c r="N183" t="str">
        <f t="shared" si="18"/>
        <v>whatnot.com/order/4qGFB5WJq67f7VePPgdKVK
$0.00 + $2.24 (Shared Shipping) + $0.00 Tax = Total of $2.24</v>
      </c>
      <c r="O183" s="2">
        <f t="shared" si="19"/>
        <v>0</v>
      </c>
      <c r="P183" s="1">
        <f t="shared" si="26"/>
        <v>2.2349999999999999</v>
      </c>
      <c r="Q183" s="1">
        <f t="shared" si="21"/>
        <v>2.2349999999999999</v>
      </c>
      <c r="R183" s="1">
        <f t="shared" si="22"/>
        <v>0</v>
      </c>
      <c r="S183" s="1">
        <f t="shared" si="23"/>
        <v>2.2349999999999999</v>
      </c>
      <c r="T183" s="1">
        <f>IFERROR(_xlfn.XLOOKUP(J183,Collection!A:A,Collection!D:D,0)/100/_xlfn.XLOOKUP(J183,Collection!A:A,Collection!J:J,0),_xlfn.XLOOKUP(J183,Sold!A:A,Sold!D:D,0)/100/_xlfn.XLOOKUP(J183,Sold!A:A,Sold!J:J,0))</f>
        <v>2.56</v>
      </c>
      <c r="U183" s="1">
        <f t="shared" si="24"/>
        <v>0.32500000000000018</v>
      </c>
      <c r="V183" s="18">
        <f>COUNTIF(Collection!A:A,J183)+COUNTIF(Sold!A:A,J183)</f>
        <v>1</v>
      </c>
      <c r="W183" t="str">
        <f>IFERROR(_xlfn.TEXTAFTER(_xlfn.XLOOKUP(J183,Collection!A:A,Collection!C:C,),"Cards "),_xlfn.TEXTAFTER(_xlfn.XLOOKUP(J183,Sold!A:A,Sold!C:C,),"Cards "))</f>
        <v>2025 Topps Chrome Signature Style</v>
      </c>
      <c r="X183" s="18" t="str">
        <f>IFERROR(_xlfn.XLOOKUP(J183,Collection!A:A,Collection!B:B,),_xlfn.XLOOKUP(J183,Sold!A:A,Sold!B:B,))</f>
        <v>Devin Carter #SS-DC</v>
      </c>
      <c r="Y183" s="53" t="s">
        <v>507</v>
      </c>
    </row>
    <row r="184" spans="2:25" x14ac:dyDescent="0.3">
      <c r="B184" s="10" t="s">
        <v>691</v>
      </c>
      <c r="C184" s="10" t="s">
        <v>960</v>
      </c>
      <c r="D184" s="5">
        <v>46162</v>
      </c>
      <c r="E184" s="6">
        <v>44</v>
      </c>
      <c r="F184" s="4">
        <v>2</v>
      </c>
      <c r="G184" s="4">
        <v>0.78</v>
      </c>
      <c r="H184" s="4">
        <v>0.28999999999999998</v>
      </c>
      <c r="I184" s="10" t="s">
        <v>468</v>
      </c>
      <c r="J184" s="10">
        <v>7808017</v>
      </c>
      <c r="K184" s="10">
        <v>424</v>
      </c>
      <c r="L184" s="16" t="s">
        <v>961</v>
      </c>
      <c r="M184" s="53" t="s">
        <v>1474</v>
      </c>
      <c r="N184" t="str">
        <f t="shared" si="18"/>
        <v>whatnot.com/order/3x7P2iegqgUTYbwc6HCeds
$2.00 + $0.78 (Shared Shipping) + $0.28 Tax = Total of $3.06</v>
      </c>
      <c r="O184" s="2">
        <f t="shared" si="19"/>
        <v>3.0700000000000003</v>
      </c>
      <c r="P184" s="1">
        <f t="shared" si="26"/>
        <v>0.78</v>
      </c>
      <c r="Q184" s="1">
        <f t="shared" si="21"/>
        <v>2.7800000000000002</v>
      </c>
      <c r="R184" s="1">
        <f t="shared" si="22"/>
        <v>0.28494999999999998</v>
      </c>
      <c r="S184" s="1">
        <f t="shared" si="23"/>
        <v>3.0649500000000001</v>
      </c>
      <c r="T184" s="1">
        <f>IFERROR(_xlfn.XLOOKUP(J184,Collection!A:A,Collection!D:D,0)/100/_xlfn.XLOOKUP(J184,Collection!A:A,Collection!J:J,0),_xlfn.XLOOKUP(J184,Sold!A:A,Sold!D:D,0)/100/_xlfn.XLOOKUP(J184,Sold!A:A,Sold!J:J,0))</f>
        <v>1.5</v>
      </c>
      <c r="U184" s="1">
        <f t="shared" si="24"/>
        <v>-1.5649500000000001</v>
      </c>
      <c r="V184" s="18">
        <f>COUNTIF(Collection!A:A,J184)+COUNTIF(Sold!A:A,J184)</f>
        <v>1</v>
      </c>
      <c r="W184" t="str">
        <f>IFERROR(_xlfn.TEXTAFTER(_xlfn.XLOOKUP(J184,Collection!A:A,Collection!C:C,),"Cards "),_xlfn.TEXTAFTER(_xlfn.XLOOKUP(J184,Sold!A:A,Sold!C:C,),"Cards "))</f>
        <v>2023 Panini Revolution</v>
      </c>
      <c r="X184" s="18" t="str">
        <f>IFERROR(_xlfn.XLOOKUP(J184,Collection!A:A,Collection!B:B,),_xlfn.XLOOKUP(J184,Sold!A:A,Sold!B:B,))</f>
        <v>Shai Gilgeous-Alexander [Winter] #76</v>
      </c>
      <c r="Y184" s="53" t="s">
        <v>507</v>
      </c>
    </row>
    <row r="185" spans="2:25" x14ac:dyDescent="0.3">
      <c r="B185" s="10" t="s">
        <v>691</v>
      </c>
      <c r="C185" s="10" t="s">
        <v>966</v>
      </c>
      <c r="D185" s="5">
        <v>46162</v>
      </c>
      <c r="E185" s="6" t="s">
        <v>967</v>
      </c>
      <c r="F185" s="4">
        <v>32</v>
      </c>
      <c r="G185" s="4">
        <v>4.8600000000000003</v>
      </c>
      <c r="H185" s="4">
        <v>3.79</v>
      </c>
      <c r="I185" s="10" t="s">
        <v>1045</v>
      </c>
      <c r="J185" s="10" t="s">
        <v>1045</v>
      </c>
      <c r="K185" s="10" t="s">
        <v>1835</v>
      </c>
      <c r="L185" s="16" t="s">
        <v>968</v>
      </c>
      <c r="M185" s="53" t="s">
        <v>1475</v>
      </c>
      <c r="N185" t="str">
        <f t="shared" si="18"/>
        <v>whatnot.com/order/4RxtebDXfZf5YY3okyKSu4
$32.00 + $2.43 (Shared Shipping) + $3.53 Tax = Total of $37.96</v>
      </c>
      <c r="O185" s="2">
        <f t="shared" si="19"/>
        <v>40.65</v>
      </c>
      <c r="P185" s="1">
        <f t="shared" si="26"/>
        <v>2.4300000000000002</v>
      </c>
      <c r="Q185" s="1">
        <f t="shared" si="21"/>
        <v>34.43</v>
      </c>
      <c r="R185" s="1">
        <f t="shared" si="22"/>
        <v>3.5290749999999997</v>
      </c>
      <c r="S185" s="1">
        <f t="shared" si="23"/>
        <v>37.959074999999999</v>
      </c>
      <c r="T185" s="1" t="e">
        <f>IFERROR(_xlfn.XLOOKUP(J185,Collection!A:A,Collection!D:D,0)/100/_xlfn.XLOOKUP(J185,Collection!A:A,Collection!J:J,0),_xlfn.XLOOKUP(J185,Sold!A:A,Sold!D:D,0)/100/_xlfn.XLOOKUP(J185,Sold!A:A,Sold!J:J,0))</f>
        <v>#DIV/0!</v>
      </c>
      <c r="U185" s="1">
        <f t="shared" si="24"/>
        <v>0</v>
      </c>
      <c r="V185" s="18">
        <f>COUNTIF(Collection!A:A,J185)+COUNTIF(Sold!A:A,J185)</f>
        <v>0</v>
      </c>
      <c r="W185" t="e">
        <f>IFERROR(_xlfn.TEXTAFTER(_xlfn.XLOOKUP(J185,Collection!A:A,Collection!C:C,),"Cards "),_xlfn.TEXTAFTER(_xlfn.XLOOKUP(J185,Sold!A:A,Sold!C:C,),"Cards "))</f>
        <v>#N/A</v>
      </c>
      <c r="X185" s="18" t="e">
        <f>IFERROR(_xlfn.XLOOKUP(J185,Collection!A:A,Collection!B:B,),_xlfn.XLOOKUP(J185,Sold!A:A,Sold!B:B,))</f>
        <v>#N/A</v>
      </c>
      <c r="Y185" s="55" t="s">
        <v>1134</v>
      </c>
    </row>
    <row r="186" spans="2:25" x14ac:dyDescent="0.3">
      <c r="B186" s="10" t="s">
        <v>691</v>
      </c>
      <c r="C186" s="10" t="s">
        <v>966</v>
      </c>
      <c r="D186" s="5">
        <v>46162</v>
      </c>
      <c r="E186" s="6" t="s">
        <v>967</v>
      </c>
      <c r="F186" s="4">
        <v>-22.05</v>
      </c>
      <c r="G186" s="4">
        <v>0</v>
      </c>
      <c r="H186" s="4">
        <v>0</v>
      </c>
      <c r="I186" s="10" t="s">
        <v>1045</v>
      </c>
      <c r="J186" s="10" t="s">
        <v>1045</v>
      </c>
      <c r="K186" s="10" t="s">
        <v>1836</v>
      </c>
      <c r="L186" s="16" t="s">
        <v>968</v>
      </c>
      <c r="M186" s="53" t="s">
        <v>1476</v>
      </c>
      <c r="N186" t="str">
        <f t="shared" si="18"/>
        <v>whatnot.com/order/4RxtebDXfZf5YY3okyKSu4
-$22.05 + $2.43 (Shared Shipping) + $0.00 Tax = Total of -$19.62</v>
      </c>
      <c r="O186" s="2">
        <f t="shared" si="19"/>
        <v>-22.05</v>
      </c>
      <c r="P186" s="1">
        <f t="shared" si="26"/>
        <v>2.4300000000000002</v>
      </c>
      <c r="Q186" s="1">
        <f t="shared" si="21"/>
        <v>-19.62</v>
      </c>
      <c r="R186" s="1">
        <f t="shared" si="22"/>
        <v>0</v>
      </c>
      <c r="S186" s="1">
        <f t="shared" si="23"/>
        <v>-19.62</v>
      </c>
      <c r="T186" s="1" t="e">
        <f>IFERROR(_xlfn.XLOOKUP(J186,Collection!A:A,Collection!D:D,0)/100/_xlfn.XLOOKUP(J186,Collection!A:A,Collection!J:J,0),_xlfn.XLOOKUP(J186,Sold!A:A,Sold!D:D,0)/100/_xlfn.XLOOKUP(J186,Sold!A:A,Sold!J:J,0))</f>
        <v>#DIV/0!</v>
      </c>
      <c r="U186" s="1">
        <f t="shared" si="24"/>
        <v>0</v>
      </c>
      <c r="V186" s="18">
        <f>COUNTIF(Collection!A:A,J186)+COUNTIF(Sold!A:A,J186)</f>
        <v>0</v>
      </c>
      <c r="W186" t="e">
        <f>IFERROR(_xlfn.TEXTAFTER(_xlfn.XLOOKUP(J186,Collection!A:A,Collection!C:C,),"Cards "),_xlfn.TEXTAFTER(_xlfn.XLOOKUP(J186,Sold!A:A,Sold!C:C,),"Cards "))</f>
        <v>#N/A</v>
      </c>
      <c r="X186" s="18" t="e">
        <f>IFERROR(_xlfn.XLOOKUP(J186,Collection!A:A,Collection!B:B,),_xlfn.XLOOKUP(J186,Sold!A:A,Sold!B:B,))</f>
        <v>#N/A</v>
      </c>
      <c r="Y186" s="55" t="s">
        <v>1134</v>
      </c>
    </row>
    <row r="187" spans="2:25" x14ac:dyDescent="0.3">
      <c r="B187" s="10" t="s">
        <v>691</v>
      </c>
      <c r="C187" s="10" t="s">
        <v>23</v>
      </c>
      <c r="D187" s="5">
        <v>46164</v>
      </c>
      <c r="E187" s="6">
        <v>84</v>
      </c>
      <c r="F187" s="4">
        <v>14</v>
      </c>
      <c r="G187" s="4">
        <v>0</v>
      </c>
      <c r="H187" s="4">
        <v>1.44</v>
      </c>
      <c r="I187" s="10" t="s">
        <v>468</v>
      </c>
      <c r="J187" s="10">
        <v>105679</v>
      </c>
      <c r="K187" s="10">
        <v>33</v>
      </c>
      <c r="L187" s="16" t="s">
        <v>1033</v>
      </c>
      <c r="M187" s="53" t="s">
        <v>1477</v>
      </c>
      <c r="N187" t="str">
        <f t="shared" si="18"/>
        <v>whatnot.com/order/kHRrZndL3pVg4oJEbysd7V
$14.00 + $0.00 (Shared Shipping) + $1.44 Tax = Total of $15.44</v>
      </c>
      <c r="O187" s="2">
        <f t="shared" si="19"/>
        <v>15.44</v>
      </c>
      <c r="P187" s="1">
        <f t="shared" si="26"/>
        <v>0</v>
      </c>
      <c r="Q187" s="1">
        <f t="shared" si="21"/>
        <v>14</v>
      </c>
      <c r="R187" s="1">
        <f t="shared" si="22"/>
        <v>1.4349999999999998</v>
      </c>
      <c r="S187" s="1">
        <f t="shared" si="23"/>
        <v>15.435</v>
      </c>
      <c r="T187" s="1">
        <f>IFERROR(_xlfn.XLOOKUP(J187,Collection!A:A,Collection!D:D,0)/100/_xlfn.XLOOKUP(J187,Collection!A:A,Collection!J:J,0),_xlfn.XLOOKUP(J187,Sold!A:A,Sold!D:D,0)/100/_xlfn.XLOOKUP(J187,Sold!A:A,Sold!J:J,0))</f>
        <v>9.07</v>
      </c>
      <c r="U187" s="1">
        <f t="shared" si="24"/>
        <v>-6.3650000000000002</v>
      </c>
      <c r="V187" s="18">
        <f>COUNTIF(Collection!A:A,J187)+COUNTIF(Sold!A:A,J187)</f>
        <v>1</v>
      </c>
      <c r="W187" t="str">
        <f>IFERROR(_xlfn.TEXTAFTER(_xlfn.XLOOKUP(J187,Collection!A:A,Collection!C:C,),"Cards "),_xlfn.TEXTAFTER(_xlfn.XLOOKUP(J187,Sold!A:A,Sold!C:C,),"Cards "))</f>
        <v>2018 Panini Chronicles</v>
      </c>
      <c r="X187" s="18" t="str">
        <f>IFERROR(_xlfn.XLOOKUP(J187,Collection!A:A,Collection!B:B,),_xlfn.XLOOKUP(J187,Sold!A:A,Sold!B:B,))</f>
        <v>Shai Gilgeous-Alexander #195</v>
      </c>
      <c r="Y187" s="53" t="s">
        <v>507</v>
      </c>
    </row>
    <row r="188" spans="2:25" x14ac:dyDescent="0.3">
      <c r="B188" s="10" t="s">
        <v>691</v>
      </c>
      <c r="C188" s="10" t="s">
        <v>23</v>
      </c>
      <c r="D188" s="5">
        <v>46164</v>
      </c>
      <c r="E188" s="6">
        <v>85</v>
      </c>
      <c r="F188" s="4">
        <v>17</v>
      </c>
      <c r="G188" s="4">
        <v>0</v>
      </c>
      <c r="H188" s="4">
        <v>1.75</v>
      </c>
      <c r="I188" s="10" t="s">
        <v>513</v>
      </c>
      <c r="J188" s="10">
        <v>147563</v>
      </c>
      <c r="K188" s="10">
        <v>40</v>
      </c>
      <c r="L188" s="16" t="s">
        <v>1034</v>
      </c>
      <c r="M188" s="53" t="s">
        <v>1478</v>
      </c>
      <c r="N188" t="str">
        <f t="shared" si="18"/>
        <v>whatnot.com/order/RVD5hkPMoaUK4my4SPSKiQ
$17.00 + $0.00 (Shared Shipping) + $1.74 Tax = Total of $18.74</v>
      </c>
      <c r="O188" s="2">
        <f t="shared" si="19"/>
        <v>18.75</v>
      </c>
      <c r="P188" s="1">
        <f t="shared" si="26"/>
        <v>0</v>
      </c>
      <c r="Q188" s="1">
        <f t="shared" si="21"/>
        <v>17</v>
      </c>
      <c r="R188" s="1">
        <f t="shared" si="22"/>
        <v>1.7424999999999999</v>
      </c>
      <c r="S188" s="1">
        <f t="shared" si="23"/>
        <v>18.7425</v>
      </c>
      <c r="T188" s="1">
        <f>IFERROR(_xlfn.XLOOKUP(J188,Collection!A:A,Collection!D:D,0)/100/_xlfn.XLOOKUP(J188,Collection!A:A,Collection!J:J,0),_xlfn.XLOOKUP(J188,Sold!A:A,Sold!D:D,0)/100/_xlfn.XLOOKUP(J188,Sold!A:A,Sold!J:J,0))</f>
        <v>6.88</v>
      </c>
      <c r="U188" s="1">
        <f t="shared" si="24"/>
        <v>-11.862500000000001</v>
      </c>
      <c r="V188" s="18">
        <f>COUNTIF(Collection!A:A,J188)+COUNTIF(Sold!A:A,J188)</f>
        <v>1</v>
      </c>
      <c r="W188" t="str">
        <f>IFERROR(_xlfn.TEXTAFTER(_xlfn.XLOOKUP(J188,Collection!A:A,Collection!C:C,),"Cards "),_xlfn.TEXTAFTER(_xlfn.XLOOKUP(J188,Sold!A:A,Sold!C:C,),"Cards "))</f>
        <v>2003 Upper Deck Phenomenal Beginning</v>
      </c>
      <c r="X188" s="18" t="str">
        <f>IFERROR(_xlfn.XLOOKUP(J188,Collection!A:A,Collection!B:B,),_xlfn.XLOOKUP(J188,Sold!A:A,Sold!B:B,))</f>
        <v>LeBron James [Phenomenal Beginning] #11</v>
      </c>
      <c r="Y188" s="53" t="s">
        <v>507</v>
      </c>
    </row>
    <row r="189" spans="2:25" x14ac:dyDescent="0.3">
      <c r="B189" s="10" t="s">
        <v>691</v>
      </c>
      <c r="C189" s="10" t="s">
        <v>26</v>
      </c>
      <c r="D189" s="5">
        <v>46164</v>
      </c>
      <c r="E189" s="6">
        <v>49</v>
      </c>
      <c r="F189" s="4">
        <v>8</v>
      </c>
      <c r="G189" s="4">
        <v>4.3499999999999996</v>
      </c>
      <c r="H189" s="4">
        <v>1.27</v>
      </c>
      <c r="I189" s="10" t="s">
        <v>512</v>
      </c>
      <c r="J189" s="10">
        <v>6422089</v>
      </c>
      <c r="K189" s="10">
        <v>102</v>
      </c>
      <c r="L189" s="16" t="s">
        <v>1035</v>
      </c>
      <c r="M189" s="53" t="s">
        <v>1479</v>
      </c>
      <c r="N189" t="str">
        <f t="shared" si="18"/>
        <v>whatnot.com/order/CSc74WMGcYfB3JgNPoZSDt
$8.00 + $0.27 (Shared Shipping) + $0.85 Tax = Total of $9.12</v>
      </c>
      <c r="O189" s="2">
        <f t="shared" si="19"/>
        <v>13.62</v>
      </c>
      <c r="P189" s="1">
        <f t="shared" si="26"/>
        <v>0.27187499999999998</v>
      </c>
      <c r="Q189" s="1">
        <f t="shared" si="21"/>
        <v>8.2718749999999996</v>
      </c>
      <c r="R189" s="1">
        <f t="shared" si="22"/>
        <v>0.8478671874999999</v>
      </c>
      <c r="S189" s="1">
        <f t="shared" si="23"/>
        <v>9.1197421875</v>
      </c>
      <c r="T189" s="1">
        <f>IFERROR(_xlfn.XLOOKUP(J189,Collection!A:A,Collection!D:D,0)/100/_xlfn.XLOOKUP(J189,Collection!A:A,Collection!J:J,0),_xlfn.XLOOKUP(J189,Sold!A:A,Sold!D:D,0)/100/_xlfn.XLOOKUP(J189,Sold!A:A,Sold!J:J,0))</f>
        <v>21.62</v>
      </c>
      <c r="U189" s="1">
        <f t="shared" si="24"/>
        <v>12.500257812500001</v>
      </c>
      <c r="V189" s="18">
        <f>COUNTIF(Collection!A:A,J189)+COUNTIF(Sold!A:A,J189)</f>
        <v>1</v>
      </c>
      <c r="W189" t="str">
        <f>IFERROR(_xlfn.TEXTAFTER(_xlfn.XLOOKUP(J189,Collection!A:A,Collection!C:C,),"Cards "),_xlfn.TEXTAFTER(_xlfn.XLOOKUP(J189,Sold!A:A,Sold!C:C,),"Cards "))</f>
        <v>2023 Panini Prizm Global Reach</v>
      </c>
      <c r="X189" s="18" t="str">
        <f>IFERROR(_xlfn.XLOOKUP(J189,Collection!A:A,Collection!B:B,),_xlfn.XLOOKUP(J189,Sold!A:A,Sold!B:B,))</f>
        <v>Victor Wembanyama [Silver] #2</v>
      </c>
      <c r="Y189" s="53" t="s">
        <v>507</v>
      </c>
    </row>
    <row r="190" spans="2:25" x14ac:dyDescent="0.3">
      <c r="B190" s="10" t="s">
        <v>691</v>
      </c>
      <c r="C190" s="10" t="s">
        <v>26</v>
      </c>
      <c r="D190" s="5">
        <v>46164</v>
      </c>
      <c r="E190" s="6">
        <v>59</v>
      </c>
      <c r="F190" s="4">
        <v>1.29</v>
      </c>
      <c r="G190" s="4">
        <v>0</v>
      </c>
      <c r="H190" s="4">
        <v>0.14000000000000001</v>
      </c>
      <c r="I190" s="10" t="s">
        <v>11</v>
      </c>
      <c r="J190" s="10">
        <v>4754153</v>
      </c>
      <c r="K190" s="10">
        <v>469</v>
      </c>
      <c r="L190" s="16" t="s">
        <v>1037</v>
      </c>
      <c r="M190" s="53" t="s">
        <v>1480</v>
      </c>
      <c r="N190" t="str">
        <f t="shared" si="18"/>
        <v>whatnot.com/order/PH2i3WhAY5rePqutCdgM8c
$1.29 + $0.27 (Shared Shipping) + $0.16 Tax = Total of $1.72</v>
      </c>
      <c r="O190" s="2">
        <f t="shared" si="19"/>
        <v>1.4300000000000002</v>
      </c>
      <c r="P190" s="1">
        <f t="shared" si="26"/>
        <v>0.27187499999999998</v>
      </c>
      <c r="Q190" s="1">
        <f t="shared" si="21"/>
        <v>1.5618750000000001</v>
      </c>
      <c r="R190" s="1">
        <f t="shared" si="22"/>
        <v>0.16009218750000001</v>
      </c>
      <c r="S190" s="1">
        <f t="shared" si="23"/>
        <v>1.7219671875000002</v>
      </c>
      <c r="T190" s="1">
        <f>IFERROR(_xlfn.XLOOKUP(J190,Collection!A:A,Collection!D:D,0)/100/_xlfn.XLOOKUP(J190,Collection!A:A,Collection!J:J,0),_xlfn.XLOOKUP(J190,Sold!A:A,Sold!D:D,0)/100/_xlfn.XLOOKUP(J190,Sold!A:A,Sold!J:J,0))</f>
        <v>1.3</v>
      </c>
      <c r="U190" s="1">
        <f t="shared" si="24"/>
        <v>-0.42196718750000017</v>
      </c>
      <c r="V190" s="18">
        <f>COUNTIF(Collection!A:A,J190)+COUNTIF(Sold!A:A,J190)</f>
        <v>1</v>
      </c>
      <c r="W190" t="str">
        <f>IFERROR(_xlfn.TEXTAFTER(_xlfn.XLOOKUP(J190,Collection!A:A,Collection!C:C,),"Cards "),_xlfn.TEXTAFTER(_xlfn.XLOOKUP(J190,Sold!A:A,Sold!C:C,),"Cards "))</f>
        <v>2022 Panini Hoops Skyview</v>
      </c>
      <c r="X190" s="18" t="str">
        <f>IFERROR(_xlfn.XLOOKUP(J190,Collection!A:A,Collection!B:B,),_xlfn.XLOOKUP(J190,Sold!A:A,Sold!B:B,))</f>
        <v>Luka Doncic #8</v>
      </c>
      <c r="Y190" s="53" t="s">
        <v>1036</v>
      </c>
    </row>
    <row r="191" spans="2:25" x14ac:dyDescent="0.3">
      <c r="B191" s="10" t="s">
        <v>691</v>
      </c>
      <c r="C191" s="10" t="s">
        <v>26</v>
      </c>
      <c r="D191" s="5">
        <v>46164</v>
      </c>
      <c r="E191" s="6">
        <v>59</v>
      </c>
      <c r="F191" s="4">
        <v>1.29</v>
      </c>
      <c r="G191" s="4">
        <v>0</v>
      </c>
      <c r="H191" s="4">
        <v>0.14000000000000001</v>
      </c>
      <c r="I191" s="10" t="s">
        <v>11</v>
      </c>
      <c r="J191" s="10">
        <v>5050142</v>
      </c>
      <c r="K191" s="10">
        <v>421</v>
      </c>
      <c r="L191" s="16" t="s">
        <v>1037</v>
      </c>
      <c r="M191" s="53" t="s">
        <v>1480</v>
      </c>
      <c r="N191" t="str">
        <f t="shared" si="18"/>
        <v>whatnot.com/order/PH2i3WhAY5rePqutCdgM8c
$1.29 + $0.27 (Shared Shipping) + $0.16 Tax = Total of $1.72</v>
      </c>
      <c r="O191" s="2">
        <f t="shared" si="19"/>
        <v>1.4300000000000002</v>
      </c>
      <c r="P191" s="1">
        <f t="shared" si="26"/>
        <v>0.27187499999999998</v>
      </c>
      <c r="Q191" s="1">
        <f t="shared" si="21"/>
        <v>1.5618750000000001</v>
      </c>
      <c r="R191" s="1">
        <f t="shared" si="22"/>
        <v>0.16009218750000001</v>
      </c>
      <c r="S191" s="1">
        <f t="shared" si="23"/>
        <v>1.7219671875000002</v>
      </c>
      <c r="T191" s="1">
        <f>IFERROR(_xlfn.XLOOKUP(J191,Collection!A:A,Collection!D:D,0)/100/_xlfn.XLOOKUP(J191,Collection!A:A,Collection!J:J,0),_xlfn.XLOOKUP(J191,Sold!A:A,Sold!D:D,0)/100/_xlfn.XLOOKUP(J191,Sold!A:A,Sold!J:J,0))</f>
        <v>1.5</v>
      </c>
      <c r="U191" s="1">
        <f t="shared" si="24"/>
        <v>-0.22196718750000022</v>
      </c>
      <c r="V191" s="18">
        <f>COUNTIF(Collection!A:A,J191)+COUNTIF(Sold!A:A,J191)</f>
        <v>1</v>
      </c>
      <c r="W191" t="str">
        <f>IFERROR(_xlfn.TEXTAFTER(_xlfn.XLOOKUP(J191,Collection!A:A,Collection!C:C,),"Cards "),_xlfn.TEXTAFTER(_xlfn.XLOOKUP(J191,Sold!A:A,Sold!C:C,),"Cards "))</f>
        <v>2022 Panini Contenders</v>
      </c>
      <c r="X191" s="18" t="str">
        <f>IFERROR(_xlfn.XLOOKUP(J191,Collection!A:A,Collection!B:B,),_xlfn.XLOOKUP(J191,Sold!A:A,Sold!B:B,))</f>
        <v>Luka Doncic #57</v>
      </c>
      <c r="Y191" s="53" t="s">
        <v>507</v>
      </c>
    </row>
    <row r="192" spans="2:25" x14ac:dyDescent="0.3">
      <c r="B192" s="10" t="s">
        <v>691</v>
      </c>
      <c r="C192" s="10" t="s">
        <v>26</v>
      </c>
      <c r="D192" s="5">
        <v>46164</v>
      </c>
      <c r="E192" s="6">
        <v>59</v>
      </c>
      <c r="F192" s="4">
        <v>1.29</v>
      </c>
      <c r="G192" s="4">
        <v>0</v>
      </c>
      <c r="H192" s="4">
        <v>0.13</v>
      </c>
      <c r="I192" s="10" t="s">
        <v>11</v>
      </c>
      <c r="J192" s="10">
        <v>5507557</v>
      </c>
      <c r="K192" s="10">
        <v>210</v>
      </c>
      <c r="L192" s="16" t="s">
        <v>1037</v>
      </c>
      <c r="M192" s="53" t="s">
        <v>1480</v>
      </c>
      <c r="N192" t="str">
        <f t="shared" si="18"/>
        <v>whatnot.com/order/PH2i3WhAY5rePqutCdgM8c
$1.29 + $0.27 (Shared Shipping) + $0.16 Tax = Total of $1.72</v>
      </c>
      <c r="O192" s="2">
        <f t="shared" si="19"/>
        <v>1.42</v>
      </c>
      <c r="P192" s="1">
        <f t="shared" si="26"/>
        <v>0.27187499999999998</v>
      </c>
      <c r="Q192" s="1">
        <f t="shared" si="21"/>
        <v>1.5618750000000001</v>
      </c>
      <c r="R192" s="1">
        <f t="shared" si="22"/>
        <v>0.16009218750000001</v>
      </c>
      <c r="S192" s="1">
        <f t="shared" si="23"/>
        <v>1.7219671875000002</v>
      </c>
      <c r="T192" s="1">
        <f>IFERROR(_xlfn.XLOOKUP(J192,Collection!A:A,Collection!D:D,0)/100/_xlfn.XLOOKUP(J192,Collection!A:A,Collection!J:J,0),_xlfn.XLOOKUP(J192,Sold!A:A,Sold!D:D,0)/100/_xlfn.XLOOKUP(J192,Sold!A:A,Sold!J:J,0))</f>
        <v>2.44</v>
      </c>
      <c r="U192" s="1">
        <f t="shared" si="24"/>
        <v>0.71803281249999973</v>
      </c>
      <c r="V192" s="18">
        <f>COUNTIF(Collection!A:A,J192)+COUNTIF(Sold!A:A,J192)</f>
        <v>1</v>
      </c>
      <c r="W192" t="str">
        <f>IFERROR(_xlfn.TEXTAFTER(_xlfn.XLOOKUP(J192,Collection!A:A,Collection!C:C,),"Cards "),_xlfn.TEXTAFTER(_xlfn.XLOOKUP(J192,Sold!A:A,Sold!C:C,),"Cards "))</f>
        <v>2022 Panini Chronicles</v>
      </c>
      <c r="X192" s="18" t="str">
        <f>IFERROR(_xlfn.XLOOKUP(J192,Collection!A:A,Collection!B:B,),_xlfn.XLOOKUP(J192,Sold!A:A,Sold!B:B,))</f>
        <v>Luka Doncic [Pink] #257</v>
      </c>
      <c r="Y192" s="53" t="s">
        <v>507</v>
      </c>
    </row>
    <row r="193" spans="2:25" x14ac:dyDescent="0.3">
      <c r="B193" s="10" t="s">
        <v>691</v>
      </c>
      <c r="C193" s="10" t="s">
        <v>26</v>
      </c>
      <c r="D193" s="5">
        <v>46164</v>
      </c>
      <c r="E193" s="6">
        <v>59</v>
      </c>
      <c r="F193" s="4">
        <v>1.29</v>
      </c>
      <c r="G193" s="4">
        <v>0</v>
      </c>
      <c r="H193" s="4">
        <v>0.13</v>
      </c>
      <c r="I193" s="10" t="s">
        <v>11</v>
      </c>
      <c r="J193" s="10">
        <v>5750462</v>
      </c>
      <c r="K193" s="10">
        <v>326</v>
      </c>
      <c r="L193" s="16" t="s">
        <v>1037</v>
      </c>
      <c r="M193" s="53" t="s">
        <v>1480</v>
      </c>
      <c r="N193" t="str">
        <f t="shared" si="18"/>
        <v>whatnot.com/order/PH2i3WhAY5rePqutCdgM8c
$1.29 + $0.27 (Shared Shipping) + $0.16 Tax = Total of $1.72</v>
      </c>
      <c r="O193" s="2">
        <f t="shared" si="19"/>
        <v>1.42</v>
      </c>
      <c r="P193" s="1">
        <f t="shared" si="26"/>
        <v>0.27187499999999998</v>
      </c>
      <c r="Q193" s="1">
        <f t="shared" si="21"/>
        <v>1.5618750000000001</v>
      </c>
      <c r="R193" s="1">
        <f t="shared" si="22"/>
        <v>0.16009218750000001</v>
      </c>
      <c r="S193" s="1">
        <f t="shared" si="23"/>
        <v>1.7219671875000002</v>
      </c>
      <c r="T193" s="1">
        <f>IFERROR(_xlfn.XLOOKUP(J193,Collection!A:A,Collection!D:D,0)/100/_xlfn.XLOOKUP(J193,Collection!A:A,Collection!J:J,0),_xlfn.XLOOKUP(J193,Sold!A:A,Sold!D:D,0)/100/_xlfn.XLOOKUP(J193,Sold!A:A,Sold!J:J,0))</f>
        <v>1.79</v>
      </c>
      <c r="U193" s="1">
        <f t="shared" si="24"/>
        <v>6.8032812499999817E-2</v>
      </c>
      <c r="V193" s="18">
        <f>COUNTIF(Collection!A:A,J193)+COUNTIF(Sold!A:A,J193)</f>
        <v>1</v>
      </c>
      <c r="W193" t="str">
        <f>IFERROR(_xlfn.TEXTAFTER(_xlfn.XLOOKUP(J193,Collection!A:A,Collection!C:C,),"Cards "),_xlfn.TEXTAFTER(_xlfn.XLOOKUP(J193,Sold!A:A,Sold!C:C,),"Cards "))</f>
        <v>2022 Panini Mosaic Thunder Road</v>
      </c>
      <c r="X193" s="18" t="str">
        <f>IFERROR(_xlfn.XLOOKUP(J193,Collection!A:A,Collection!B:B,),_xlfn.XLOOKUP(J193,Sold!A:A,Sold!B:B,))</f>
        <v>Luka Doncic #9</v>
      </c>
      <c r="Y193" s="53" t="s">
        <v>507</v>
      </c>
    </row>
    <row r="194" spans="2:25" x14ac:dyDescent="0.3">
      <c r="B194" s="10" t="s">
        <v>691</v>
      </c>
      <c r="C194" s="10" t="s">
        <v>26</v>
      </c>
      <c r="D194" s="5">
        <v>46164</v>
      </c>
      <c r="E194" s="6">
        <v>59</v>
      </c>
      <c r="F194" s="4">
        <v>1.28</v>
      </c>
      <c r="G194" s="4">
        <v>0</v>
      </c>
      <c r="H194" s="4">
        <v>0.13</v>
      </c>
      <c r="I194" s="10" t="s">
        <v>11</v>
      </c>
      <c r="J194" s="10">
        <v>2483033</v>
      </c>
      <c r="K194" s="10">
        <v>559</v>
      </c>
      <c r="L194" s="16" t="s">
        <v>1037</v>
      </c>
      <c r="M194" s="53" t="s">
        <v>1481</v>
      </c>
      <c r="N194" t="str">
        <f t="shared" si="18"/>
        <v>whatnot.com/order/PH2i3WhAY5rePqutCdgM8c
$1.28 + $0.27 (Shared Shipping) + $0.16 Tax = Total of $1.71</v>
      </c>
      <c r="O194" s="2">
        <f t="shared" si="19"/>
        <v>1.4100000000000001</v>
      </c>
      <c r="P194" s="1">
        <f t="shared" si="26"/>
        <v>0.27187499999999998</v>
      </c>
      <c r="Q194" s="1">
        <f t="shared" si="21"/>
        <v>1.5518749999999999</v>
      </c>
      <c r="R194" s="1">
        <f t="shared" si="22"/>
        <v>0.15906718749999998</v>
      </c>
      <c r="S194" s="1">
        <f t="shared" si="23"/>
        <v>1.7109421874999999</v>
      </c>
      <c r="T194" s="1">
        <f>IFERROR(_xlfn.XLOOKUP(J194,Collection!A:A,Collection!D:D,0)/100/_xlfn.XLOOKUP(J194,Collection!A:A,Collection!J:J,0),_xlfn.XLOOKUP(J194,Sold!A:A,Sold!D:D,0)/100/_xlfn.XLOOKUP(J194,Sold!A:A,Sold!J:J,0))</f>
        <v>0.99</v>
      </c>
      <c r="U194" s="1">
        <f t="shared" si="24"/>
        <v>-0.72094218749999994</v>
      </c>
      <c r="V194" s="18">
        <f>COUNTIF(Collection!A:A,J194)+COUNTIF(Sold!A:A,J194)</f>
        <v>1</v>
      </c>
      <c r="W194" t="str">
        <f>IFERROR(_xlfn.TEXTAFTER(_xlfn.XLOOKUP(J194,Collection!A:A,Collection!C:C,),"Cards "),_xlfn.TEXTAFTER(_xlfn.XLOOKUP(J194,Sold!A:A,Sold!C:C,),"Cards "))</f>
        <v>2020 Panini Select</v>
      </c>
      <c r="X194" s="18" t="str">
        <f>IFERROR(_xlfn.XLOOKUP(J194,Collection!A:A,Collection!B:B,),_xlfn.XLOOKUP(J194,Sold!A:A,Sold!B:B,))</f>
        <v>Luka Doncic [Blue Retail] #15</v>
      </c>
      <c r="Y194" s="53" t="s">
        <v>1038</v>
      </c>
    </row>
    <row r="195" spans="2:25" x14ac:dyDescent="0.3">
      <c r="B195" s="10" t="s">
        <v>691</v>
      </c>
      <c r="C195" s="10" t="s">
        <v>26</v>
      </c>
      <c r="D195" s="5">
        <v>46164</v>
      </c>
      <c r="E195" s="6">
        <v>59</v>
      </c>
      <c r="F195" s="4">
        <v>1.28</v>
      </c>
      <c r="G195" s="4">
        <v>0</v>
      </c>
      <c r="H195" s="4">
        <v>0.13</v>
      </c>
      <c r="I195" s="10" t="s">
        <v>11</v>
      </c>
      <c r="J195" s="10">
        <v>7375322</v>
      </c>
      <c r="K195" s="10">
        <v>276</v>
      </c>
      <c r="L195" s="16" t="s">
        <v>1037</v>
      </c>
      <c r="M195" s="53" t="s">
        <v>1481</v>
      </c>
      <c r="N195" t="str">
        <f t="shared" si="18"/>
        <v>whatnot.com/order/PH2i3WhAY5rePqutCdgM8c
$1.28 + $0.27 (Shared Shipping) + $0.16 Tax = Total of $1.71</v>
      </c>
      <c r="O195" s="2">
        <f t="shared" si="19"/>
        <v>1.4100000000000001</v>
      </c>
      <c r="P195" s="1">
        <f t="shared" si="26"/>
        <v>0.27187499999999998</v>
      </c>
      <c r="Q195" s="1">
        <f t="shared" si="21"/>
        <v>1.5518749999999999</v>
      </c>
      <c r="R195" s="1">
        <f t="shared" si="22"/>
        <v>0.15906718749999998</v>
      </c>
      <c r="S195" s="1">
        <f t="shared" si="23"/>
        <v>1.7109421874999999</v>
      </c>
      <c r="T195" s="1">
        <f>IFERROR(_xlfn.XLOOKUP(J195,Collection!A:A,Collection!D:D,0)/100/_xlfn.XLOOKUP(J195,Collection!A:A,Collection!J:J,0),_xlfn.XLOOKUP(J195,Sold!A:A,Sold!D:D,0)/100/_xlfn.XLOOKUP(J195,Sold!A:A,Sold!J:J,0))</f>
        <v>1.99</v>
      </c>
      <c r="U195" s="1">
        <f t="shared" si="24"/>
        <v>0.27905781250000006</v>
      </c>
      <c r="V195" s="18">
        <f>COUNTIF(Collection!A:A,J195)+COUNTIF(Sold!A:A,J195)</f>
        <v>1</v>
      </c>
      <c r="W195" t="str">
        <f>IFERROR(_xlfn.TEXTAFTER(_xlfn.XLOOKUP(J195,Collection!A:A,Collection!C:C,),"Cards "),_xlfn.TEXTAFTER(_xlfn.XLOOKUP(J195,Sold!A:A,Sold!C:C,),"Cards "))</f>
        <v>2023 Panini Haunted Hoops</v>
      </c>
      <c r="X195" s="18" t="str">
        <f>IFERROR(_xlfn.XLOOKUP(J195,Collection!A:A,Collection!B:B,),_xlfn.XLOOKUP(J195,Sold!A:A,Sold!B:B,))</f>
        <v>Luka Doncic #9</v>
      </c>
      <c r="Y195" s="53" t="s">
        <v>507</v>
      </c>
    </row>
    <row r="196" spans="2:25" x14ac:dyDescent="0.3">
      <c r="B196" s="10" t="s">
        <v>691</v>
      </c>
      <c r="C196" s="10" t="s">
        <v>26</v>
      </c>
      <c r="D196" s="5">
        <v>46164</v>
      </c>
      <c r="E196" s="6">
        <v>59</v>
      </c>
      <c r="F196" s="4">
        <v>1.28</v>
      </c>
      <c r="G196" s="4">
        <v>0</v>
      </c>
      <c r="H196" s="4">
        <v>0.13</v>
      </c>
      <c r="I196" s="10" t="s">
        <v>11</v>
      </c>
      <c r="J196" s="10">
        <v>6059252</v>
      </c>
      <c r="K196" s="10">
        <v>368</v>
      </c>
      <c r="L196" s="16" t="s">
        <v>1037</v>
      </c>
      <c r="M196" s="53" t="s">
        <v>1481</v>
      </c>
      <c r="N196" t="str">
        <f t="shared" ref="N196:N248" si="27">IFERROR(_xlfn.TEXTAFTER(L196,"https://www."),"")&amp;CHAR(10)&amp;_xlfn.CONCAT(TEXT(F196,"$0.00")," + ",TEXT(P196,"$0.00")," (Shared Shipping) + ",TEXT(R196,"$0.00")," Tax = Total of ",TEXT(S196,"$0.00"))</f>
        <v>whatnot.com/order/PH2i3WhAY5rePqutCdgM8c
$1.28 + $0.27 (Shared Shipping) + $0.16 Tax = Total of $1.71</v>
      </c>
      <c r="O196" s="2">
        <f t="shared" ref="O196:O248" si="28">SUM(F196:H196)</f>
        <v>1.4100000000000001</v>
      </c>
      <c r="P196" s="1">
        <f t="shared" si="26"/>
        <v>0.27187499999999998</v>
      </c>
      <c r="Q196" s="1">
        <f t="shared" ref="Q196:Q248" si="29">+F196+P196</f>
        <v>1.5518749999999999</v>
      </c>
      <c r="R196" s="1">
        <f t="shared" ref="R196:R248" si="30">IF(H196=0,0,Q196*0.1025)</f>
        <v>0.15906718749999998</v>
      </c>
      <c r="S196" s="1">
        <f t="shared" ref="S196:S248" si="31">+Q196+R196</f>
        <v>1.7109421874999999</v>
      </c>
      <c r="T196" s="1">
        <f>IFERROR(_xlfn.XLOOKUP(J196,Collection!A:A,Collection!D:D,0)/100/_xlfn.XLOOKUP(J196,Collection!A:A,Collection!J:J,0),_xlfn.XLOOKUP(J196,Sold!A:A,Sold!D:D,0)/100/_xlfn.XLOOKUP(J196,Sold!A:A,Sold!J:J,0))</f>
        <v>1.96</v>
      </c>
      <c r="U196" s="1">
        <f t="shared" ref="U196:U248" si="32">IFERROR(T196-S196,0)</f>
        <v>0.24905781250000003</v>
      </c>
      <c r="V196" s="18">
        <f>COUNTIF(Collection!A:A,J196)+COUNTIF(Sold!A:A,J196)</f>
        <v>1</v>
      </c>
      <c r="W196" t="str">
        <f>IFERROR(_xlfn.TEXTAFTER(_xlfn.XLOOKUP(J196,Collection!A:A,Collection!C:C,),"Cards "),_xlfn.TEXTAFTER(_xlfn.XLOOKUP(J196,Sold!A:A,Sold!C:C,),"Cards "))</f>
        <v>2023 Panini Hoops</v>
      </c>
      <c r="X196" s="18" t="str">
        <f>IFERROR(_xlfn.XLOOKUP(J196,Collection!A:A,Collection!B:B,),_xlfn.XLOOKUP(J196,Sold!A:A,Sold!B:B,))</f>
        <v>Luka Doncic #295</v>
      </c>
      <c r="Y196" s="53" t="s">
        <v>507</v>
      </c>
    </row>
    <row r="197" spans="2:25" x14ac:dyDescent="0.3">
      <c r="B197" s="10" t="s">
        <v>691</v>
      </c>
      <c r="C197" s="10" t="s">
        <v>26</v>
      </c>
      <c r="D197" s="5">
        <v>46164</v>
      </c>
      <c r="E197" s="6">
        <v>60</v>
      </c>
      <c r="F197" s="4">
        <v>1.43</v>
      </c>
      <c r="G197" s="4">
        <v>0</v>
      </c>
      <c r="H197" s="4">
        <v>0.15</v>
      </c>
      <c r="I197" s="10" t="s">
        <v>11</v>
      </c>
      <c r="J197" s="10">
        <v>5289298</v>
      </c>
      <c r="K197" s="10">
        <v>287</v>
      </c>
      <c r="L197" s="16" t="s">
        <v>1039</v>
      </c>
      <c r="M197" s="53" t="s">
        <v>1482</v>
      </c>
      <c r="N197" t="str">
        <f t="shared" si="27"/>
        <v>whatnot.com/order/GhBCHwczCmrh6F7iQjEyTX
$1.43 + $0.27 (Shared Shipping) + $0.17 Tax = Total of $1.88</v>
      </c>
      <c r="O197" s="2">
        <f t="shared" si="28"/>
        <v>1.5799999999999998</v>
      </c>
      <c r="P197" s="1">
        <f t="shared" si="26"/>
        <v>0.27187499999999998</v>
      </c>
      <c r="Q197" s="1">
        <f t="shared" si="29"/>
        <v>1.7018749999999998</v>
      </c>
      <c r="R197" s="1">
        <f t="shared" si="30"/>
        <v>0.17444218749999996</v>
      </c>
      <c r="S197" s="1">
        <f t="shared" si="31"/>
        <v>1.8763171874999998</v>
      </c>
      <c r="T197" s="1">
        <f>IFERROR(_xlfn.XLOOKUP(J197,Collection!A:A,Collection!D:D,0)/100/_xlfn.XLOOKUP(J197,Collection!A:A,Collection!J:J,0),_xlfn.XLOOKUP(J197,Sold!A:A,Sold!D:D,0)/100/_xlfn.XLOOKUP(J197,Sold!A:A,Sold!J:J,0))</f>
        <v>1.99</v>
      </c>
      <c r="U197" s="1">
        <f t="shared" si="32"/>
        <v>0.11368281250000023</v>
      </c>
      <c r="V197" s="18">
        <f>COUNTIF(Collection!A:A,J197)+COUNTIF(Sold!A:A,J197)</f>
        <v>1</v>
      </c>
      <c r="W197" t="str">
        <f>IFERROR(_xlfn.TEXTAFTER(_xlfn.XLOOKUP(J197,Collection!A:A,Collection!C:C,),"Cards "),_xlfn.TEXTAFTER(_xlfn.XLOOKUP(J197,Sold!A:A,Sold!C:C,),"Cards "))</f>
        <v>2022 Panini Donruss Optic My House</v>
      </c>
      <c r="X197" s="18" t="str">
        <f>IFERROR(_xlfn.XLOOKUP(J197,Collection!A:A,Collection!B:B,),_xlfn.XLOOKUP(J197,Sold!A:A,Sold!B:B,))</f>
        <v>Luka Doncic #3</v>
      </c>
      <c r="Y197" s="53" t="s">
        <v>507</v>
      </c>
    </row>
    <row r="198" spans="2:25" x14ac:dyDescent="0.3">
      <c r="B198" s="10" t="s">
        <v>691</v>
      </c>
      <c r="C198" s="10" t="s">
        <v>26</v>
      </c>
      <c r="D198" s="5">
        <v>46164</v>
      </c>
      <c r="E198" s="6">
        <v>60</v>
      </c>
      <c r="F198" s="4">
        <v>1.43</v>
      </c>
      <c r="G198" s="4">
        <v>0</v>
      </c>
      <c r="H198" s="4">
        <v>0.15</v>
      </c>
      <c r="I198" s="10" t="s">
        <v>11</v>
      </c>
      <c r="J198" s="10">
        <v>8561174</v>
      </c>
      <c r="K198" s="10">
        <v>433</v>
      </c>
      <c r="L198" s="16" t="s">
        <v>1039</v>
      </c>
      <c r="M198" s="53" t="s">
        <v>1482</v>
      </c>
      <c r="N198" t="str">
        <f t="shared" si="27"/>
        <v>whatnot.com/order/GhBCHwczCmrh6F7iQjEyTX
$1.43 + $0.27 (Shared Shipping) + $0.17 Tax = Total of $1.88</v>
      </c>
      <c r="O198" s="2">
        <f t="shared" si="28"/>
        <v>1.5799999999999998</v>
      </c>
      <c r="P198" s="1">
        <f t="shared" si="26"/>
        <v>0.27187499999999998</v>
      </c>
      <c r="Q198" s="1">
        <f t="shared" si="29"/>
        <v>1.7018749999999998</v>
      </c>
      <c r="R198" s="1">
        <f t="shared" si="30"/>
        <v>0.17444218749999996</v>
      </c>
      <c r="S198" s="1">
        <f t="shared" si="31"/>
        <v>1.8763171874999998</v>
      </c>
      <c r="T198" s="1">
        <f>IFERROR(_xlfn.XLOOKUP(J198,Collection!A:A,Collection!D:D,0)/100/_xlfn.XLOOKUP(J198,Collection!A:A,Collection!J:J,0),_xlfn.XLOOKUP(J198,Sold!A:A,Sold!D:D,0)/100/_xlfn.XLOOKUP(J198,Sold!A:A,Sold!J:J,0))</f>
        <v>1.49</v>
      </c>
      <c r="U198" s="1">
        <f t="shared" si="32"/>
        <v>-0.38631718749999977</v>
      </c>
      <c r="V198" s="18">
        <f>COUNTIF(Collection!A:A,J198)+COUNTIF(Sold!A:A,J198)</f>
        <v>1</v>
      </c>
      <c r="W198" t="str">
        <f>IFERROR(_xlfn.TEXTAFTER(_xlfn.XLOOKUP(J198,Collection!A:A,Collection!C:C,),"Cards "),_xlfn.TEXTAFTER(_xlfn.XLOOKUP(J198,Sold!A:A,Sold!C:C,),"Cards "))</f>
        <v>2024 Panini Prizm Global Reach</v>
      </c>
      <c r="X198" s="18" t="str">
        <f>IFERROR(_xlfn.XLOOKUP(J198,Collection!A:A,Collection!B:B,),_xlfn.XLOOKUP(J198,Sold!A:A,Sold!B:B,))</f>
        <v>Luka Doncic #8</v>
      </c>
      <c r="Y198" s="53" t="s">
        <v>507</v>
      </c>
    </row>
    <row r="199" spans="2:25" x14ac:dyDescent="0.3">
      <c r="B199" s="10" t="s">
        <v>691</v>
      </c>
      <c r="C199" s="10" t="s">
        <v>26</v>
      </c>
      <c r="D199" s="5">
        <v>46164</v>
      </c>
      <c r="E199" s="6">
        <v>60</v>
      </c>
      <c r="F199" s="4">
        <v>1.43</v>
      </c>
      <c r="G199" s="4">
        <v>0</v>
      </c>
      <c r="H199" s="4">
        <v>0.15</v>
      </c>
      <c r="I199" s="10" t="s">
        <v>11</v>
      </c>
      <c r="J199" s="10">
        <v>6421639</v>
      </c>
      <c r="K199" s="10">
        <v>484</v>
      </c>
      <c r="L199" s="16" t="s">
        <v>1039</v>
      </c>
      <c r="M199" s="53" t="s">
        <v>1482</v>
      </c>
      <c r="N199" t="str">
        <f t="shared" si="27"/>
        <v>whatnot.com/order/GhBCHwczCmrh6F7iQjEyTX
$1.43 + $0.27 (Shared Shipping) + $0.17 Tax = Total of $1.88</v>
      </c>
      <c r="O199" s="2">
        <f t="shared" si="28"/>
        <v>1.5799999999999998</v>
      </c>
      <c r="P199" s="1">
        <f t="shared" si="26"/>
        <v>0.27187499999999998</v>
      </c>
      <c r="Q199" s="1">
        <f t="shared" si="29"/>
        <v>1.7018749999999998</v>
      </c>
      <c r="R199" s="1">
        <f t="shared" si="30"/>
        <v>0.17444218749999996</v>
      </c>
      <c r="S199" s="1">
        <f t="shared" si="31"/>
        <v>1.8763171874999998</v>
      </c>
      <c r="T199" s="1">
        <f>IFERROR(_xlfn.XLOOKUP(J199,Collection!A:A,Collection!D:D,0)/100/_xlfn.XLOOKUP(J199,Collection!A:A,Collection!J:J,0),_xlfn.XLOOKUP(J199,Sold!A:A,Sold!D:D,0)/100/_xlfn.XLOOKUP(J199,Sold!A:A,Sold!J:J,0))</f>
        <v>1.6</v>
      </c>
      <c r="U199" s="1">
        <f t="shared" si="32"/>
        <v>-0.27631718749999967</v>
      </c>
      <c r="V199" s="18">
        <f>COUNTIF(Collection!A:A,J199)+COUNTIF(Sold!A:A,J199)</f>
        <v>1</v>
      </c>
      <c r="W199" t="str">
        <f>IFERROR(_xlfn.TEXTAFTER(_xlfn.XLOOKUP(J199,Collection!A:A,Collection!C:C,),"Cards "),_xlfn.TEXTAFTER(_xlfn.XLOOKUP(J199,Sold!A:A,Sold!C:C,),"Cards "))</f>
        <v>2023 Panini Prizm Deep Space</v>
      </c>
      <c r="X199" s="18" t="str">
        <f>IFERROR(_xlfn.XLOOKUP(J199,Collection!A:A,Collection!B:B,),_xlfn.XLOOKUP(J199,Sold!A:A,Sold!B:B,))</f>
        <v>Luka Doncic #6</v>
      </c>
      <c r="Y199" s="53" t="s">
        <v>507</v>
      </c>
    </row>
    <row r="200" spans="2:25" x14ac:dyDescent="0.3">
      <c r="B200" s="10" t="s">
        <v>691</v>
      </c>
      <c r="C200" s="10" t="s">
        <v>26</v>
      </c>
      <c r="D200" s="5">
        <v>46164</v>
      </c>
      <c r="E200" s="6">
        <v>60</v>
      </c>
      <c r="F200" s="4">
        <v>1.43</v>
      </c>
      <c r="G200" s="4">
        <v>0</v>
      </c>
      <c r="H200" s="4">
        <v>0.15</v>
      </c>
      <c r="I200" s="10" t="s">
        <v>11</v>
      </c>
      <c r="J200" s="10">
        <v>5463644</v>
      </c>
      <c r="K200" s="10">
        <v>516</v>
      </c>
      <c r="L200" s="16" t="s">
        <v>1039</v>
      </c>
      <c r="M200" s="53" t="s">
        <v>1482</v>
      </c>
      <c r="N200" t="str">
        <f t="shared" si="27"/>
        <v>whatnot.com/order/GhBCHwczCmrh6F7iQjEyTX
$1.43 + $0.27 (Shared Shipping) + $0.17 Tax = Total of $1.88</v>
      </c>
      <c r="O200" s="2">
        <f t="shared" si="28"/>
        <v>1.5799999999999998</v>
      </c>
      <c r="P200" s="1">
        <f t="shared" si="26"/>
        <v>0.27187499999999998</v>
      </c>
      <c r="Q200" s="1">
        <f t="shared" si="29"/>
        <v>1.7018749999999998</v>
      </c>
      <c r="R200" s="1">
        <f t="shared" si="30"/>
        <v>0.17444218749999996</v>
      </c>
      <c r="S200" s="1">
        <f t="shared" si="31"/>
        <v>1.8763171874999998</v>
      </c>
      <c r="T200" s="1">
        <f>IFERROR(_xlfn.XLOOKUP(J200,Collection!A:A,Collection!D:D,0)/100/_xlfn.XLOOKUP(J200,Collection!A:A,Collection!J:J,0),_xlfn.XLOOKUP(J200,Sold!A:A,Sold!D:D,0)/100/_xlfn.XLOOKUP(J200,Sold!A:A,Sold!J:J,0))</f>
        <v>1.1299999999999999</v>
      </c>
      <c r="U200" s="1">
        <f t="shared" si="32"/>
        <v>-0.74631718749999987</v>
      </c>
      <c r="V200" s="18">
        <f>COUNTIF(Collection!A:A,J200)+COUNTIF(Sold!A:A,J200)</f>
        <v>1</v>
      </c>
      <c r="W200" t="str">
        <f>IFERROR(_xlfn.TEXTAFTER(_xlfn.XLOOKUP(J200,Collection!A:A,Collection!C:C,),"Cards "),_xlfn.TEXTAFTER(_xlfn.XLOOKUP(J200,Sold!A:A,Sold!C:C,),"Cards "))</f>
        <v>2022 Panini Select</v>
      </c>
      <c r="X200" s="18" t="str">
        <f>IFERROR(_xlfn.XLOOKUP(J200,Collection!A:A,Collection!B:B,),_xlfn.XLOOKUP(J200,Sold!A:A,Sold!B:B,))</f>
        <v>Luka Doncic #51</v>
      </c>
      <c r="Y200" s="53" t="s">
        <v>507</v>
      </c>
    </row>
    <row r="201" spans="2:25" x14ac:dyDescent="0.3">
      <c r="B201" s="10" t="s">
        <v>691</v>
      </c>
      <c r="C201" s="10" t="s">
        <v>26</v>
      </c>
      <c r="D201" s="5">
        <v>46164</v>
      </c>
      <c r="E201" s="6">
        <v>60</v>
      </c>
      <c r="F201" s="4">
        <v>1.43</v>
      </c>
      <c r="G201" s="4">
        <v>0</v>
      </c>
      <c r="H201" s="4">
        <v>0.15</v>
      </c>
      <c r="I201" s="10" t="s">
        <v>11</v>
      </c>
      <c r="J201" s="10">
        <v>8404075</v>
      </c>
      <c r="K201" s="10">
        <v>460</v>
      </c>
      <c r="L201" s="16" t="s">
        <v>1039</v>
      </c>
      <c r="M201" s="53" t="s">
        <v>1482</v>
      </c>
      <c r="N201" t="str">
        <f t="shared" si="27"/>
        <v>whatnot.com/order/GhBCHwczCmrh6F7iQjEyTX
$1.43 + $0.27 (Shared Shipping) + $0.17 Tax = Total of $1.88</v>
      </c>
      <c r="O201" s="2">
        <f t="shared" si="28"/>
        <v>1.5799999999999998</v>
      </c>
      <c r="P201" s="1">
        <f t="shared" si="26"/>
        <v>0.27187499999999998</v>
      </c>
      <c r="Q201" s="1">
        <f t="shared" si="29"/>
        <v>1.7018749999999998</v>
      </c>
      <c r="R201" s="1">
        <f t="shared" si="30"/>
        <v>0.17444218749999996</v>
      </c>
      <c r="S201" s="1">
        <f t="shared" si="31"/>
        <v>1.8763171874999998</v>
      </c>
      <c r="T201" s="1">
        <f>IFERROR(_xlfn.XLOOKUP(J201,Collection!A:A,Collection!D:D,0)/100/_xlfn.XLOOKUP(J201,Collection!A:A,Collection!J:J,0),_xlfn.XLOOKUP(J201,Sold!A:A,Sold!D:D,0)/100/_xlfn.XLOOKUP(J201,Sold!A:A,Sold!J:J,0))</f>
        <v>1.29</v>
      </c>
      <c r="U201" s="1">
        <f t="shared" si="32"/>
        <v>-0.58631718749999973</v>
      </c>
      <c r="V201" s="18">
        <f>COUNTIF(Collection!A:A,J201)+COUNTIF(Sold!A:A,J201)</f>
        <v>1</v>
      </c>
      <c r="W201" t="str">
        <f>IFERROR(_xlfn.TEXTAFTER(_xlfn.XLOOKUP(J201,Collection!A:A,Collection!C:C,),"Cards "),_xlfn.TEXTAFTER(_xlfn.XLOOKUP(J201,Sold!A:A,Sold!C:C,),"Cards "))</f>
        <v>2024 Panini NBA Hoops</v>
      </c>
      <c r="X201" s="18" t="str">
        <f>IFERROR(_xlfn.XLOOKUP(J201,Collection!A:A,Collection!B:B,),_xlfn.XLOOKUP(J201,Sold!A:A,Sold!B:B,))</f>
        <v>Luka Doncic #281</v>
      </c>
      <c r="Y201" s="53" t="s">
        <v>507</v>
      </c>
    </row>
    <row r="202" spans="2:25" x14ac:dyDescent="0.3">
      <c r="B202" s="10" t="s">
        <v>691</v>
      </c>
      <c r="C202" s="10" t="s">
        <v>26</v>
      </c>
      <c r="D202" s="5">
        <v>46164</v>
      </c>
      <c r="E202" s="6">
        <v>60</v>
      </c>
      <c r="F202" s="4">
        <v>1.43</v>
      </c>
      <c r="G202" s="4">
        <v>0</v>
      </c>
      <c r="H202" s="4">
        <v>0.14000000000000001</v>
      </c>
      <c r="I202" s="10" t="s">
        <v>11</v>
      </c>
      <c r="J202" s="10">
        <v>8394422</v>
      </c>
      <c r="K202" s="10">
        <v>422</v>
      </c>
      <c r="L202" s="16" t="s">
        <v>1039</v>
      </c>
      <c r="M202" s="53" t="s">
        <v>1482</v>
      </c>
      <c r="N202" t="str">
        <f t="shared" si="27"/>
        <v>whatnot.com/order/GhBCHwczCmrh6F7iQjEyTX
$1.43 + $0.27 (Shared Shipping) + $0.17 Tax = Total of $1.88</v>
      </c>
      <c r="O202" s="2">
        <f t="shared" si="28"/>
        <v>1.5699999999999998</v>
      </c>
      <c r="P202" s="1">
        <f t="shared" si="26"/>
        <v>0.27187499999999998</v>
      </c>
      <c r="Q202" s="1">
        <f t="shared" si="29"/>
        <v>1.7018749999999998</v>
      </c>
      <c r="R202" s="1">
        <f t="shared" si="30"/>
        <v>0.17444218749999996</v>
      </c>
      <c r="S202" s="1">
        <f t="shared" si="31"/>
        <v>1.8763171874999998</v>
      </c>
      <c r="T202" s="1">
        <f>IFERROR(_xlfn.XLOOKUP(J202,Collection!A:A,Collection!D:D,0)/100/_xlfn.XLOOKUP(J202,Collection!A:A,Collection!J:J,0),_xlfn.XLOOKUP(J202,Sold!A:A,Sold!D:D,0)/100/_xlfn.XLOOKUP(J202,Sold!A:A,Sold!J:J,0))</f>
        <v>1.42</v>
      </c>
      <c r="U202" s="1">
        <f t="shared" si="32"/>
        <v>-0.45631718749999983</v>
      </c>
      <c r="V202" s="18">
        <f>COUNTIF(Collection!A:A,J202)+COUNTIF(Sold!A:A,J202)</f>
        <v>2</v>
      </c>
      <c r="W202" t="str">
        <f>IFERROR(_xlfn.TEXTAFTER(_xlfn.XLOOKUP(J202,Collection!A:A,Collection!C:C,),"Cards "),_xlfn.TEXTAFTER(_xlfn.XLOOKUP(J202,Sold!A:A,Sold!C:C,),"Cards "))</f>
        <v>2024 Panini NBA Hoops</v>
      </c>
      <c r="X202" s="18" t="str">
        <f>IFERROR(_xlfn.XLOOKUP(J202,Collection!A:A,Collection!B:B,),_xlfn.XLOOKUP(J202,Sold!A:A,Sold!B:B,))</f>
        <v>Luka Doncic #115</v>
      </c>
      <c r="Y202" s="53" t="s">
        <v>507</v>
      </c>
    </row>
    <row r="203" spans="2:25" x14ac:dyDescent="0.3">
      <c r="B203" s="10" t="s">
        <v>691</v>
      </c>
      <c r="C203" s="10" t="s">
        <v>26</v>
      </c>
      <c r="D203" s="5">
        <v>46164</v>
      </c>
      <c r="E203" s="6">
        <v>60</v>
      </c>
      <c r="F203" s="4">
        <v>1.42</v>
      </c>
      <c r="G203" s="4">
        <v>0</v>
      </c>
      <c r="H203" s="4">
        <v>0.14000000000000001</v>
      </c>
      <c r="I203" s="10" t="s">
        <v>11</v>
      </c>
      <c r="J203" s="10">
        <v>920589</v>
      </c>
      <c r="K203" s="10">
        <v>336</v>
      </c>
      <c r="L203" s="16" t="s">
        <v>1039</v>
      </c>
      <c r="M203" s="53" t="s">
        <v>1483</v>
      </c>
      <c r="N203" t="str">
        <f t="shared" si="27"/>
        <v>whatnot.com/order/GhBCHwczCmrh6F7iQjEyTX
$1.42 + $0.27 (Shared Shipping) + $0.17 Tax = Total of $1.87</v>
      </c>
      <c r="O203" s="2">
        <f t="shared" si="28"/>
        <v>1.56</v>
      </c>
      <c r="P203" s="1">
        <f t="shared" si="26"/>
        <v>0.27187499999999998</v>
      </c>
      <c r="Q203" s="1">
        <f t="shared" si="29"/>
        <v>1.691875</v>
      </c>
      <c r="R203" s="1">
        <f t="shared" si="30"/>
        <v>0.17341718749999999</v>
      </c>
      <c r="S203" s="1">
        <f t="shared" si="31"/>
        <v>1.8652921874999999</v>
      </c>
      <c r="T203" s="1">
        <f>IFERROR(_xlfn.XLOOKUP(J203,Collection!A:A,Collection!D:D,0)/100/_xlfn.XLOOKUP(J203,Collection!A:A,Collection!J:J,0),_xlfn.XLOOKUP(J203,Sold!A:A,Sold!D:D,0)/100/_xlfn.XLOOKUP(J203,Sold!A:A,Sold!J:J,0))</f>
        <v>2.38</v>
      </c>
      <c r="U203" s="1">
        <f t="shared" si="32"/>
        <v>0.51470781249999997</v>
      </c>
      <c r="V203" s="18">
        <f>COUNTIF(Collection!A:A,J203)+COUNTIF(Sold!A:A,J203)</f>
        <v>1</v>
      </c>
      <c r="W203" t="str">
        <f>IFERROR(_xlfn.TEXTAFTER(_xlfn.XLOOKUP(J203,Collection!A:A,Collection!C:C,),"Cards "),_xlfn.TEXTAFTER(_xlfn.XLOOKUP(J203,Sold!A:A,Sold!C:C,),"Cards "))</f>
        <v>2019 Panini Chronicles</v>
      </c>
      <c r="X203" s="18" t="str">
        <f>IFERROR(_xlfn.XLOOKUP(J203,Collection!A:A,Collection!B:B,),_xlfn.XLOOKUP(J203,Sold!A:A,Sold!B:B,))</f>
        <v>Luka Doncic #254</v>
      </c>
      <c r="Y203" s="53" t="s">
        <v>1038</v>
      </c>
    </row>
    <row r="204" spans="2:25" x14ac:dyDescent="0.3">
      <c r="B204" s="10" t="s">
        <v>691</v>
      </c>
      <c r="C204" s="10" t="s">
        <v>1040</v>
      </c>
      <c r="D204" s="5">
        <v>46165</v>
      </c>
      <c r="E204" s="6">
        <v>16</v>
      </c>
      <c r="F204" s="4">
        <v>2.5</v>
      </c>
      <c r="G204" s="4">
        <v>0</v>
      </c>
      <c r="H204" s="4">
        <v>0.26</v>
      </c>
      <c r="I204" s="10" t="s">
        <v>512</v>
      </c>
      <c r="J204" s="10">
        <v>10819453</v>
      </c>
      <c r="K204" s="10">
        <v>530</v>
      </c>
      <c r="L204" s="16" t="s">
        <v>1041</v>
      </c>
      <c r="M204" s="53" t="s">
        <v>1484</v>
      </c>
      <c r="N204" t="str">
        <f t="shared" si="27"/>
        <v>whatnot.com/order/NMxKJ4hE9QKucKgDpADrjE
$2.50 + $0.00 (Shared Shipping) + $0.26 Tax = Total of $2.76</v>
      </c>
      <c r="O204" s="2">
        <f t="shared" si="28"/>
        <v>2.76</v>
      </c>
      <c r="P204" s="1">
        <f t="shared" si="26"/>
        <v>0</v>
      </c>
      <c r="Q204" s="1">
        <f t="shared" si="29"/>
        <v>2.5</v>
      </c>
      <c r="R204" s="1">
        <f t="shared" si="30"/>
        <v>0.25624999999999998</v>
      </c>
      <c r="S204" s="1">
        <f t="shared" si="31"/>
        <v>2.7562500000000001</v>
      </c>
      <c r="T204" s="1">
        <f>IFERROR(_xlfn.XLOOKUP(J204,Collection!A:A,Collection!D:D,0)/100/_xlfn.XLOOKUP(J204,Collection!A:A,Collection!J:J,0),_xlfn.XLOOKUP(J204,Sold!A:A,Sold!D:D,0)/100/_xlfn.XLOOKUP(J204,Sold!A:A,Sold!J:J,0))</f>
        <v>1.42</v>
      </c>
      <c r="U204" s="1">
        <f t="shared" si="32"/>
        <v>-1.3362500000000002</v>
      </c>
      <c r="V204" s="18">
        <f>COUNTIF(Collection!A:A,J204)+COUNTIF(Sold!A:A,J204)</f>
        <v>1</v>
      </c>
      <c r="W204" t="str">
        <f>IFERROR(_xlfn.TEXTAFTER(_xlfn.XLOOKUP(J204,Collection!A:A,Collection!C:C,),"Cards "),_xlfn.TEXTAFTER(_xlfn.XLOOKUP(J204,Sold!A:A,Sold!C:C,),"Cards "))</f>
        <v>2025 Topps</v>
      </c>
      <c r="X204" s="18" t="str">
        <f>IFERROR(_xlfn.XLOOKUP(J204,Collection!A:A,Collection!B:B,),_xlfn.XLOOKUP(J204,Sold!A:A,Sold!B:B,))</f>
        <v>Victor Wembanyama #195</v>
      </c>
      <c r="Y204" s="53" t="s">
        <v>507</v>
      </c>
    </row>
    <row r="205" spans="2:25" x14ac:dyDescent="0.3">
      <c r="B205" s="10" t="s">
        <v>691</v>
      </c>
      <c r="C205" s="10" t="s">
        <v>1040</v>
      </c>
      <c r="D205" s="5">
        <v>46165</v>
      </c>
      <c r="E205" s="6">
        <v>16</v>
      </c>
      <c r="F205" s="4">
        <v>2.5</v>
      </c>
      <c r="G205" s="4">
        <v>0</v>
      </c>
      <c r="H205" s="4">
        <v>0.26</v>
      </c>
      <c r="I205" s="10" t="s">
        <v>468</v>
      </c>
      <c r="J205" s="10">
        <v>9259816</v>
      </c>
      <c r="K205" s="10">
        <v>497</v>
      </c>
      <c r="L205" s="16" t="s">
        <v>1041</v>
      </c>
      <c r="M205" s="53" t="s">
        <v>1484</v>
      </c>
      <c r="N205" t="str">
        <f t="shared" si="27"/>
        <v>whatnot.com/order/NMxKJ4hE9QKucKgDpADrjE
$2.50 + $0.00 (Shared Shipping) + $0.26 Tax = Total of $2.76</v>
      </c>
      <c r="O205" s="2">
        <f t="shared" si="28"/>
        <v>2.76</v>
      </c>
      <c r="P205" s="1">
        <f t="shared" si="26"/>
        <v>0</v>
      </c>
      <c r="Q205" s="1">
        <f t="shared" si="29"/>
        <v>2.5</v>
      </c>
      <c r="R205" s="1">
        <f t="shared" si="30"/>
        <v>0.25624999999999998</v>
      </c>
      <c r="S205" s="1">
        <f t="shared" si="31"/>
        <v>2.7562500000000001</v>
      </c>
      <c r="T205" s="1">
        <f>IFERROR(_xlfn.XLOOKUP(J205,Collection!A:A,Collection!D:D,0)/100/_xlfn.XLOOKUP(J205,Collection!A:A,Collection!J:J,0),_xlfn.XLOOKUP(J205,Sold!A:A,Sold!D:D,0)/100/_xlfn.XLOOKUP(J205,Sold!A:A,Sold!J:J,0))</f>
        <v>1.21</v>
      </c>
      <c r="U205" s="1">
        <f t="shared" si="32"/>
        <v>-1.5462500000000001</v>
      </c>
      <c r="V205" s="18">
        <f>COUNTIF(Collection!A:A,J205)+COUNTIF(Sold!A:A,J205)</f>
        <v>2</v>
      </c>
      <c r="W205" t="str">
        <f>IFERROR(_xlfn.TEXTAFTER(_xlfn.XLOOKUP(J205,Collection!A:A,Collection!C:C,),"Cards "),_xlfn.TEXTAFTER(_xlfn.XLOOKUP(J205,Sold!A:A,Sold!C:C,),"Cards "))</f>
        <v>2024 Panini Revolution</v>
      </c>
      <c r="X205" s="18" t="str">
        <f>IFERROR(_xlfn.XLOOKUP(J205,Collection!A:A,Collection!B:B,),_xlfn.XLOOKUP(J205,Sold!A:A,Sold!B:B,))</f>
        <v>Shai Gilgeous-Alexander #8</v>
      </c>
      <c r="Y205" s="53" t="s">
        <v>507</v>
      </c>
    </row>
    <row r="206" spans="2:25" x14ac:dyDescent="0.3">
      <c r="B206" s="10" t="s">
        <v>691</v>
      </c>
      <c r="C206" s="10" t="s">
        <v>1048</v>
      </c>
      <c r="D206" s="5">
        <v>46167</v>
      </c>
      <c r="E206" s="6">
        <v>125</v>
      </c>
      <c r="F206" s="4">
        <v>1</v>
      </c>
      <c r="G206" s="4">
        <v>4.8600000000000003</v>
      </c>
      <c r="H206" s="4">
        <v>0.62</v>
      </c>
      <c r="I206" s="10" t="s">
        <v>1046</v>
      </c>
      <c r="J206" s="10">
        <v>1105503</v>
      </c>
      <c r="K206" s="10">
        <v>238</v>
      </c>
      <c r="L206" s="16" t="s">
        <v>1047</v>
      </c>
      <c r="M206" s="53" t="s">
        <v>1485</v>
      </c>
      <c r="N206" t="str">
        <f t="shared" si="27"/>
        <v>whatnot.com/order/cav4UM3BapHtzDbW3nupgs
$1.00 + $4.86 (Shared Shipping) + $0.60 Tax = Total of $6.46</v>
      </c>
      <c r="O206" s="2">
        <f t="shared" si="28"/>
        <v>6.48</v>
      </c>
      <c r="P206" s="1">
        <f t="shared" si="26"/>
        <v>4.8600000000000003</v>
      </c>
      <c r="Q206" s="1">
        <f t="shared" si="29"/>
        <v>5.86</v>
      </c>
      <c r="R206" s="1">
        <f t="shared" si="30"/>
        <v>0.60065000000000002</v>
      </c>
      <c r="S206" s="1">
        <f t="shared" si="31"/>
        <v>6.4606500000000002</v>
      </c>
      <c r="T206" s="1">
        <f>IFERROR(_xlfn.XLOOKUP(J206,Collection!A:A,Collection!D:D,0)/100/_xlfn.XLOOKUP(J206,Collection!A:A,Collection!J:J,0),_xlfn.XLOOKUP(J206,Sold!A:A,Sold!D:D,0)/100/_xlfn.XLOOKUP(J206,Sold!A:A,Sold!J:J,0))</f>
        <v>1.99</v>
      </c>
      <c r="U206" s="1">
        <f t="shared" si="32"/>
        <v>-4.47065</v>
      </c>
      <c r="V206" s="18">
        <f>COUNTIF(Collection!A:A,J206)+COUNTIF(Sold!A:A,J206)</f>
        <v>1</v>
      </c>
      <c r="W206" t="str">
        <f>IFERROR(_xlfn.TEXTAFTER(_xlfn.XLOOKUP(J206,Collection!A:A,Collection!C:C,),"Cards "),_xlfn.TEXTAFTER(_xlfn.XLOOKUP(J206,Sold!A:A,Sold!C:C,),"Cards "))</f>
        <v>1990 Pro Set</v>
      </c>
      <c r="X206" s="18" t="str">
        <f>IFERROR(_xlfn.XLOOKUP(J206,Collection!A:A,Collection!B:B,),_xlfn.XLOOKUP(J206,Sold!A:A,Sold!B:B,))</f>
        <v>Emmitt Smith #685</v>
      </c>
      <c r="Y206" s="53" t="s">
        <v>507</v>
      </c>
    </row>
    <row r="207" spans="2:25" x14ac:dyDescent="0.3">
      <c r="B207" s="10" t="s">
        <v>691</v>
      </c>
      <c r="C207" s="10" t="s">
        <v>1050</v>
      </c>
      <c r="D207" s="5">
        <v>46167</v>
      </c>
      <c r="E207" s="6">
        <v>37</v>
      </c>
      <c r="F207" s="4">
        <v>3</v>
      </c>
      <c r="G207" s="4">
        <v>0.78</v>
      </c>
      <c r="H207" s="4">
        <v>0.39</v>
      </c>
      <c r="I207" s="10" t="s">
        <v>478</v>
      </c>
      <c r="J207" s="10">
        <v>8192392</v>
      </c>
      <c r="K207" s="10">
        <v>179</v>
      </c>
      <c r="L207" s="16" t="s">
        <v>1049</v>
      </c>
      <c r="M207" s="53" t="s">
        <v>1486</v>
      </c>
      <c r="N207" t="str">
        <f t="shared" si="27"/>
        <v>whatnot.com/order/medD3HLzhpPd89xriKnZcX
$3.00 + $0.78 (Shared Shipping) + $0.39 Tax = Total of $4.17</v>
      </c>
      <c r="O207" s="2">
        <f t="shared" si="28"/>
        <v>4.17</v>
      </c>
      <c r="P207" s="1">
        <f t="shared" si="26"/>
        <v>0.78</v>
      </c>
      <c r="Q207" s="1">
        <f t="shared" si="29"/>
        <v>3.7800000000000002</v>
      </c>
      <c r="R207" s="1">
        <f t="shared" si="30"/>
        <v>0.38745000000000002</v>
      </c>
      <c r="S207" s="1">
        <f t="shared" si="31"/>
        <v>4.1674500000000005</v>
      </c>
      <c r="T207" s="1">
        <f>IFERROR(_xlfn.XLOOKUP(J207,Collection!A:A,Collection!D:D,0)/100/_xlfn.XLOOKUP(J207,Collection!A:A,Collection!J:J,0),_xlfn.XLOOKUP(J207,Sold!A:A,Sold!D:D,0)/100/_xlfn.XLOOKUP(J207,Sold!A:A,Sold!J:J,0))</f>
        <v>2.99</v>
      </c>
      <c r="U207" s="1">
        <f t="shared" si="32"/>
        <v>-1.1774500000000003</v>
      </c>
      <c r="V207" s="18">
        <f>COUNTIF(Collection!A:A,J207)+COUNTIF(Sold!A:A,J207)</f>
        <v>1</v>
      </c>
      <c r="W207" t="str">
        <f>IFERROR(_xlfn.TEXTAFTER(_xlfn.XLOOKUP(J207,Collection!A:A,Collection!C:C,),"Cards "),_xlfn.TEXTAFTER(_xlfn.XLOOKUP(J207,Sold!A:A,Sold!C:C,),"Cards "))</f>
        <v>1999 Skybox E-X Generation E-X</v>
      </c>
      <c r="X207" s="18" t="str">
        <f>IFERROR(_xlfn.XLOOKUP(J207,Collection!A:A,Collection!B:B,),_xlfn.XLOOKUP(J207,Sold!A:A,Sold!B:B,))</f>
        <v>Jason Williams #7GX</v>
      </c>
      <c r="Y207" s="53" t="s">
        <v>507</v>
      </c>
    </row>
    <row r="208" spans="2:25" x14ac:dyDescent="0.3">
      <c r="B208" s="10" t="s">
        <v>691</v>
      </c>
      <c r="C208" s="10" t="s">
        <v>1053</v>
      </c>
      <c r="D208" s="5">
        <v>46167</v>
      </c>
      <c r="E208" s="6">
        <v>69</v>
      </c>
      <c r="F208" s="4">
        <v>1</v>
      </c>
      <c r="G208" s="4">
        <v>4.74</v>
      </c>
      <c r="H208" s="4">
        <v>0.59</v>
      </c>
      <c r="I208" s="10" t="s">
        <v>11</v>
      </c>
      <c r="J208" s="10">
        <v>6835303</v>
      </c>
      <c r="K208" s="10">
        <v>293</v>
      </c>
      <c r="L208" s="16" t="s">
        <v>1052</v>
      </c>
      <c r="M208" s="53" t="s">
        <v>1487</v>
      </c>
      <c r="N208" t="str">
        <f t="shared" si="27"/>
        <v>whatnot.com/order/YzDdv3jRTf8P5R9sGqJ4Q7
$1.00 + $4.74 (Shared Shipping) + $0.59 Tax = Total of $6.33</v>
      </c>
      <c r="O208" s="2">
        <f t="shared" si="28"/>
        <v>6.33</v>
      </c>
      <c r="P208" s="1">
        <f t="shared" si="26"/>
        <v>4.74</v>
      </c>
      <c r="Q208" s="1">
        <f t="shared" si="29"/>
        <v>5.74</v>
      </c>
      <c r="R208" s="1">
        <f t="shared" si="30"/>
        <v>0.58835000000000004</v>
      </c>
      <c r="S208" s="1">
        <f t="shared" si="31"/>
        <v>6.3283500000000004</v>
      </c>
      <c r="T208" s="1">
        <f>IFERROR(_xlfn.XLOOKUP(J208,Collection!A:A,Collection!D:D,0)/100/_xlfn.XLOOKUP(J208,Collection!A:A,Collection!J:J,0),_xlfn.XLOOKUP(J208,Sold!A:A,Sold!D:D,0)/100/_xlfn.XLOOKUP(J208,Sold!A:A,Sold!J:J,0))</f>
        <v>1.91</v>
      </c>
      <c r="U208" s="1">
        <f t="shared" si="32"/>
        <v>-4.4183500000000002</v>
      </c>
      <c r="V208" s="18">
        <f>COUNTIF(Collection!A:A,J208)+COUNTIF(Sold!A:A,J208)</f>
        <v>1</v>
      </c>
      <c r="W208" t="str">
        <f>IFERROR(_xlfn.TEXTAFTER(_xlfn.XLOOKUP(J208,Collection!A:A,Collection!C:C,),"Cards "),_xlfn.TEXTAFTER(_xlfn.XLOOKUP(J208,Sold!A:A,Sold!C:C,),"Cards "))</f>
        <v>2023 Donruss Optic Optical Illusions</v>
      </c>
      <c r="X208" s="18" t="str">
        <f>IFERROR(_xlfn.XLOOKUP(J208,Collection!A:A,Collection!B:B,),_xlfn.XLOOKUP(J208,Sold!A:A,Sold!B:B,))</f>
        <v>Kyrie Irving / Luka Doncic #4</v>
      </c>
      <c r="Y208" s="53" t="s">
        <v>507</v>
      </c>
    </row>
    <row r="209" spans="2:25" x14ac:dyDescent="0.3">
      <c r="B209" s="10" t="s">
        <v>691</v>
      </c>
      <c r="C209" s="10" t="s">
        <v>27</v>
      </c>
      <c r="D209" s="5">
        <v>46168</v>
      </c>
      <c r="E209" s="6">
        <v>39</v>
      </c>
      <c r="F209" s="4">
        <v>1</v>
      </c>
      <c r="G209" s="4">
        <v>4.8600000000000003</v>
      </c>
      <c r="H209" s="4">
        <v>0.62</v>
      </c>
      <c r="I209" s="10" t="s">
        <v>520</v>
      </c>
      <c r="J209" s="10">
        <v>11909457</v>
      </c>
      <c r="K209" s="10">
        <v>327</v>
      </c>
      <c r="L209" s="16" t="s">
        <v>1054</v>
      </c>
      <c r="M209" s="53" t="s">
        <v>1488</v>
      </c>
      <c r="N209" t="str">
        <f t="shared" si="27"/>
        <v>whatnot.com/order/dyEnQ5ykexmH9Y87DbAujo
$1.00 + $2.89 (Shared Shipping) + $0.40 Tax = Total of $4.28</v>
      </c>
      <c r="O209" s="2">
        <f t="shared" si="28"/>
        <v>6.48</v>
      </c>
      <c r="P209" s="1">
        <f t="shared" si="26"/>
        <v>2.8850000000000002</v>
      </c>
      <c r="Q209" s="1">
        <f t="shared" si="29"/>
        <v>3.8850000000000002</v>
      </c>
      <c r="R209" s="1">
        <f t="shared" si="30"/>
        <v>0.39821250000000002</v>
      </c>
      <c r="S209" s="1">
        <f t="shared" si="31"/>
        <v>4.2832125000000003</v>
      </c>
      <c r="T209" s="1">
        <f>IFERROR(_xlfn.XLOOKUP(J209,Collection!A:A,Collection!D:D,0)/100/_xlfn.XLOOKUP(J209,Collection!A:A,Collection!J:J,0),_xlfn.XLOOKUP(J209,Sold!A:A,Sold!D:D,0)/100/_xlfn.XLOOKUP(J209,Sold!A:A,Sold!J:J,0))</f>
        <v>2.19</v>
      </c>
      <c r="U209" s="1">
        <f t="shared" si="32"/>
        <v>-2.0932125000000004</v>
      </c>
      <c r="V209" s="18">
        <f>COUNTIF(Collection!A:A,J209)+COUNTIF(Sold!A:A,J209)</f>
        <v>1</v>
      </c>
      <c r="W209" t="str">
        <f>IFERROR(_xlfn.TEXTAFTER(_xlfn.XLOOKUP(J209,Collection!A:A,Collection!C:C,),"Cards "),_xlfn.TEXTAFTER(_xlfn.XLOOKUP(J209,Sold!A:A,Sold!C:C,),"Cards "))</f>
        <v>2025 Topps Match Attax Scoring Hero</v>
      </c>
      <c r="X209" s="18" t="str">
        <f>IFERROR(_xlfn.XLOOKUP(J209,Collection!A:A,Collection!B:B,),_xlfn.XLOOKUP(J209,Sold!A:A,Sold!B:B,))</f>
        <v>Jalen Brunson #SH-JB</v>
      </c>
      <c r="Y209" s="53" t="s">
        <v>507</v>
      </c>
    </row>
    <row r="210" spans="2:25" x14ac:dyDescent="0.3">
      <c r="B210" s="10" t="s">
        <v>691</v>
      </c>
      <c r="C210" s="10" t="s">
        <v>27</v>
      </c>
      <c r="D210" s="5">
        <v>46168</v>
      </c>
      <c r="E210" s="6">
        <v>49</v>
      </c>
      <c r="F210" s="4">
        <v>19</v>
      </c>
      <c r="G210" s="4">
        <v>0.91</v>
      </c>
      <c r="H210" s="4">
        <v>2.0499999999999998</v>
      </c>
      <c r="I210" s="10" t="s">
        <v>512</v>
      </c>
      <c r="J210" s="10">
        <v>6857907</v>
      </c>
      <c r="K210" s="10">
        <v>104</v>
      </c>
      <c r="L210" s="16" t="s">
        <v>1055</v>
      </c>
      <c r="M210" s="53" t="s">
        <v>1489</v>
      </c>
      <c r="N210" t="str">
        <f t="shared" si="27"/>
        <v>whatnot.com/order/PNUZ8xoNGjttcd6JcMryzd
$19.00 + $2.89 (Shared Shipping) + $2.24 Tax = Total of $24.13</v>
      </c>
      <c r="O210" s="2">
        <f t="shared" si="28"/>
        <v>21.96</v>
      </c>
      <c r="P210" s="1">
        <f t="shared" si="26"/>
        <v>2.8850000000000002</v>
      </c>
      <c r="Q210" s="1">
        <f t="shared" si="29"/>
        <v>21.885000000000002</v>
      </c>
      <c r="R210" s="1">
        <f t="shared" si="30"/>
        <v>2.2432124999999998</v>
      </c>
      <c r="S210" s="1">
        <f t="shared" si="31"/>
        <v>24.1282125</v>
      </c>
      <c r="T210" s="1">
        <f>IFERROR(_xlfn.XLOOKUP(J210,Collection!A:A,Collection!D:D,0)/100/_xlfn.XLOOKUP(J210,Collection!A:A,Collection!J:J,0),_xlfn.XLOOKUP(J210,Sold!A:A,Sold!D:D,0)/100/_xlfn.XLOOKUP(J210,Sold!A:A,Sold!J:J,0))</f>
        <v>16.72</v>
      </c>
      <c r="U210" s="1">
        <f t="shared" si="32"/>
        <v>-7.4082125000000012</v>
      </c>
      <c r="V210" s="18">
        <f>COUNTIF(Collection!A:A,J210)+COUNTIF(Sold!A:A,J210)</f>
        <v>1</v>
      </c>
      <c r="W210" t="str">
        <f>IFERROR(_xlfn.TEXTAFTER(_xlfn.XLOOKUP(J210,Collection!A:A,Collection!C:C,),"Cards "),_xlfn.TEXTAFTER(_xlfn.XLOOKUP(J210,Sold!A:A,Sold!C:C,),"Cards "))</f>
        <v>2023 Panini Instant</v>
      </c>
      <c r="X210" s="18" t="str">
        <f>IFERROR(_xlfn.XLOOKUP(J210,Collection!A:A,Collection!B:B,),_xlfn.XLOOKUP(J210,Sold!A:A,Sold!B:B,))</f>
        <v>Victor Wembanyama #331</v>
      </c>
      <c r="Y210" s="53" t="s">
        <v>507</v>
      </c>
    </row>
    <row r="211" spans="2:25" x14ac:dyDescent="0.3">
      <c r="B211" s="10" t="s">
        <v>691</v>
      </c>
      <c r="C211" s="10" t="s">
        <v>1056</v>
      </c>
      <c r="D211" s="5">
        <v>46169</v>
      </c>
      <c r="E211" s="6">
        <v>52</v>
      </c>
      <c r="F211" s="4">
        <v>24</v>
      </c>
      <c r="G211" s="4">
        <v>1.39</v>
      </c>
      <c r="H211" s="4">
        <v>2.6</v>
      </c>
      <c r="I211" s="10" t="s">
        <v>468</v>
      </c>
      <c r="J211" s="10">
        <v>7511050</v>
      </c>
      <c r="K211" s="10">
        <v>21</v>
      </c>
      <c r="L211" s="16" t="s">
        <v>1057</v>
      </c>
      <c r="M211" s="53" t="s">
        <v>1490</v>
      </c>
      <c r="N211" t="str">
        <f t="shared" si="27"/>
        <v>whatnot.com/order/m58HF6hkjDzTFcY6dh42ZK
$24.00 + $1.39 (Shared Shipping) + $2.60 Tax = Total of $27.99</v>
      </c>
      <c r="O211" s="2">
        <f t="shared" si="28"/>
        <v>27.990000000000002</v>
      </c>
      <c r="P211" s="1">
        <f t="shared" si="26"/>
        <v>1.39</v>
      </c>
      <c r="Q211" s="1">
        <f t="shared" si="29"/>
        <v>25.39</v>
      </c>
      <c r="R211" s="1">
        <f t="shared" si="30"/>
        <v>2.6024750000000001</v>
      </c>
      <c r="S211" s="1">
        <f t="shared" si="31"/>
        <v>27.992474999999999</v>
      </c>
      <c r="T211" s="1">
        <f>IFERROR(_xlfn.XLOOKUP(J211,Collection!A:A,Collection!D:D,0)/100/_xlfn.XLOOKUP(J211,Collection!A:A,Collection!J:J,0),_xlfn.XLOOKUP(J211,Sold!A:A,Sold!D:D,0)/100/_xlfn.XLOOKUP(J211,Sold!A:A,Sold!J:J,0))</f>
        <v>14.99</v>
      </c>
      <c r="U211" s="1">
        <f t="shared" si="32"/>
        <v>-13.002474999999999</v>
      </c>
      <c r="V211" s="18">
        <f>COUNTIF(Collection!A:A,J211)+COUNTIF(Sold!A:A,J211)</f>
        <v>1</v>
      </c>
      <c r="W211" t="str">
        <f>IFERROR(_xlfn.TEXTAFTER(_xlfn.XLOOKUP(J211,Collection!A:A,Collection!C:C,),"Cards "),_xlfn.TEXTAFTER(_xlfn.XLOOKUP(J211,Sold!A:A,Sold!C:C,),"Cards "))</f>
        <v>2023 Panini Phoenix Fade To Black</v>
      </c>
      <c r="X211" s="18" t="str">
        <f>IFERROR(_xlfn.XLOOKUP(J211,Collection!A:A,Collection!B:B,),_xlfn.XLOOKUP(J211,Sold!A:A,Sold!B:B,))</f>
        <v>Shai Gilgeous-Alexander [Yellow ice] #5</v>
      </c>
      <c r="Y211" s="53" t="s">
        <v>507</v>
      </c>
    </row>
    <row r="212" spans="2:25" x14ac:dyDescent="0.3">
      <c r="B212" s="10" t="s">
        <v>691</v>
      </c>
      <c r="C212" s="10" t="s">
        <v>1058</v>
      </c>
      <c r="D212" s="5">
        <v>46170</v>
      </c>
      <c r="E212" s="6" t="s">
        <v>789</v>
      </c>
      <c r="F212" s="4">
        <v>8.5</v>
      </c>
      <c r="G212" s="4">
        <v>1.32</v>
      </c>
      <c r="H212" s="4">
        <v>1.01</v>
      </c>
      <c r="I212" s="10" t="s">
        <v>11</v>
      </c>
      <c r="J212" s="10">
        <v>3607580</v>
      </c>
      <c r="K212" s="10">
        <v>29</v>
      </c>
      <c r="L212" s="16" t="s">
        <v>1059</v>
      </c>
      <c r="M212" s="53" t="s">
        <v>1491</v>
      </c>
      <c r="N212" t="str">
        <f t="shared" si="27"/>
        <v>ebay.com/itm/318340938096
$8.50 + $1.32 (Shared Shipping) + $1.01 Tax = Total of $10.83</v>
      </c>
      <c r="O212" s="2">
        <f t="shared" si="28"/>
        <v>10.83</v>
      </c>
      <c r="P212" s="1">
        <f t="shared" si="26"/>
        <v>1.32</v>
      </c>
      <c r="Q212" s="1">
        <f t="shared" si="29"/>
        <v>9.82</v>
      </c>
      <c r="R212" s="1">
        <f t="shared" si="30"/>
        <v>1.0065500000000001</v>
      </c>
      <c r="S212" s="1">
        <f t="shared" si="31"/>
        <v>10.826550000000001</v>
      </c>
      <c r="T212" s="1">
        <f>IFERROR(_xlfn.XLOOKUP(J212,Collection!A:A,Collection!D:D,0)/100/_xlfn.XLOOKUP(J212,Collection!A:A,Collection!J:J,0),_xlfn.XLOOKUP(J212,Sold!A:A,Sold!D:D,0)/100/_xlfn.XLOOKUP(J212,Sold!A:A,Sold!J:J,0))</f>
        <v>11.51</v>
      </c>
      <c r="U212" s="1">
        <f t="shared" si="32"/>
        <v>0.68344999999999878</v>
      </c>
      <c r="V212" s="18">
        <f>COUNTIF(Collection!A:A,J212)+COUNTIF(Sold!A:A,J212)</f>
        <v>1</v>
      </c>
      <c r="W212" t="str">
        <f>IFERROR(_xlfn.TEXTAFTER(_xlfn.XLOOKUP(J212,Collection!A:A,Collection!C:C,),"Cards "),_xlfn.TEXTAFTER(_xlfn.XLOOKUP(J212,Sold!A:A,Sold!C:C,),"Cards "))</f>
        <v>2020 Panini Hoops SLAM</v>
      </c>
      <c r="X212" s="18" t="str">
        <f>IFERROR(_xlfn.XLOOKUP(J212,Collection!A:A,Collection!B:B,),_xlfn.XLOOKUP(J212,Sold!A:A,Sold!B:B,))</f>
        <v>Luka Doncic #5</v>
      </c>
      <c r="Y212" s="53" t="s">
        <v>507</v>
      </c>
    </row>
    <row r="213" spans="2:25" x14ac:dyDescent="0.3">
      <c r="B213" s="10" t="s">
        <v>691</v>
      </c>
      <c r="C213" s="10" t="s">
        <v>26</v>
      </c>
      <c r="D213" s="5">
        <v>46164</v>
      </c>
      <c r="E213" s="6" t="s">
        <v>0</v>
      </c>
      <c r="F213" s="4">
        <v>0</v>
      </c>
      <c r="G213" s="4">
        <v>0</v>
      </c>
      <c r="H213" s="4">
        <v>0</v>
      </c>
      <c r="I213" s="10" t="s">
        <v>11</v>
      </c>
      <c r="J213" s="10">
        <v>3484717</v>
      </c>
      <c r="K213" s="10">
        <v>282</v>
      </c>
      <c r="L213" s="16" t="s">
        <v>1037</v>
      </c>
      <c r="M213" s="53" t="s">
        <v>1492</v>
      </c>
      <c r="N213" t="str">
        <f t="shared" si="27"/>
        <v>whatnot.com/order/PH2i3WhAY5rePqutCdgM8c
$0.00 + $0.27 (Shared Shipping) + $0.00 Tax = Total of $0.27</v>
      </c>
      <c r="O213" s="2">
        <f t="shared" si="28"/>
        <v>0</v>
      </c>
      <c r="P213" s="1">
        <f t="shared" ref="P213:P248" si="33">SUMIFS(G:G,C:C,C213,D:D,D213)/COUNTIFS(C:C,C213,D:D,D213)</f>
        <v>0.27187499999999998</v>
      </c>
      <c r="Q213" s="1">
        <f t="shared" si="29"/>
        <v>0.27187499999999998</v>
      </c>
      <c r="R213" s="1">
        <f t="shared" si="30"/>
        <v>0</v>
      </c>
      <c r="S213" s="1">
        <f t="shared" si="31"/>
        <v>0.27187499999999998</v>
      </c>
      <c r="T213" s="1">
        <f>IFERROR(_xlfn.XLOOKUP(J213,Collection!A:A,Collection!D:D,0)/100/_xlfn.XLOOKUP(J213,Collection!A:A,Collection!J:J,0),_xlfn.XLOOKUP(J213,Sold!A:A,Sold!D:D,0)/100/_xlfn.XLOOKUP(J213,Sold!A:A,Sold!J:J,0))</f>
        <v>1.96</v>
      </c>
      <c r="U213" s="1">
        <f t="shared" si="32"/>
        <v>1.6881249999999999</v>
      </c>
      <c r="V213" s="18">
        <f>COUNTIF(Collection!A:A,J213)+COUNTIF(Sold!A:A,J213)</f>
        <v>1</v>
      </c>
      <c r="W213" t="str">
        <f>IFERROR(_xlfn.TEXTAFTER(_xlfn.XLOOKUP(J213,Collection!A:A,Collection!C:C,),"Cards "),_xlfn.TEXTAFTER(_xlfn.XLOOKUP(J213,Sold!A:A,Sold!C:C,),"Cards "))</f>
        <v>2021 Panini Contenders</v>
      </c>
      <c r="X213" s="18" t="str">
        <f>IFERROR(_xlfn.XLOOKUP(J213,Collection!A:A,Collection!B:B,),_xlfn.XLOOKUP(J213,Sold!A:A,Sold!B:B,))</f>
        <v>Luka Doncic [Bronze] #18</v>
      </c>
      <c r="Y213" s="53" t="s">
        <v>507</v>
      </c>
    </row>
    <row r="214" spans="2:25" x14ac:dyDescent="0.3">
      <c r="B214" s="10" t="s">
        <v>691</v>
      </c>
      <c r="C214" s="10" t="s">
        <v>1124</v>
      </c>
      <c r="D214" s="5">
        <v>46173</v>
      </c>
      <c r="E214" s="6">
        <v>88</v>
      </c>
      <c r="F214" s="4">
        <v>0</v>
      </c>
      <c r="G214" s="4">
        <v>0.78</v>
      </c>
      <c r="H214" s="4">
        <v>1.01</v>
      </c>
      <c r="I214" s="10" t="s">
        <v>510</v>
      </c>
      <c r="J214" s="10">
        <v>11498132</v>
      </c>
      <c r="K214" s="10">
        <v>26</v>
      </c>
      <c r="L214" s="16" t="s">
        <v>1123</v>
      </c>
      <c r="M214" s="53" t="s">
        <v>1493</v>
      </c>
      <c r="N214" t="str">
        <f t="shared" si="27"/>
        <v>whatnot.com/order/P6hZiMYk2ffSa8sLEMVeWQ
$0.00 + $0.91 (Shared Shipping) + $0.09 Tax = Total of $1.00</v>
      </c>
      <c r="O214" s="2">
        <f t="shared" si="28"/>
        <v>1.79</v>
      </c>
      <c r="P214" s="1">
        <f t="shared" si="33"/>
        <v>0.90999999999999992</v>
      </c>
      <c r="Q214" s="1">
        <f t="shared" si="29"/>
        <v>0.90999999999999992</v>
      </c>
      <c r="R214" s="1">
        <f t="shared" si="30"/>
        <v>9.3274999999999983E-2</v>
      </c>
      <c r="S214" s="1">
        <f t="shared" si="31"/>
        <v>1.0032749999999999</v>
      </c>
      <c r="T214" s="1">
        <f>IFERROR(_xlfn.XLOOKUP(J214,Collection!A:A,Collection!D:D,0)/100/_xlfn.XLOOKUP(J214,Collection!A:A,Collection!J:J,0),_xlfn.XLOOKUP(J214,Sold!A:A,Sold!D:D,0)/100/_xlfn.XLOOKUP(J214,Sold!A:A,Sold!J:J,0))</f>
        <v>13.11</v>
      </c>
      <c r="U214" s="1">
        <f t="shared" si="32"/>
        <v>12.106724999999999</v>
      </c>
      <c r="V214" s="18">
        <f>COUNTIF(Collection!A:A,J214)+COUNTIF(Sold!A:A,J214)</f>
        <v>1</v>
      </c>
      <c r="W214" t="str">
        <f>IFERROR(_xlfn.TEXTAFTER(_xlfn.XLOOKUP(J214,Collection!A:A,Collection!C:C,),"Cards "),_xlfn.TEXTAFTER(_xlfn.XLOOKUP(J214,Sold!A:A,Sold!C:C,),"Cards "))</f>
        <v>2025 Topps Chrome Serenity</v>
      </c>
      <c r="X214" s="18" t="str">
        <f>IFERROR(_xlfn.XLOOKUP(J214,Collection!A:A,Collection!B:B,),_xlfn.XLOOKUP(J214,Sold!A:A,Sold!B:B,))</f>
        <v>Cooper Flagg #SY-11</v>
      </c>
      <c r="Y214" s="53" t="s">
        <v>507</v>
      </c>
    </row>
    <row r="215" spans="2:25" x14ac:dyDescent="0.3">
      <c r="B215" s="10" t="s">
        <v>691</v>
      </c>
      <c r="C215" s="10" t="s">
        <v>1124</v>
      </c>
      <c r="D215" s="5">
        <v>46173</v>
      </c>
      <c r="E215" s="6">
        <v>89</v>
      </c>
      <c r="F215" s="4">
        <v>14</v>
      </c>
      <c r="G215" s="4">
        <v>0.31</v>
      </c>
      <c r="H215" s="4">
        <v>1.58</v>
      </c>
      <c r="I215" s="10" t="s">
        <v>510</v>
      </c>
      <c r="J215" s="10">
        <v>11484449</v>
      </c>
      <c r="K215" s="10">
        <v>15</v>
      </c>
      <c r="L215" s="16" t="s">
        <v>1125</v>
      </c>
      <c r="M215" s="53" t="s">
        <v>1494</v>
      </c>
      <c r="N215" t="str">
        <f t="shared" si="27"/>
        <v>whatnot.com/order/7VZY5sQpFk5DrwK9rEPwjj
$14.00 + $0.91 (Shared Shipping) + $1.53 Tax = Total of $16.44</v>
      </c>
      <c r="O215" s="2">
        <f t="shared" si="28"/>
        <v>15.89</v>
      </c>
      <c r="P215" s="1">
        <f t="shared" si="33"/>
        <v>0.90999999999999992</v>
      </c>
      <c r="Q215" s="1">
        <f t="shared" si="29"/>
        <v>14.91</v>
      </c>
      <c r="R215" s="1">
        <f t="shared" si="30"/>
        <v>1.5282749999999998</v>
      </c>
      <c r="S215" s="1">
        <f t="shared" si="31"/>
        <v>16.438275000000001</v>
      </c>
      <c r="T215" s="1">
        <f>IFERROR(_xlfn.XLOOKUP(J215,Collection!A:A,Collection!D:D,0)/100/_xlfn.XLOOKUP(J215,Collection!A:A,Collection!J:J,0),_xlfn.XLOOKUP(J215,Sold!A:A,Sold!D:D,0)/100/_xlfn.XLOOKUP(J215,Sold!A:A,Sold!J:J,0))</f>
        <v>21.04</v>
      </c>
      <c r="U215" s="1">
        <f t="shared" si="32"/>
        <v>4.6017249999999983</v>
      </c>
      <c r="V215" s="18">
        <f>COUNTIF(Collection!A:A,J215)+COUNTIF(Sold!A:A,J215)</f>
        <v>4</v>
      </c>
      <c r="W215" t="str">
        <f>IFERROR(_xlfn.TEXTAFTER(_xlfn.XLOOKUP(J215,Collection!A:A,Collection!C:C,),"Cards "),_xlfn.TEXTAFTER(_xlfn.XLOOKUP(J215,Sold!A:A,Sold!C:C,),"Cards "))</f>
        <v>2025 Topps Chrome</v>
      </c>
      <c r="X215" s="18" t="str">
        <f>IFERROR(_xlfn.XLOOKUP(J215,Collection!A:A,Collection!B:B,),_xlfn.XLOOKUP(J215,Sold!A:A,Sold!B:B,))</f>
        <v>Cooper Flagg #251</v>
      </c>
      <c r="Y215" s="53" t="s">
        <v>507</v>
      </c>
    </row>
    <row r="216" spans="2:25" x14ac:dyDescent="0.3">
      <c r="B216" s="10" t="s">
        <v>691</v>
      </c>
      <c r="C216" s="10" t="s">
        <v>1124</v>
      </c>
      <c r="D216" s="5">
        <v>46173</v>
      </c>
      <c r="E216" s="6">
        <v>138</v>
      </c>
      <c r="F216" s="4">
        <v>12</v>
      </c>
      <c r="G216" s="4">
        <v>3.46</v>
      </c>
      <c r="H216" s="4">
        <v>1.58</v>
      </c>
      <c r="I216" s="10" t="s">
        <v>510</v>
      </c>
      <c r="J216" s="10">
        <v>11484449</v>
      </c>
      <c r="K216" s="10">
        <v>51</v>
      </c>
      <c r="L216" s="16" t="s">
        <v>1126</v>
      </c>
      <c r="M216" s="53" t="s">
        <v>1495</v>
      </c>
      <c r="N216" t="str">
        <f t="shared" si="27"/>
        <v>whatnot.com/order/LtProdm8r5emdZKY3kad4A
$12.00 + $0.91 (Shared Shipping) + $1.32 Tax = Total of $14.23</v>
      </c>
      <c r="O216" s="2">
        <f t="shared" si="28"/>
        <v>17.04</v>
      </c>
      <c r="P216" s="1">
        <f t="shared" si="33"/>
        <v>0.90999999999999992</v>
      </c>
      <c r="Q216" s="1">
        <f t="shared" si="29"/>
        <v>12.91</v>
      </c>
      <c r="R216" s="1">
        <f t="shared" si="30"/>
        <v>1.323275</v>
      </c>
      <c r="S216" s="1">
        <f t="shared" si="31"/>
        <v>14.233275000000001</v>
      </c>
      <c r="T216" s="1">
        <f>IFERROR(_xlfn.XLOOKUP(J216,Collection!A:A,Collection!D:D,0)/100/_xlfn.XLOOKUP(J216,Collection!A:A,Collection!J:J,0),_xlfn.XLOOKUP(J216,Sold!A:A,Sold!D:D,0)/100/_xlfn.XLOOKUP(J216,Sold!A:A,Sold!J:J,0))</f>
        <v>21.04</v>
      </c>
      <c r="U216" s="1">
        <f t="shared" si="32"/>
        <v>6.8067249999999984</v>
      </c>
      <c r="V216" s="18">
        <f>COUNTIF(Collection!A:A,J216)+COUNTIF(Sold!A:A,J216)</f>
        <v>4</v>
      </c>
      <c r="W216" t="str">
        <f>IFERROR(_xlfn.TEXTAFTER(_xlfn.XLOOKUP(J216,Collection!A:A,Collection!C:C,),"Cards "),_xlfn.TEXTAFTER(_xlfn.XLOOKUP(J216,Sold!A:A,Sold!C:C,),"Cards "))</f>
        <v>2025 Topps Chrome</v>
      </c>
      <c r="X216" s="18" t="str">
        <f>IFERROR(_xlfn.XLOOKUP(J216,Collection!A:A,Collection!B:B,),_xlfn.XLOOKUP(J216,Sold!A:A,Sold!B:B,))</f>
        <v>Cooper Flagg #251</v>
      </c>
      <c r="Y216" s="53" t="s">
        <v>507</v>
      </c>
    </row>
    <row r="217" spans="2:25" x14ac:dyDescent="0.3">
      <c r="B217" s="10" t="s">
        <v>691</v>
      </c>
      <c r="C217" s="10" t="s">
        <v>1124</v>
      </c>
      <c r="D217" s="5">
        <v>46173</v>
      </c>
      <c r="E217" s="6">
        <v>140</v>
      </c>
      <c r="F217" s="4">
        <v>45</v>
      </c>
      <c r="G217" s="4">
        <v>0</v>
      </c>
      <c r="H217" s="4">
        <v>4.62</v>
      </c>
      <c r="I217" s="10" t="s">
        <v>512</v>
      </c>
      <c r="J217" s="10">
        <v>7292331</v>
      </c>
      <c r="K217" s="10">
        <v>6</v>
      </c>
      <c r="L217" s="16" t="s">
        <v>1127</v>
      </c>
      <c r="M217" s="53" t="s">
        <v>1496</v>
      </c>
      <c r="N217" t="str">
        <f t="shared" si="27"/>
        <v>whatnot.com/order/Z82h48WoJ3uJcg9xAmSGSz
$45.00 + $0.91 (Shared Shipping) + $4.71 Tax = Total of $50.62</v>
      </c>
      <c r="O217" s="2">
        <f t="shared" si="28"/>
        <v>49.62</v>
      </c>
      <c r="P217" s="1">
        <f t="shared" si="33"/>
        <v>0.90999999999999992</v>
      </c>
      <c r="Q217" s="1">
        <f t="shared" si="29"/>
        <v>45.91</v>
      </c>
      <c r="R217" s="1">
        <f t="shared" si="30"/>
        <v>4.7057749999999992</v>
      </c>
      <c r="S217" s="1">
        <f t="shared" si="31"/>
        <v>50.615774999999999</v>
      </c>
      <c r="T217" s="1">
        <f>IFERROR(_xlfn.XLOOKUP(J217,Collection!A:A,Collection!D:D,0)/100/_xlfn.XLOOKUP(J217,Collection!A:A,Collection!J:J,0),_xlfn.XLOOKUP(J217,Sold!A:A,Sold!D:D,0)/100/_xlfn.XLOOKUP(J217,Sold!A:A,Sold!J:J,0))</f>
        <v>34</v>
      </c>
      <c r="U217" s="1">
        <f t="shared" si="32"/>
        <v>-16.615774999999999</v>
      </c>
      <c r="V217" s="18">
        <f>COUNTIF(Collection!A:A,J217)+COUNTIF(Sold!A:A,J217)</f>
        <v>1</v>
      </c>
      <c r="W217" t="str">
        <f>IFERROR(_xlfn.TEXTAFTER(_xlfn.XLOOKUP(J217,Collection!A:A,Collection!C:C,),"Cards "),_xlfn.TEXTAFTER(_xlfn.XLOOKUP(J217,Sold!A:A,Sold!C:C,),"Cards "))</f>
        <v>2023 Topps Chrome</v>
      </c>
      <c r="X217" s="18" t="str">
        <f>IFERROR(_xlfn.XLOOKUP(J217,Collection!A:A,Collection!B:B,),_xlfn.XLOOKUP(J217,Sold!A:A,Sold!B:B,))</f>
        <v>Victor Wembanyama #1</v>
      </c>
      <c r="Y217" s="53" t="s">
        <v>507</v>
      </c>
    </row>
    <row r="218" spans="2:25" x14ac:dyDescent="0.3">
      <c r="B218" s="10" t="s">
        <v>691</v>
      </c>
      <c r="C218" s="10" t="s">
        <v>1124</v>
      </c>
      <c r="D218" s="5">
        <v>46173</v>
      </c>
      <c r="E218" s="6">
        <v>157</v>
      </c>
      <c r="F218" s="4">
        <v>4</v>
      </c>
      <c r="G218" s="4">
        <v>0</v>
      </c>
      <c r="H218" s="4">
        <v>0.41</v>
      </c>
      <c r="I218" s="10" t="s">
        <v>11</v>
      </c>
      <c r="J218" s="10">
        <v>12962084</v>
      </c>
      <c r="K218" s="10">
        <v>266</v>
      </c>
      <c r="L218" s="16" t="s">
        <v>1128</v>
      </c>
      <c r="M218" s="53" t="s">
        <v>1497</v>
      </c>
      <c r="N218" t="str">
        <f t="shared" si="27"/>
        <v>whatnot.com/order/BqMdVKL98MMvHMvRADiqy8
$4.00 + $0.91 (Shared Shipping) + $0.50 Tax = Total of $5.41</v>
      </c>
      <c r="O218" s="2">
        <f t="shared" si="28"/>
        <v>4.41</v>
      </c>
      <c r="P218" s="1">
        <f t="shared" si="33"/>
        <v>0.90999999999999992</v>
      </c>
      <c r="Q218" s="1">
        <f t="shared" si="29"/>
        <v>4.91</v>
      </c>
      <c r="R218" s="1">
        <f t="shared" si="30"/>
        <v>0.50327500000000003</v>
      </c>
      <c r="S218" s="1">
        <f t="shared" si="31"/>
        <v>5.4132750000000005</v>
      </c>
      <c r="T218" s="1">
        <f>IFERROR(_xlfn.XLOOKUP(J218,Collection!A:A,Collection!D:D,0)/100/_xlfn.XLOOKUP(J218,Collection!A:A,Collection!J:J,0),_xlfn.XLOOKUP(J218,Sold!A:A,Sold!D:D,0)/100/_xlfn.XLOOKUP(J218,Sold!A:A,Sold!J:J,0))</f>
        <v>1.99</v>
      </c>
      <c r="U218" s="1">
        <f t="shared" si="32"/>
        <v>-3.4232750000000003</v>
      </c>
      <c r="V218" s="18">
        <f>COUNTIF(Collection!A:A,J218)+COUNTIF(Sold!A:A,J218)</f>
        <v>1</v>
      </c>
      <c r="W218" t="str">
        <f>IFERROR(_xlfn.TEXTAFTER(_xlfn.XLOOKUP(J218,Collection!A:A,Collection!C:C,),"Cards "),_xlfn.TEXTAFTER(_xlfn.XLOOKUP(J218,Sold!A:A,Sold!C:C,),"Cards "))</f>
        <v>2025 Topps NBA Hoops Net 2 Net</v>
      </c>
      <c r="X218" s="18" t="str">
        <f>IFERROR(_xlfn.XLOOKUP(J218,Collection!A:A,Collection!B:B,),_xlfn.XLOOKUP(J218,Sold!A:A,Sold!B:B,))</f>
        <v>Luka Doncic #NTN-11</v>
      </c>
      <c r="Y218" s="53" t="s">
        <v>507</v>
      </c>
    </row>
    <row r="219" spans="2:25" x14ac:dyDescent="0.3">
      <c r="B219" s="10" t="s">
        <v>691</v>
      </c>
      <c r="C219" s="10" t="s">
        <v>1129</v>
      </c>
      <c r="D219" s="5">
        <v>46173</v>
      </c>
      <c r="E219" s="6">
        <v>14</v>
      </c>
      <c r="F219" s="4">
        <v>2</v>
      </c>
      <c r="G219" s="4">
        <v>1.39</v>
      </c>
      <c r="H219" s="4">
        <v>0.35</v>
      </c>
      <c r="I219" s="10" t="s">
        <v>11</v>
      </c>
      <c r="J219" s="10">
        <v>4536815</v>
      </c>
      <c r="K219" s="10">
        <v>132</v>
      </c>
      <c r="L219" s="16" t="s">
        <v>1130</v>
      </c>
      <c r="M219" s="53" t="s">
        <v>1498</v>
      </c>
      <c r="N219" t="str">
        <f t="shared" si="27"/>
        <v>whatnot.com/order/F9dPhgureZfuamzmCSWsoz
$2.00 + $1.39 (Shared Shipping) + $0.35 Tax = Total of $3.74</v>
      </c>
      <c r="O219" s="2">
        <f t="shared" si="28"/>
        <v>3.7399999999999998</v>
      </c>
      <c r="P219" s="1">
        <f t="shared" si="33"/>
        <v>1.39</v>
      </c>
      <c r="Q219" s="1">
        <f t="shared" si="29"/>
        <v>3.3899999999999997</v>
      </c>
      <c r="R219" s="1">
        <f t="shared" si="30"/>
        <v>0.34747499999999992</v>
      </c>
      <c r="S219" s="1">
        <f t="shared" si="31"/>
        <v>3.7374749999999994</v>
      </c>
      <c r="T219" s="1">
        <f>IFERROR(_xlfn.XLOOKUP(J219,Collection!A:A,Collection!D:D,0)/100/_xlfn.XLOOKUP(J219,Collection!A:A,Collection!J:J,0),_xlfn.XLOOKUP(J219,Sold!A:A,Sold!D:D,0)/100/_xlfn.XLOOKUP(J219,Sold!A:A,Sold!J:J,0))</f>
        <v>4.18</v>
      </c>
      <c r="U219" s="1">
        <f t="shared" si="32"/>
        <v>0.44252500000000028</v>
      </c>
      <c r="V219" s="18">
        <f>COUNTIF(Collection!A:A,J219)+COUNTIF(Sold!A:A,J219)</f>
        <v>1</v>
      </c>
      <c r="W219" t="str">
        <f>IFERROR(_xlfn.TEXTAFTER(_xlfn.XLOOKUP(J219,Collection!A:A,Collection!C:C,),"Cards "),_xlfn.TEXTAFTER(_xlfn.XLOOKUP(J219,Sold!A:A,Sold!C:C,),"Cards "))</f>
        <v>2020 Panini Donruss Optic Splash</v>
      </c>
      <c r="X219" s="18" t="str">
        <f>IFERROR(_xlfn.XLOOKUP(J219,Collection!A:A,Collection!B:B,),_xlfn.XLOOKUP(J219,Sold!A:A,Sold!B:B,))</f>
        <v>Luka Doncic [Holo] #15</v>
      </c>
      <c r="Y219" s="53" t="s">
        <v>507</v>
      </c>
    </row>
    <row r="220" spans="2:25" x14ac:dyDescent="0.3">
      <c r="B220" s="10" t="s">
        <v>691</v>
      </c>
      <c r="C220" s="10" t="s">
        <v>23</v>
      </c>
      <c r="D220" s="5">
        <v>46182</v>
      </c>
      <c r="E220" s="6">
        <v>31</v>
      </c>
      <c r="F220" s="4">
        <v>1.5</v>
      </c>
      <c r="G220" s="4">
        <v>0</v>
      </c>
      <c r="H220" s="4">
        <v>0.16</v>
      </c>
      <c r="I220" s="10" t="s">
        <v>513</v>
      </c>
      <c r="J220" s="10">
        <v>6284261</v>
      </c>
      <c r="K220" s="10">
        <v>390</v>
      </c>
      <c r="L220" s="16" t="s">
        <v>1135</v>
      </c>
      <c r="M220" s="53" t="s">
        <v>1499</v>
      </c>
      <c r="N220" t="str">
        <f t="shared" si="27"/>
        <v>whatnot.com/order/G3juFLZYNkeyx8YHXhJCeR
$1.50 + $0.00 (Shared Shipping) + $0.15 Tax = Total of $1.65</v>
      </c>
      <c r="O220" s="2">
        <f t="shared" si="28"/>
        <v>1.66</v>
      </c>
      <c r="P220" s="1">
        <f t="shared" si="33"/>
        <v>0</v>
      </c>
      <c r="Q220" s="1">
        <f t="shared" si="29"/>
        <v>1.5</v>
      </c>
      <c r="R220" s="1">
        <f t="shared" si="30"/>
        <v>0.15375</v>
      </c>
      <c r="S220" s="1">
        <f t="shared" si="31"/>
        <v>1.6537500000000001</v>
      </c>
      <c r="T220" s="1">
        <f>IFERROR(_xlfn.XLOOKUP(J220,Collection!A:A,Collection!D:D,0)/100/_xlfn.XLOOKUP(J220,Collection!A:A,Collection!J:J,0),_xlfn.XLOOKUP(J220,Sold!A:A,Sold!D:D,0)/100/_xlfn.XLOOKUP(J220,Sold!A:A,Sold!J:J,0))</f>
        <v>1.49</v>
      </c>
      <c r="U220" s="1">
        <f t="shared" si="32"/>
        <v>-0.16375000000000006</v>
      </c>
      <c r="V220" s="18">
        <f>COUNTIF(Collection!A:A,J220)+COUNTIF(Sold!A:A,J220)</f>
        <v>1</v>
      </c>
      <c r="W220" t="str">
        <f>IFERROR(_xlfn.TEXTAFTER(_xlfn.XLOOKUP(J220,Collection!A:A,Collection!C:C,),"Cards "),_xlfn.TEXTAFTER(_xlfn.XLOOKUP(J220,Sold!A:A,Sold!C:C,),"Cards "))</f>
        <v>2023 Panini Donruss</v>
      </c>
      <c r="X220" s="18" t="str">
        <f>IFERROR(_xlfn.XLOOKUP(J220,Collection!A:A,Collection!B:B,),_xlfn.XLOOKUP(J220,Sold!A:A,Sold!B:B,))</f>
        <v>LeBron James #2</v>
      </c>
      <c r="Y220" s="53" t="s">
        <v>507</v>
      </c>
    </row>
    <row r="221" spans="2:25" x14ac:dyDescent="0.3">
      <c r="B221" s="10" t="s">
        <v>691</v>
      </c>
      <c r="C221" s="10" t="s">
        <v>23</v>
      </c>
      <c r="D221" s="5">
        <v>46182</v>
      </c>
      <c r="E221" s="6">
        <v>31</v>
      </c>
      <c r="F221" s="4">
        <v>1.5</v>
      </c>
      <c r="G221" s="4">
        <v>0</v>
      </c>
      <c r="H221" s="4">
        <v>0.15</v>
      </c>
      <c r="I221" s="10" t="s">
        <v>10</v>
      </c>
      <c r="J221" s="10">
        <v>2535681</v>
      </c>
      <c r="K221" s="10">
        <v>527</v>
      </c>
      <c r="L221" s="16" t="s">
        <v>1135</v>
      </c>
      <c r="M221" s="53" t="s">
        <v>1499</v>
      </c>
      <c r="N221" t="str">
        <f t="shared" si="27"/>
        <v>whatnot.com/order/G3juFLZYNkeyx8YHXhJCeR
$1.50 + $0.00 (Shared Shipping) + $0.15 Tax = Total of $1.65</v>
      </c>
      <c r="O221" s="2">
        <f t="shared" si="28"/>
        <v>1.65</v>
      </c>
      <c r="P221" s="1">
        <f t="shared" si="33"/>
        <v>0</v>
      </c>
      <c r="Q221" s="1">
        <f t="shared" si="29"/>
        <v>1.5</v>
      </c>
      <c r="R221" s="1">
        <f t="shared" si="30"/>
        <v>0.15375</v>
      </c>
      <c r="S221" s="1">
        <f t="shared" si="31"/>
        <v>1.6537500000000001</v>
      </c>
      <c r="T221" s="1">
        <f>IFERROR(_xlfn.XLOOKUP(J221,Collection!A:A,Collection!D:D,0)/100/_xlfn.XLOOKUP(J221,Collection!A:A,Collection!J:J,0),_xlfn.XLOOKUP(J221,Sold!A:A,Sold!D:D,0)/100/_xlfn.XLOOKUP(J221,Sold!A:A,Sold!J:J,0))</f>
        <v>1.1100000000000001</v>
      </c>
      <c r="U221" s="1">
        <f t="shared" si="32"/>
        <v>-0.54374999999999996</v>
      </c>
      <c r="V221" s="18">
        <f>COUNTIF(Collection!A:A,J221)+COUNTIF(Sold!A:A,J221)</f>
        <v>1</v>
      </c>
      <c r="W221" t="str">
        <f>IFERROR(_xlfn.TEXTAFTER(_xlfn.XLOOKUP(J221,Collection!A:A,Collection!C:C,),"Cards "),_xlfn.TEXTAFTER(_xlfn.XLOOKUP(J221,Sold!A:A,Sold!C:C,),"Cards "))</f>
        <v>2020 Panini Donruss Optic</v>
      </c>
      <c r="X221" s="18" t="str">
        <f>IFERROR(_xlfn.XLOOKUP(J221,Collection!A:A,Collection!B:B,),_xlfn.XLOOKUP(J221,Sold!A:A,Sold!B:B,))</f>
        <v>Nikola Jokic [Purple Shock] #96</v>
      </c>
      <c r="Y221" s="53" t="s">
        <v>507</v>
      </c>
    </row>
    <row r="222" spans="2:25" x14ac:dyDescent="0.3">
      <c r="B222" s="10" t="s">
        <v>691</v>
      </c>
      <c r="C222" s="10" t="s">
        <v>23</v>
      </c>
      <c r="D222" s="5">
        <v>46182</v>
      </c>
      <c r="E222" s="6">
        <v>48</v>
      </c>
      <c r="F222" s="4">
        <v>2</v>
      </c>
      <c r="G222" s="4">
        <v>0</v>
      </c>
      <c r="H222" s="4">
        <v>0.21</v>
      </c>
      <c r="I222" s="10" t="s">
        <v>11</v>
      </c>
      <c r="J222" s="10">
        <v>4950668</v>
      </c>
      <c r="K222" s="10">
        <v>220</v>
      </c>
      <c r="L222" s="16" t="s">
        <v>1137</v>
      </c>
      <c r="M222" s="53" t="s">
        <v>1500</v>
      </c>
      <c r="N222" t="str">
        <f t="shared" si="27"/>
        <v>whatnot.com/order/eZzEmrYrFPTX2ciq7zw7Hi
$2.00 + $0.00 (Shared Shipping) + $0.21 Tax = Total of $2.21</v>
      </c>
      <c r="O222" s="2">
        <f t="shared" si="28"/>
        <v>2.21</v>
      </c>
      <c r="P222" s="1">
        <f t="shared" si="33"/>
        <v>0</v>
      </c>
      <c r="Q222" s="1">
        <f t="shared" si="29"/>
        <v>2</v>
      </c>
      <c r="R222" s="1">
        <f t="shared" si="30"/>
        <v>0.20499999999999999</v>
      </c>
      <c r="S222" s="1">
        <f t="shared" si="31"/>
        <v>2.2050000000000001</v>
      </c>
      <c r="T222" s="1">
        <f>IFERROR(_xlfn.XLOOKUP(J222,Collection!A:A,Collection!D:D,0)/100/_xlfn.XLOOKUP(J222,Collection!A:A,Collection!J:J,0),_xlfn.XLOOKUP(J222,Sold!A:A,Sold!D:D,0)/100/_xlfn.XLOOKUP(J222,Sold!A:A,Sold!J:J,0))</f>
        <v>2.36</v>
      </c>
      <c r="U222" s="1">
        <f t="shared" si="32"/>
        <v>0.1549999999999998</v>
      </c>
      <c r="V222" s="18">
        <f>COUNTIF(Collection!A:A,J222)+COUNTIF(Sold!A:A,J222)</f>
        <v>1</v>
      </c>
      <c r="W222" t="str">
        <f>IFERROR(_xlfn.TEXTAFTER(_xlfn.XLOOKUP(J222,Collection!A:A,Collection!C:C,),"Cards "),_xlfn.TEXTAFTER(_xlfn.XLOOKUP(J222,Sold!A:A,Sold!C:C,),"Cards "))</f>
        <v>2021 Panini Mosaic Montage</v>
      </c>
      <c r="X222" s="18" t="str">
        <f>IFERROR(_xlfn.XLOOKUP(J222,Collection!A:A,Collection!B:B,),_xlfn.XLOOKUP(J222,Sold!A:A,Sold!B:B,))</f>
        <v>Luka Doncic #26</v>
      </c>
      <c r="Y222" s="53" t="s">
        <v>507</v>
      </c>
    </row>
    <row r="223" spans="2:25" x14ac:dyDescent="0.3">
      <c r="B223" s="10" t="s">
        <v>691</v>
      </c>
      <c r="C223" s="10" t="s">
        <v>23</v>
      </c>
      <c r="D223" s="5">
        <v>46182</v>
      </c>
      <c r="E223" s="6">
        <v>48</v>
      </c>
      <c r="F223" s="4">
        <v>2</v>
      </c>
      <c r="G223" s="4">
        <v>0</v>
      </c>
      <c r="H223" s="4">
        <v>0.2</v>
      </c>
      <c r="I223" s="10" t="s">
        <v>513</v>
      </c>
      <c r="J223" s="10">
        <v>2489255</v>
      </c>
      <c r="K223" s="10">
        <v>395</v>
      </c>
      <c r="L223" s="16" t="s">
        <v>1137</v>
      </c>
      <c r="M223" s="53" t="s">
        <v>1500</v>
      </c>
      <c r="N223" t="str">
        <f t="shared" si="27"/>
        <v>whatnot.com/order/eZzEmrYrFPTX2ciq7zw7Hi
$2.00 + $0.00 (Shared Shipping) + $0.21 Tax = Total of $2.21</v>
      </c>
      <c r="O223" s="2">
        <f t="shared" si="28"/>
        <v>2.2000000000000002</v>
      </c>
      <c r="P223" s="1">
        <f t="shared" si="33"/>
        <v>0</v>
      </c>
      <c r="Q223" s="1">
        <f t="shared" si="29"/>
        <v>2</v>
      </c>
      <c r="R223" s="1">
        <f t="shared" si="30"/>
        <v>0.20499999999999999</v>
      </c>
      <c r="S223" s="1">
        <f t="shared" si="31"/>
        <v>2.2050000000000001</v>
      </c>
      <c r="T223" s="1">
        <f>IFERROR(_xlfn.XLOOKUP(J223,Collection!A:A,Collection!D:D,0)/100/_xlfn.XLOOKUP(J223,Collection!A:A,Collection!J:J,0),_xlfn.XLOOKUP(J223,Sold!A:A,Sold!D:D,0)/100/_xlfn.XLOOKUP(J223,Sold!A:A,Sold!J:J,0))</f>
        <v>1.5</v>
      </c>
      <c r="U223" s="1">
        <f t="shared" si="32"/>
        <v>-0.70500000000000007</v>
      </c>
      <c r="V223" s="18">
        <f>COUNTIF(Collection!A:A,J223)+COUNTIF(Sold!A:A,J223)</f>
        <v>1</v>
      </c>
      <c r="W223" t="str">
        <f>IFERROR(_xlfn.TEXTAFTER(_xlfn.XLOOKUP(J223,Collection!A:A,Collection!C:C,),"Cards "),_xlfn.TEXTAFTER(_xlfn.XLOOKUP(J223,Sold!A:A,Sold!C:C,),"Cards "))</f>
        <v>2020 Panini Select</v>
      </c>
      <c r="X223" s="18" t="str">
        <f>IFERROR(_xlfn.XLOOKUP(J223,Collection!A:A,Collection!B:B,),_xlfn.XLOOKUP(J223,Sold!A:A,Sold!B:B,))</f>
        <v>LeBron James [Blue Prizm] #113</v>
      </c>
      <c r="Y223" s="53" t="s">
        <v>507</v>
      </c>
    </row>
    <row r="224" spans="2:25" x14ac:dyDescent="0.3">
      <c r="B224" s="10" t="s">
        <v>691</v>
      </c>
      <c r="C224" s="10" t="s">
        <v>23</v>
      </c>
      <c r="D224" s="5">
        <v>46182</v>
      </c>
      <c r="E224" s="6">
        <v>55</v>
      </c>
      <c r="F224" s="4">
        <v>1</v>
      </c>
      <c r="G224" s="4">
        <v>0</v>
      </c>
      <c r="H224" s="4">
        <v>0.11</v>
      </c>
      <c r="I224" s="10" t="s">
        <v>1144</v>
      </c>
      <c r="J224" s="10">
        <v>10819480</v>
      </c>
      <c r="K224" s="10">
        <v>406</v>
      </c>
      <c r="L224" s="16" t="s">
        <v>1138</v>
      </c>
      <c r="M224" s="53" t="s">
        <v>1501</v>
      </c>
      <c r="N224" t="str">
        <f t="shared" si="27"/>
        <v>whatnot.com/order/K7zApfgiyGLvandFaboi4m
$1.00 + $0.00 (Shared Shipping) + $0.10 Tax = Total of $1.10</v>
      </c>
      <c r="O224" s="2">
        <f t="shared" si="28"/>
        <v>1.1100000000000001</v>
      </c>
      <c r="P224" s="1">
        <f t="shared" si="33"/>
        <v>0</v>
      </c>
      <c r="Q224" s="1">
        <f t="shared" si="29"/>
        <v>1</v>
      </c>
      <c r="R224" s="1">
        <f t="shared" si="30"/>
        <v>0.10249999999999999</v>
      </c>
      <c r="S224" s="1">
        <f t="shared" si="31"/>
        <v>1.1025</v>
      </c>
      <c r="T224" s="1">
        <f>IFERROR(_xlfn.XLOOKUP(J224,Collection!A:A,Collection!D:D,0)/100/_xlfn.XLOOKUP(J224,Collection!A:A,Collection!J:J,0),_xlfn.XLOOKUP(J224,Sold!A:A,Sold!D:D,0)/100/_xlfn.XLOOKUP(J224,Sold!A:A,Sold!J:J,0))</f>
        <v>1.27</v>
      </c>
      <c r="U224" s="1">
        <f t="shared" si="32"/>
        <v>0.16749999999999998</v>
      </c>
      <c r="V224" s="18">
        <f>COUNTIF(Collection!A:A,J224)+COUNTIF(Sold!A:A,J224)</f>
        <v>1</v>
      </c>
      <c r="W224" t="str">
        <f>IFERROR(_xlfn.TEXTAFTER(_xlfn.XLOOKUP(J224,Collection!A:A,Collection!C:C,),"Cards "),_xlfn.TEXTAFTER(_xlfn.XLOOKUP(J224,Sold!A:A,Sold!C:C,),"Cards "))</f>
        <v>2025 Topps</v>
      </c>
      <c r="X224" s="18" t="str">
        <f>IFERROR(_xlfn.XLOOKUP(J224,Collection!A:A,Collection!B:B,),_xlfn.XLOOKUP(J224,Sold!A:A,Sold!B:B,))</f>
        <v>Dylan Harper #202</v>
      </c>
      <c r="Y224" s="53" t="s">
        <v>507</v>
      </c>
    </row>
    <row r="225" spans="2:25" x14ac:dyDescent="0.3">
      <c r="B225" s="10" t="s">
        <v>691</v>
      </c>
      <c r="C225" s="10" t="s">
        <v>23</v>
      </c>
      <c r="D225" s="5">
        <v>46182</v>
      </c>
      <c r="E225" s="6">
        <v>55</v>
      </c>
      <c r="F225" s="4">
        <v>1</v>
      </c>
      <c r="G225" s="4">
        <v>0</v>
      </c>
      <c r="H225" s="4">
        <v>0.1</v>
      </c>
      <c r="I225" s="10" t="s">
        <v>1143</v>
      </c>
      <c r="J225" s="10">
        <v>6358249</v>
      </c>
      <c r="K225" s="10">
        <v>307</v>
      </c>
      <c r="L225" s="16" t="s">
        <v>1138</v>
      </c>
      <c r="M225" s="53" t="s">
        <v>1501</v>
      </c>
      <c r="N225" t="str">
        <f t="shared" si="27"/>
        <v>whatnot.com/order/K7zApfgiyGLvandFaboi4m
$1.00 + $0.00 (Shared Shipping) + $0.10 Tax = Total of $1.10</v>
      </c>
      <c r="O225" s="2">
        <f t="shared" si="28"/>
        <v>1.1000000000000001</v>
      </c>
      <c r="P225" s="1">
        <f t="shared" si="33"/>
        <v>0</v>
      </c>
      <c r="Q225" s="1">
        <f t="shared" si="29"/>
        <v>1</v>
      </c>
      <c r="R225" s="1">
        <f t="shared" si="30"/>
        <v>0.10249999999999999</v>
      </c>
      <c r="S225" s="1">
        <f t="shared" si="31"/>
        <v>1.1025</v>
      </c>
      <c r="T225" s="1">
        <f>IFERROR(_xlfn.XLOOKUP(J225,Collection!A:A,Collection!D:D,0)/100/_xlfn.XLOOKUP(J225,Collection!A:A,Collection!J:J,0),_xlfn.XLOOKUP(J225,Sold!A:A,Sold!D:D,0)/100/_xlfn.XLOOKUP(J225,Sold!A:A,Sold!J:J,0))</f>
        <v>1.88</v>
      </c>
      <c r="U225" s="1">
        <f t="shared" si="32"/>
        <v>0.77749999999999986</v>
      </c>
      <c r="V225" s="18">
        <f>COUNTIF(Collection!A:A,J225)+COUNTIF(Sold!A:A,J225)</f>
        <v>1</v>
      </c>
      <c r="W225" t="str">
        <f>IFERROR(_xlfn.TEXTAFTER(_xlfn.XLOOKUP(J225,Collection!A:A,Collection!C:C,),"Cards "),_xlfn.TEXTAFTER(_xlfn.XLOOKUP(J225,Sold!A:A,Sold!C:C,),"Cards "))</f>
        <v>2023 Panini Prizm</v>
      </c>
      <c r="X225" s="18" t="str">
        <f>IFERROR(_xlfn.XLOOKUP(J225,Collection!A:A,Collection!B:B,),_xlfn.XLOOKUP(J225,Sold!A:A,Sold!B:B,))</f>
        <v>Jaden Hardy [Red] #21</v>
      </c>
      <c r="Y225" s="53" t="s">
        <v>507</v>
      </c>
    </row>
    <row r="226" spans="2:25" x14ac:dyDescent="0.3">
      <c r="B226" s="10" t="s">
        <v>691</v>
      </c>
      <c r="C226" s="10" t="s">
        <v>23</v>
      </c>
      <c r="D226" s="5">
        <v>46182</v>
      </c>
      <c r="E226" s="6">
        <v>65</v>
      </c>
      <c r="F226" s="4">
        <v>2.5</v>
      </c>
      <c r="G226" s="4">
        <v>0</v>
      </c>
      <c r="H226" s="4">
        <v>0.26</v>
      </c>
      <c r="I226" s="10" t="s">
        <v>775</v>
      </c>
      <c r="J226" s="10">
        <v>8780219</v>
      </c>
      <c r="K226" s="10">
        <v>425</v>
      </c>
      <c r="L226" s="16" t="s">
        <v>1139</v>
      </c>
      <c r="M226" s="53" t="s">
        <v>1502</v>
      </c>
      <c r="N226" t="str">
        <f t="shared" si="27"/>
        <v>whatnot.com/order/GMJptoiQKCNjk4Pv5GF4bQ
$2.50 + $0.00 (Shared Shipping) + $0.26 Tax = Total of $2.76</v>
      </c>
      <c r="O226" s="2">
        <f t="shared" si="28"/>
        <v>2.76</v>
      </c>
      <c r="P226" s="1">
        <f t="shared" si="33"/>
        <v>0</v>
      </c>
      <c r="Q226" s="1">
        <f t="shared" si="29"/>
        <v>2.5</v>
      </c>
      <c r="R226" s="1">
        <f t="shared" si="30"/>
        <v>0.25624999999999998</v>
      </c>
      <c r="S226" s="1">
        <f t="shared" si="31"/>
        <v>2.7562500000000001</v>
      </c>
      <c r="T226" s="1">
        <f>IFERROR(_xlfn.XLOOKUP(J226,Collection!A:A,Collection!D:D,0)/100/_xlfn.XLOOKUP(J226,Collection!A:A,Collection!J:J,0),_xlfn.XLOOKUP(J226,Sold!A:A,Sold!D:D,0)/100/_xlfn.XLOOKUP(J226,Sold!A:A,Sold!J:J,0))</f>
        <v>2</v>
      </c>
      <c r="U226" s="1">
        <f t="shared" si="32"/>
        <v>-0.75625000000000009</v>
      </c>
      <c r="V226" s="18">
        <f>COUNTIF(Collection!A:A,J226)+COUNTIF(Sold!A:A,J226)</f>
        <v>1</v>
      </c>
      <c r="W226" t="str">
        <f>IFERROR(_xlfn.TEXTAFTER(_xlfn.XLOOKUP(J226,Collection!A:A,Collection!C:C,),"Cards "),_xlfn.TEXTAFTER(_xlfn.XLOOKUP(J226,Sold!A:A,Sold!C:C,),"Cards "))</f>
        <v>2024 Panini Donruss</v>
      </c>
      <c r="X226" s="18" t="str">
        <f>IFERROR(_xlfn.XLOOKUP(J226,Collection!A:A,Collection!B:B,),_xlfn.XLOOKUP(J226,Sold!A:A,Sold!B:B,))</f>
        <v>Stephon Castle #244</v>
      </c>
      <c r="Y226" s="53" t="s">
        <v>507</v>
      </c>
    </row>
    <row r="227" spans="2:25" x14ac:dyDescent="0.3">
      <c r="B227" s="10" t="s">
        <v>691</v>
      </c>
      <c r="C227" s="10" t="s">
        <v>23</v>
      </c>
      <c r="D227" s="5">
        <v>46182</v>
      </c>
      <c r="E227" s="6">
        <v>65</v>
      </c>
      <c r="F227" s="4">
        <v>2.5</v>
      </c>
      <c r="G227" s="4">
        <v>0</v>
      </c>
      <c r="H227" s="4">
        <v>0.26</v>
      </c>
      <c r="I227" s="10" t="s">
        <v>513</v>
      </c>
      <c r="J227" s="10">
        <v>2945777</v>
      </c>
      <c r="K227" s="10">
        <v>488</v>
      </c>
      <c r="L227" s="16" t="s">
        <v>1139</v>
      </c>
      <c r="M227" s="53" t="s">
        <v>1502</v>
      </c>
      <c r="N227" t="str">
        <f t="shared" si="27"/>
        <v>whatnot.com/order/GMJptoiQKCNjk4Pv5GF4bQ
$2.50 + $0.00 (Shared Shipping) + $0.26 Tax = Total of $2.76</v>
      </c>
      <c r="O227" s="2">
        <f t="shared" si="28"/>
        <v>2.76</v>
      </c>
      <c r="P227" s="1">
        <f t="shared" si="33"/>
        <v>0</v>
      </c>
      <c r="Q227" s="1">
        <f t="shared" si="29"/>
        <v>2.5</v>
      </c>
      <c r="R227" s="1">
        <f t="shared" si="30"/>
        <v>0.25624999999999998</v>
      </c>
      <c r="S227" s="1">
        <f t="shared" si="31"/>
        <v>2.7562500000000001</v>
      </c>
      <c r="T227" s="1">
        <f>IFERROR(_xlfn.XLOOKUP(J227,Collection!A:A,Collection!D:D,0)/100/_xlfn.XLOOKUP(J227,Collection!A:A,Collection!J:J,0),_xlfn.XLOOKUP(J227,Sold!A:A,Sold!D:D,0)/100/_xlfn.XLOOKUP(J227,Sold!A:A,Sold!J:J,0))</f>
        <v>1.21</v>
      </c>
      <c r="U227" s="1">
        <f t="shared" si="32"/>
        <v>-1.5462500000000001</v>
      </c>
      <c r="V227" s="18">
        <f>COUNTIF(Collection!A:A,J227)+COUNTIF(Sold!A:A,J227)</f>
        <v>1</v>
      </c>
      <c r="W227" t="str">
        <f>IFERROR(_xlfn.TEXTAFTER(_xlfn.XLOOKUP(J227,Collection!A:A,Collection!C:C,),"Cards "),_xlfn.TEXTAFTER(_xlfn.XLOOKUP(J227,Sold!A:A,Sold!C:C,),"Cards "))</f>
        <v>2020 Panini Chronicles</v>
      </c>
      <c r="X227" s="18" t="str">
        <f>IFERROR(_xlfn.XLOOKUP(J227,Collection!A:A,Collection!B:B,),_xlfn.XLOOKUP(J227,Sold!A:A,Sold!B:B,))</f>
        <v>LeBron James #178</v>
      </c>
      <c r="Y227" s="53" t="s">
        <v>507</v>
      </c>
    </row>
    <row r="228" spans="2:25" x14ac:dyDescent="0.3">
      <c r="B228" s="10" t="s">
        <v>691</v>
      </c>
      <c r="C228" s="10" t="s">
        <v>23</v>
      </c>
      <c r="D228" s="5">
        <v>46182</v>
      </c>
      <c r="E228" s="6">
        <v>78</v>
      </c>
      <c r="F228" s="4">
        <v>1</v>
      </c>
      <c r="G228" s="4">
        <v>0</v>
      </c>
      <c r="H228" s="4">
        <v>0.11</v>
      </c>
      <c r="I228" s="10" t="s">
        <v>11</v>
      </c>
      <c r="J228" s="10">
        <v>2482733</v>
      </c>
      <c r="K228" s="10">
        <v>333</v>
      </c>
      <c r="L228" s="16" t="s">
        <v>1140</v>
      </c>
      <c r="M228" s="53" t="s">
        <v>1503</v>
      </c>
      <c r="N228" t="str">
        <f t="shared" si="27"/>
        <v>whatnot.com/order/2Nc9bVsk5chVoBa3qBE7ru
$1.00 + $0.00 (Shared Shipping) + $0.10 Tax = Total of $1.10</v>
      </c>
      <c r="O228" s="2">
        <f t="shared" si="28"/>
        <v>1.1100000000000001</v>
      </c>
      <c r="P228" s="1">
        <f t="shared" si="33"/>
        <v>0</v>
      </c>
      <c r="Q228" s="1">
        <f t="shared" si="29"/>
        <v>1</v>
      </c>
      <c r="R228" s="1">
        <f t="shared" si="30"/>
        <v>0.10249999999999999</v>
      </c>
      <c r="S228" s="1">
        <f t="shared" si="31"/>
        <v>1.1025</v>
      </c>
      <c r="T228" s="1">
        <f>IFERROR(_xlfn.XLOOKUP(J228,Collection!A:A,Collection!D:D,0)/100/_xlfn.XLOOKUP(J228,Collection!A:A,Collection!J:J,0),_xlfn.XLOOKUP(J228,Sold!A:A,Sold!D:D,0)/100/_xlfn.XLOOKUP(J228,Sold!A:A,Sold!J:J,0))</f>
        <v>1.75</v>
      </c>
      <c r="U228" s="1">
        <f t="shared" si="32"/>
        <v>0.64749999999999996</v>
      </c>
      <c r="V228" s="18">
        <f>COUNTIF(Collection!A:A,J228)+COUNTIF(Sold!A:A,J228)</f>
        <v>1</v>
      </c>
      <c r="W228" t="str">
        <f>IFERROR(_xlfn.TEXTAFTER(_xlfn.XLOOKUP(J228,Collection!A:A,Collection!C:C,),"Cards "),_xlfn.TEXTAFTER(_xlfn.XLOOKUP(J228,Sold!A:A,Sold!C:C,),"Cards "))</f>
        <v>2020 Panini Select</v>
      </c>
      <c r="X228" s="18" t="str">
        <f>IFERROR(_xlfn.XLOOKUP(J228,Collection!A:A,Collection!B:B,),_xlfn.XLOOKUP(J228,Sold!A:A,Sold!B:B,))</f>
        <v>Luka Doncic #15</v>
      </c>
      <c r="Y228" s="53" t="s">
        <v>507</v>
      </c>
    </row>
    <row r="229" spans="2:25" x14ac:dyDescent="0.3">
      <c r="B229" s="10" t="s">
        <v>691</v>
      </c>
      <c r="C229" s="10" t="s">
        <v>23</v>
      </c>
      <c r="D229" s="5">
        <v>46182</v>
      </c>
      <c r="E229" s="6">
        <v>78</v>
      </c>
      <c r="F229" s="4">
        <v>1</v>
      </c>
      <c r="G229" s="4">
        <v>0</v>
      </c>
      <c r="H229" s="4">
        <v>0.1</v>
      </c>
      <c r="I229" s="10" t="s">
        <v>63</v>
      </c>
      <c r="J229" s="10">
        <v>95756</v>
      </c>
      <c r="K229" s="10">
        <v>325</v>
      </c>
      <c r="L229" s="16" t="s">
        <v>1140</v>
      </c>
      <c r="M229" s="53" t="s">
        <v>1503</v>
      </c>
      <c r="N229" t="str">
        <f t="shared" si="27"/>
        <v>whatnot.com/order/2Nc9bVsk5chVoBa3qBE7ru
$1.00 + $0.00 (Shared Shipping) + $0.10 Tax = Total of $1.10</v>
      </c>
      <c r="O229" s="2">
        <f t="shared" si="28"/>
        <v>1.1000000000000001</v>
      </c>
      <c r="P229" s="1">
        <f t="shared" si="33"/>
        <v>0</v>
      </c>
      <c r="Q229" s="1">
        <f t="shared" si="29"/>
        <v>1</v>
      </c>
      <c r="R229" s="1">
        <f t="shared" si="30"/>
        <v>0.10249999999999999</v>
      </c>
      <c r="S229" s="1">
        <f t="shared" si="31"/>
        <v>1.1025</v>
      </c>
      <c r="T229" s="1">
        <f>IFERROR(_xlfn.XLOOKUP(J229,Collection!A:A,Collection!D:D,0)/100/_xlfn.XLOOKUP(J229,Collection!A:A,Collection!J:J,0),_xlfn.XLOOKUP(J229,Sold!A:A,Sold!D:D,0)/100/_xlfn.XLOOKUP(J229,Sold!A:A,Sold!J:J,0))</f>
        <v>1.78</v>
      </c>
      <c r="U229" s="1">
        <f t="shared" si="32"/>
        <v>0.67749999999999999</v>
      </c>
      <c r="V229" s="18">
        <f>COUNTIF(Collection!A:A,J229)+COUNTIF(Sold!A:A,J229)</f>
        <v>1</v>
      </c>
      <c r="W229" t="str">
        <f>IFERROR(_xlfn.TEXTAFTER(_xlfn.XLOOKUP(J229,Collection!A:A,Collection!C:C,),"Cards "),_xlfn.TEXTAFTER(_xlfn.XLOOKUP(J229,Sold!A:A,Sold!C:C,),"Cards "))</f>
        <v>2019 Panini Prizm</v>
      </c>
      <c r="X229" s="18" t="str">
        <f>IFERROR(_xlfn.XLOOKUP(J229,Collection!A:A,Collection!B:B,),_xlfn.XLOOKUP(J229,Sold!A:A,Sold!B:B,))</f>
        <v>Stephen Curry #98</v>
      </c>
      <c r="Y229" s="53" t="s">
        <v>507</v>
      </c>
    </row>
    <row r="230" spans="2:25" x14ac:dyDescent="0.3">
      <c r="B230" s="10" t="s">
        <v>691</v>
      </c>
      <c r="C230" s="10" t="s">
        <v>23</v>
      </c>
      <c r="D230" s="5">
        <v>46182</v>
      </c>
      <c r="E230" s="6">
        <v>139</v>
      </c>
      <c r="F230" s="4">
        <v>4</v>
      </c>
      <c r="G230" s="4">
        <v>0</v>
      </c>
      <c r="H230" s="4">
        <v>0.41</v>
      </c>
      <c r="I230" s="10" t="s">
        <v>1145</v>
      </c>
      <c r="J230" s="10">
        <v>3351202</v>
      </c>
      <c r="K230" s="10">
        <v>429</v>
      </c>
      <c r="L230" s="16" t="s">
        <v>1141</v>
      </c>
      <c r="M230" s="53" t="s">
        <v>1504</v>
      </c>
      <c r="N230" t="str">
        <f t="shared" si="27"/>
        <v>whatnot.com/order/4zv9Y8T8uHjVEzhSWdVnjf
$4.00 + $0.00 (Shared Shipping) + $0.41 Tax = Total of $4.41</v>
      </c>
      <c r="O230" s="2">
        <f t="shared" si="28"/>
        <v>4.41</v>
      </c>
      <c r="P230" s="1">
        <f t="shared" si="33"/>
        <v>0</v>
      </c>
      <c r="Q230" s="1">
        <f t="shared" si="29"/>
        <v>4</v>
      </c>
      <c r="R230" s="1">
        <f t="shared" si="30"/>
        <v>0.41</v>
      </c>
      <c r="S230" s="1">
        <f t="shared" si="31"/>
        <v>4.41</v>
      </c>
      <c r="T230" s="1">
        <f>IFERROR(_xlfn.XLOOKUP(J230,Collection!A:A,Collection!D:D,0)/100/_xlfn.XLOOKUP(J230,Collection!A:A,Collection!J:J,0),_xlfn.XLOOKUP(J230,Sold!A:A,Sold!D:D,0)/100/_xlfn.XLOOKUP(J230,Sold!A:A,Sold!J:J,0))</f>
        <v>1.49</v>
      </c>
      <c r="U230" s="1">
        <f t="shared" si="32"/>
        <v>-2.92</v>
      </c>
      <c r="V230" s="18">
        <f>COUNTIF(Collection!A:A,J230)+COUNTIF(Sold!A:A,J230)</f>
        <v>1</v>
      </c>
      <c r="W230" t="str">
        <f>IFERROR(_xlfn.TEXTAFTER(_xlfn.XLOOKUP(J230,Collection!A:A,Collection!C:C,),"Cards "),_xlfn.TEXTAFTER(_xlfn.XLOOKUP(J230,Sold!A:A,Sold!C:C,),"Cards "))</f>
        <v>2021 Panini Prizm Draft Picks</v>
      </c>
      <c r="X230" s="18" t="str">
        <f>IFERROR(_xlfn.XLOOKUP(J230,Collection!A:A,Collection!B:B,),_xlfn.XLOOKUP(J230,Sold!A:A,Sold!B:B,))</f>
        <v>Mac McClung #39</v>
      </c>
      <c r="Y230" s="53" t="s">
        <v>507</v>
      </c>
    </row>
    <row r="231" spans="2:25" x14ac:dyDescent="0.3">
      <c r="B231" s="10" t="s">
        <v>691</v>
      </c>
      <c r="C231" s="10" t="s">
        <v>23</v>
      </c>
      <c r="D231" s="5">
        <v>46182</v>
      </c>
      <c r="E231" s="6">
        <v>145</v>
      </c>
      <c r="F231" s="4">
        <v>1</v>
      </c>
      <c r="G231" s="4">
        <v>0</v>
      </c>
      <c r="H231" s="4">
        <v>0.11</v>
      </c>
      <c r="I231" s="10" t="s">
        <v>11</v>
      </c>
      <c r="J231" s="10">
        <v>2945900</v>
      </c>
      <c r="K231" s="10">
        <v>566</v>
      </c>
      <c r="L231" s="16" t="s">
        <v>1142</v>
      </c>
      <c r="M231" s="53" t="s">
        <v>1505</v>
      </c>
      <c r="N231" t="str">
        <f t="shared" si="27"/>
        <v>whatnot.com/order/j5AumEDPb4dAWPPgEGjD26
$1.00 + $0.00 (Shared Shipping) + $0.10 Tax = Total of $1.10</v>
      </c>
      <c r="O231" s="2">
        <f t="shared" si="28"/>
        <v>1.1100000000000001</v>
      </c>
      <c r="P231" s="1">
        <f t="shared" si="33"/>
        <v>0</v>
      </c>
      <c r="Q231" s="1">
        <f t="shared" si="29"/>
        <v>1</v>
      </c>
      <c r="R231" s="1">
        <f t="shared" si="30"/>
        <v>0.10249999999999999</v>
      </c>
      <c r="S231" s="1">
        <f t="shared" si="31"/>
        <v>1.1025</v>
      </c>
      <c r="T231" s="1">
        <f>IFERROR(_xlfn.XLOOKUP(J231,Collection!A:A,Collection!D:D,0)/100/_xlfn.XLOOKUP(J231,Collection!A:A,Collection!J:J,0),_xlfn.XLOOKUP(J231,Sold!A:A,Sold!D:D,0)/100/_xlfn.XLOOKUP(J231,Sold!A:A,Sold!J:J,0))</f>
        <v>1.63</v>
      </c>
      <c r="U231" s="1">
        <f t="shared" si="32"/>
        <v>0.52749999999999986</v>
      </c>
      <c r="V231" s="18">
        <f>COUNTIF(Collection!A:A,J231)+COUNTIF(Sold!A:A,J231)</f>
        <v>1</v>
      </c>
      <c r="W231" t="str">
        <f>IFERROR(_xlfn.TEXTAFTER(_xlfn.XLOOKUP(J231,Collection!A:A,Collection!C:C,),"Cards "),_xlfn.TEXTAFTER(_xlfn.XLOOKUP(J231,Sold!A:A,Sold!C:C,),"Cards "))</f>
        <v>2020 Panini Chronicles</v>
      </c>
      <c r="X231" s="18" t="str">
        <f>IFERROR(_xlfn.XLOOKUP(J231,Collection!A:A,Collection!B:B,),_xlfn.XLOOKUP(J231,Sold!A:A,Sold!B:B,))</f>
        <v>Luka Doncic #300</v>
      </c>
      <c r="Y231" s="53" t="s">
        <v>507</v>
      </c>
    </row>
    <row r="232" spans="2:25" x14ac:dyDescent="0.3">
      <c r="B232" s="10" t="s">
        <v>691</v>
      </c>
      <c r="C232" s="10" t="s">
        <v>23</v>
      </c>
      <c r="D232" s="5">
        <v>46182</v>
      </c>
      <c r="E232" s="6">
        <v>145</v>
      </c>
      <c r="F232" s="4">
        <v>1</v>
      </c>
      <c r="G232" s="4">
        <v>0</v>
      </c>
      <c r="H232" s="4">
        <v>0.1</v>
      </c>
      <c r="I232" s="10" t="s">
        <v>467</v>
      </c>
      <c r="J232" s="10">
        <v>10134970</v>
      </c>
      <c r="K232" s="10">
        <v>218</v>
      </c>
      <c r="L232" s="16" t="s">
        <v>1142</v>
      </c>
      <c r="M232" s="53" t="s">
        <v>1505</v>
      </c>
      <c r="N232" t="str">
        <f t="shared" si="27"/>
        <v>whatnot.com/order/j5AumEDPb4dAWPPgEGjD26
$1.00 + $0.00 (Shared Shipping) + $0.10 Tax = Total of $1.10</v>
      </c>
      <c r="O232" s="2">
        <f t="shared" si="28"/>
        <v>1.1000000000000001</v>
      </c>
      <c r="P232" s="1">
        <f t="shared" si="33"/>
        <v>0</v>
      </c>
      <c r="Q232" s="1">
        <f t="shared" si="29"/>
        <v>1</v>
      </c>
      <c r="R232" s="1">
        <f t="shared" si="30"/>
        <v>0.10249999999999999</v>
      </c>
      <c r="S232" s="1">
        <f t="shared" si="31"/>
        <v>1.1025</v>
      </c>
      <c r="T232" s="1">
        <f>IFERROR(_xlfn.XLOOKUP(J232,Collection!A:A,Collection!D:D,0)/100/_xlfn.XLOOKUP(J232,Collection!A:A,Collection!J:J,0),_xlfn.XLOOKUP(J232,Sold!A:A,Sold!D:D,0)/100/_xlfn.XLOOKUP(J232,Sold!A:A,Sold!J:J,0))</f>
        <v>2.33</v>
      </c>
      <c r="U232" s="1">
        <f t="shared" si="32"/>
        <v>1.2275</v>
      </c>
      <c r="V232" s="18">
        <f>COUNTIF(Collection!A:A,J232)+COUNTIF(Sold!A:A,J232)</f>
        <v>1</v>
      </c>
      <c r="W232" t="str">
        <f>IFERROR(_xlfn.TEXTAFTER(_xlfn.XLOOKUP(J232,Collection!A:A,Collection!C:C,),"Cards "),_xlfn.TEXTAFTER(_xlfn.XLOOKUP(J232,Sold!A:A,Sold!C:C,),"Cards "))</f>
        <v>2024 Topps Finest</v>
      </c>
      <c r="X232" s="18" t="str">
        <f>IFERROR(_xlfn.XLOOKUP(J232,Collection!A:A,Collection!B:B,),_xlfn.XLOOKUP(J232,Sold!A:A,Sold!B:B,))</f>
        <v>Tyrese Haliburton [Blue Refractor] #38</v>
      </c>
      <c r="Y232" s="53" t="s">
        <v>507</v>
      </c>
    </row>
    <row r="233" spans="2:25" x14ac:dyDescent="0.3">
      <c r="B233" s="10" t="s">
        <v>691</v>
      </c>
      <c r="C233" s="10" t="s">
        <v>745</v>
      </c>
      <c r="D233" s="5">
        <v>46182</v>
      </c>
      <c r="E233" s="6">
        <v>211</v>
      </c>
      <c r="F233" s="4">
        <v>11</v>
      </c>
      <c r="G233" s="4">
        <v>0.78</v>
      </c>
      <c r="H233" s="4">
        <v>1.21</v>
      </c>
      <c r="I233" s="10" t="s">
        <v>512</v>
      </c>
      <c r="J233" s="10">
        <v>11497700</v>
      </c>
      <c r="K233" s="10">
        <v>211</v>
      </c>
      <c r="L233" s="16" t="s">
        <v>1136</v>
      </c>
      <c r="M233" s="53" t="s">
        <v>1506</v>
      </c>
      <c r="N233" t="str">
        <f t="shared" si="27"/>
        <v>whatnot.com/order/oUotfyREdfzsNuUScDvio3
$11.00 + $0.78 (Shared Shipping) + $1.21 Tax = Total of $12.99</v>
      </c>
      <c r="O233" s="2">
        <f t="shared" si="28"/>
        <v>12.989999999999998</v>
      </c>
      <c r="P233" s="1">
        <f t="shared" si="33"/>
        <v>0.78</v>
      </c>
      <c r="Q233" s="1">
        <f t="shared" si="29"/>
        <v>11.78</v>
      </c>
      <c r="R233" s="1">
        <f t="shared" si="30"/>
        <v>1.2074499999999999</v>
      </c>
      <c r="S233" s="1">
        <f t="shared" si="31"/>
        <v>12.987449999999999</v>
      </c>
      <c r="T233" s="1">
        <f>IFERROR(_xlfn.XLOOKUP(J233,Collection!A:A,Collection!D:D,0)/100/_xlfn.XLOOKUP(J233,Collection!A:A,Collection!J:J,0),_xlfn.XLOOKUP(J233,Sold!A:A,Sold!D:D,0)/100/_xlfn.XLOOKUP(J233,Sold!A:A,Sold!J:J,0))</f>
        <v>2.4900000000000002</v>
      </c>
      <c r="U233" s="1">
        <f t="shared" si="32"/>
        <v>-10.497449999999999</v>
      </c>
      <c r="V233" s="18">
        <f>COUNTIF(Collection!A:A,J233)+COUNTIF(Sold!A:A,J233)</f>
        <v>1</v>
      </c>
      <c r="W233" t="str">
        <f>IFERROR(_xlfn.TEXTAFTER(_xlfn.XLOOKUP(J233,Collection!A:A,Collection!C:C,),"Cards "),_xlfn.TEXTAFTER(_xlfn.XLOOKUP(J233,Sold!A:A,Sold!C:C,),"Cards "))</f>
        <v>2025 Topps Chrome Inspirational</v>
      </c>
      <c r="X233" s="18" t="str">
        <f>IFERROR(_xlfn.XLOOKUP(J233,Collection!A:A,Collection!B:B,),_xlfn.XLOOKUP(J233,Sold!A:A,Sold!B:B,))</f>
        <v>Victor Wembanyama #IP-6</v>
      </c>
      <c r="Y233" s="53" t="s">
        <v>507</v>
      </c>
    </row>
    <row r="234" spans="2:25" x14ac:dyDescent="0.3">
      <c r="B234" s="10" t="s">
        <v>691</v>
      </c>
      <c r="C234" s="10" t="s">
        <v>1146</v>
      </c>
      <c r="D234" s="5">
        <v>46183</v>
      </c>
      <c r="E234" s="6" t="s">
        <v>789</v>
      </c>
      <c r="F234" s="4">
        <v>28</v>
      </c>
      <c r="G234" s="4">
        <v>8.6</v>
      </c>
      <c r="H234" s="4">
        <v>3.75</v>
      </c>
      <c r="I234" s="10" t="s">
        <v>1145</v>
      </c>
      <c r="J234" s="10">
        <v>13280701</v>
      </c>
      <c r="K234" s="10">
        <v>22</v>
      </c>
      <c r="L234" s="16" t="s">
        <v>1147</v>
      </c>
      <c r="M234" s="53" t="s">
        <v>1507</v>
      </c>
      <c r="N234" t="str">
        <f t="shared" si="27"/>
        <v>ebay.com/itm/298388905739
$28.00 + $8.60 (Shared Shipping) + $3.75 Tax = Total of $40.35</v>
      </c>
      <c r="O234" s="2">
        <f t="shared" si="28"/>
        <v>40.35</v>
      </c>
      <c r="P234" s="1">
        <f t="shared" si="33"/>
        <v>8.6</v>
      </c>
      <c r="Q234" s="1">
        <f t="shared" si="29"/>
        <v>36.6</v>
      </c>
      <c r="R234" s="1">
        <f t="shared" si="30"/>
        <v>3.7515000000000001</v>
      </c>
      <c r="S234" s="1">
        <f t="shared" si="31"/>
        <v>40.351500000000001</v>
      </c>
      <c r="T234" s="1">
        <f>IFERROR(_xlfn.XLOOKUP(J234,Collection!A:A,Collection!D:D,0)/100/_xlfn.XLOOKUP(J234,Collection!A:A,Collection!J:J,0),_xlfn.XLOOKUP(J234,Sold!A:A,Sold!D:D,0)/100/_xlfn.XLOOKUP(J234,Sold!A:A,Sold!J:J,0))</f>
        <v>20.63</v>
      </c>
      <c r="U234" s="1">
        <f t="shared" si="32"/>
        <v>-19.721500000000002</v>
      </c>
      <c r="V234" s="18">
        <f>COUNTIF(Collection!A:A,J234)+COUNTIF(Sold!A:A,J234)</f>
        <v>1</v>
      </c>
      <c r="W234" t="str">
        <f>IFERROR(_xlfn.TEXTAFTER(_xlfn.XLOOKUP(J234,Collection!A:A,Collection!C:C,),"Cards "),_xlfn.TEXTAFTER(_xlfn.XLOOKUP(J234,Sold!A:A,Sold!C:C,),"Cards "))</f>
        <v>2021 Panini Prizm Draft Picks Autographs</v>
      </c>
      <c r="X234" s="18" t="str">
        <f>IFERROR(_xlfn.XLOOKUP(J234,Collection!A:A,Collection!B:B,),_xlfn.XLOOKUP(J234,Sold!A:A,Sold!B:B,))</f>
        <v>Mac McClung [Red] #DP-MMC</v>
      </c>
      <c r="Y234" s="53" t="s">
        <v>507</v>
      </c>
    </row>
    <row r="235" spans="2:25" x14ac:dyDescent="0.3">
      <c r="B235" s="10" t="s">
        <v>691</v>
      </c>
      <c r="C235" s="10" t="s">
        <v>1326</v>
      </c>
      <c r="D235" s="5">
        <v>46183</v>
      </c>
      <c r="E235" s="6">
        <v>5</v>
      </c>
      <c r="F235" s="4">
        <v>9</v>
      </c>
      <c r="G235" s="4">
        <v>1.39</v>
      </c>
      <c r="H235" s="4">
        <v>1.07</v>
      </c>
      <c r="I235" s="10" t="s">
        <v>478</v>
      </c>
      <c r="J235" s="10">
        <v>3607582</v>
      </c>
      <c r="K235" s="10">
        <v>32</v>
      </c>
      <c r="L235" s="16" t="s">
        <v>1325</v>
      </c>
      <c r="M235" s="53" t="s">
        <v>1508</v>
      </c>
      <c r="N235" t="str">
        <f t="shared" si="27"/>
        <v>whatnot.com/order/P5eomQCEnRNpF3D5NN6EjL
$9.00 + $1.05 (Shared Shipping) + $1.03 Tax = Total of $11.08</v>
      </c>
      <c r="O235" s="2">
        <f t="shared" si="28"/>
        <v>11.46</v>
      </c>
      <c r="P235" s="1">
        <f t="shared" si="33"/>
        <v>1.052</v>
      </c>
      <c r="Q235" s="1">
        <f t="shared" si="29"/>
        <v>10.052</v>
      </c>
      <c r="R235" s="1">
        <f t="shared" si="30"/>
        <v>1.03033</v>
      </c>
      <c r="S235" s="1">
        <f t="shared" si="31"/>
        <v>11.082329999999999</v>
      </c>
      <c r="T235" s="1">
        <f>IFERROR(_xlfn.XLOOKUP(J235,Collection!A:A,Collection!D:D,0)/100/_xlfn.XLOOKUP(J235,Collection!A:A,Collection!J:J,0),_xlfn.XLOOKUP(J235,Sold!A:A,Sold!D:D,0)/100/_xlfn.XLOOKUP(J235,Sold!A:A,Sold!J:J,0))</f>
        <v>8.82</v>
      </c>
      <c r="U235" s="1">
        <f t="shared" si="32"/>
        <v>-2.2623299999999986</v>
      </c>
      <c r="V235" s="18">
        <f>COUNTIF(Collection!A:A,J235)+COUNTIF(Sold!A:A,J235)</f>
        <v>1</v>
      </c>
      <c r="W235" t="str">
        <f>IFERROR(_xlfn.TEXTAFTER(_xlfn.XLOOKUP(J235,Collection!A:A,Collection!C:C,),"Cards "),_xlfn.TEXTAFTER(_xlfn.XLOOKUP(J235,Sold!A:A,Sold!C:C,),"Cards "))</f>
        <v>2020 Panini Hoops SLAM</v>
      </c>
      <c r="X235" s="18" t="str">
        <f>IFERROR(_xlfn.XLOOKUP(J235,Collection!A:A,Collection!B:B,),_xlfn.XLOOKUP(J235,Sold!A:A,Sold!B:B,))</f>
        <v>Jason Williams #7</v>
      </c>
      <c r="Y235" s="53" t="s">
        <v>507</v>
      </c>
    </row>
    <row r="236" spans="2:25" x14ac:dyDescent="0.3">
      <c r="B236" s="10" t="s">
        <v>691</v>
      </c>
      <c r="C236" s="10" t="s">
        <v>1326</v>
      </c>
      <c r="D236" s="5">
        <v>46183</v>
      </c>
      <c r="E236" s="6">
        <v>8</v>
      </c>
      <c r="F236" s="4">
        <v>10</v>
      </c>
      <c r="G236" s="4">
        <v>1.39</v>
      </c>
      <c r="H236" s="4">
        <v>1.39</v>
      </c>
      <c r="I236" s="10" t="s">
        <v>775</v>
      </c>
      <c r="J236" s="10">
        <v>12623502</v>
      </c>
      <c r="K236" s="10">
        <v>170</v>
      </c>
      <c r="L236" s="16" t="s">
        <v>1327</v>
      </c>
      <c r="M236" s="53" t="s">
        <v>1509</v>
      </c>
      <c r="N236" t="str">
        <f t="shared" si="27"/>
        <v>whatnot.com/order/FqoWSgMi5fqLq2Bz7wgwQQ
$10.00 + $1.05 (Shared Shipping) + $1.13 Tax = Total of $12.18</v>
      </c>
      <c r="O236" s="2">
        <f t="shared" si="28"/>
        <v>12.780000000000001</v>
      </c>
      <c r="P236" s="1">
        <f t="shared" si="33"/>
        <v>1.052</v>
      </c>
      <c r="Q236" s="1">
        <f t="shared" si="29"/>
        <v>11.052</v>
      </c>
      <c r="R236" s="1">
        <f t="shared" si="30"/>
        <v>1.1328299999999998</v>
      </c>
      <c r="S236" s="1">
        <f t="shared" si="31"/>
        <v>12.18483</v>
      </c>
      <c r="T236" s="1">
        <f>IFERROR(_xlfn.XLOOKUP(J236,Collection!A:A,Collection!D:D,0)/100/_xlfn.XLOOKUP(J236,Collection!A:A,Collection!J:J,0),_xlfn.XLOOKUP(J236,Sold!A:A,Sold!D:D,0)/100/_xlfn.XLOOKUP(J236,Sold!A:A,Sold!J:J,0))</f>
        <v>3.25</v>
      </c>
      <c r="U236" s="1">
        <f t="shared" si="32"/>
        <v>-8.9348299999999998</v>
      </c>
      <c r="V236" s="18">
        <f>COUNTIF(Collection!A:A,J236)+COUNTIF(Sold!A:A,J236)</f>
        <v>1</v>
      </c>
      <c r="W236" t="str">
        <f>IFERROR(_xlfn.TEXTAFTER(_xlfn.XLOOKUP(J236,Collection!A:A,Collection!C:C,),"Cards "),_xlfn.TEXTAFTER(_xlfn.XLOOKUP(J236,Sold!A:A,Sold!C:C,),"Cards "))</f>
        <v>2025 Bowman Chrome</v>
      </c>
      <c r="X236" s="18" t="str">
        <f>IFERROR(_xlfn.XLOOKUP(J236,Collection!A:A,Collection!B:B,),_xlfn.XLOOKUP(J236,Sold!A:A,Sold!B:B,))</f>
        <v>Stephon Castle [Reptilian Refractor] #BCV-145</v>
      </c>
      <c r="Y236" s="53" t="s">
        <v>507</v>
      </c>
    </row>
    <row r="237" spans="2:25" x14ac:dyDescent="0.3">
      <c r="B237" s="10" t="s">
        <v>691</v>
      </c>
      <c r="C237" s="10" t="s">
        <v>1326</v>
      </c>
      <c r="D237" s="5">
        <v>46183</v>
      </c>
      <c r="E237" s="6">
        <v>20</v>
      </c>
      <c r="F237" s="4">
        <v>14</v>
      </c>
      <c r="G237" s="4">
        <v>0.91</v>
      </c>
      <c r="H237" s="4">
        <v>1.54</v>
      </c>
      <c r="I237" s="10" t="s">
        <v>512</v>
      </c>
      <c r="J237" s="10">
        <v>6066827</v>
      </c>
      <c r="K237" s="10">
        <v>20</v>
      </c>
      <c r="L237" s="16" t="s">
        <v>1328</v>
      </c>
      <c r="M237" s="53" t="s">
        <v>1510</v>
      </c>
      <c r="N237" t="str">
        <f t="shared" si="27"/>
        <v>whatnot.com/order/LGPnRNkgKGF9RMDyPrydES
$14.00 + $1.05 (Shared Shipping) + $1.54 Tax = Total of $16.59</v>
      </c>
      <c r="O237" s="2">
        <f t="shared" si="28"/>
        <v>16.45</v>
      </c>
      <c r="P237" s="1">
        <f t="shared" si="33"/>
        <v>1.052</v>
      </c>
      <c r="Q237" s="1">
        <f t="shared" si="29"/>
        <v>15.052</v>
      </c>
      <c r="R237" s="1">
        <f t="shared" si="30"/>
        <v>1.5428299999999999</v>
      </c>
      <c r="S237" s="1">
        <f t="shared" si="31"/>
        <v>16.594829999999998</v>
      </c>
      <c r="T237" s="1">
        <f>IFERROR(_xlfn.XLOOKUP(J237,Collection!A:A,Collection!D:D,0)/100/_xlfn.XLOOKUP(J237,Collection!A:A,Collection!J:J,0),_xlfn.XLOOKUP(J237,Sold!A:A,Sold!D:D,0)/100/_xlfn.XLOOKUP(J237,Sold!A:A,Sold!J:J,0))</f>
        <v>16.010000000000002</v>
      </c>
      <c r="U237" s="1">
        <f t="shared" si="32"/>
        <v>-0.58482999999999663</v>
      </c>
      <c r="V237" s="18">
        <f>COUNTIF(Collection!A:A,J237)+COUNTIF(Sold!A:A,J237)</f>
        <v>1</v>
      </c>
      <c r="W237" t="str">
        <f>IFERROR(_xlfn.TEXTAFTER(_xlfn.XLOOKUP(J237,Collection!A:A,Collection!C:C,),"Cards "),_xlfn.TEXTAFTER(_xlfn.XLOOKUP(J237,Sold!A:A,Sold!C:C,),"Cards "))</f>
        <v>2023 Panini Hoops Attack the Rack</v>
      </c>
      <c r="X237" s="18" t="str">
        <f>IFERROR(_xlfn.XLOOKUP(J237,Collection!A:A,Collection!B:B,),_xlfn.XLOOKUP(J237,Sold!A:A,Sold!B:B,))</f>
        <v>Victor Wembanyama #1</v>
      </c>
      <c r="Y237" s="53" t="s">
        <v>507</v>
      </c>
    </row>
    <row r="238" spans="2:25" x14ac:dyDescent="0.3">
      <c r="B238" s="10" t="s">
        <v>691</v>
      </c>
      <c r="C238" s="10" t="s">
        <v>1326</v>
      </c>
      <c r="D238" s="5">
        <v>46183</v>
      </c>
      <c r="E238" s="6">
        <v>25</v>
      </c>
      <c r="F238" s="4">
        <v>11</v>
      </c>
      <c r="G238" s="4">
        <v>0</v>
      </c>
      <c r="H238" s="4">
        <v>1.1299999999999999</v>
      </c>
      <c r="I238" s="10" t="s">
        <v>11</v>
      </c>
      <c r="J238" s="10">
        <v>9267400</v>
      </c>
      <c r="K238" s="10">
        <v>23</v>
      </c>
      <c r="L238" s="16" t="s">
        <v>1329</v>
      </c>
      <c r="M238" s="53" t="s">
        <v>1511</v>
      </c>
      <c r="N238" t="str">
        <f t="shared" si="27"/>
        <v>whatnot.com/order/n8cE95JzPotDagv8zS8364
$11.00 + $1.05 (Shared Shipping) + $1.24 Tax = Total of $13.29</v>
      </c>
      <c r="O238" s="2">
        <f t="shared" si="28"/>
        <v>12.129999999999999</v>
      </c>
      <c r="P238" s="1">
        <f t="shared" si="33"/>
        <v>1.052</v>
      </c>
      <c r="Q238" s="1">
        <f t="shared" si="29"/>
        <v>12.052</v>
      </c>
      <c r="R238" s="1">
        <f t="shared" si="30"/>
        <v>1.2353299999999998</v>
      </c>
      <c r="S238" s="1">
        <f t="shared" si="31"/>
        <v>13.287329999999999</v>
      </c>
      <c r="T238" s="1">
        <f>IFERROR(_xlfn.XLOOKUP(J238,Collection!A:A,Collection!D:D,0)/100/_xlfn.XLOOKUP(J238,Collection!A:A,Collection!J:J,0),_xlfn.XLOOKUP(J238,Sold!A:A,Sold!D:D,0)/100/_xlfn.XLOOKUP(J238,Sold!A:A,Sold!J:J,0))</f>
        <v>14</v>
      </c>
      <c r="U238" s="1">
        <f t="shared" si="32"/>
        <v>0.71267000000000102</v>
      </c>
      <c r="V238" s="18">
        <f>COUNTIF(Collection!A:A,J238)+COUNTIF(Sold!A:A,J238)</f>
        <v>1</v>
      </c>
      <c r="W238" t="str">
        <f>IFERROR(_xlfn.TEXTAFTER(_xlfn.XLOOKUP(J238,Collection!A:A,Collection!C:C,),"Cards "),_xlfn.TEXTAFTER(_xlfn.XLOOKUP(J238,Sold!A:A,Sold!C:C,),"Cards "))</f>
        <v>2024 Panini Revolution Star Gazing</v>
      </c>
      <c r="X238" s="18" t="str">
        <f>IFERROR(_xlfn.XLOOKUP(J238,Collection!A:A,Collection!B:B,),_xlfn.XLOOKUP(J238,Sold!A:A,Sold!B:B,))</f>
        <v>Luka Doncic [Blue Astro] #9</v>
      </c>
      <c r="Y238" s="53" t="s">
        <v>507</v>
      </c>
    </row>
    <row r="239" spans="2:25" x14ac:dyDescent="0.3">
      <c r="B239" s="10" t="s">
        <v>691</v>
      </c>
      <c r="C239" s="10" t="s">
        <v>1326</v>
      </c>
      <c r="D239" s="5">
        <v>46183</v>
      </c>
      <c r="E239" s="6">
        <v>28</v>
      </c>
      <c r="F239" s="4">
        <v>15</v>
      </c>
      <c r="G239" s="4">
        <v>1.57</v>
      </c>
      <c r="H239" s="4">
        <v>1.7</v>
      </c>
      <c r="I239" s="10" t="s">
        <v>510</v>
      </c>
      <c r="J239" s="10">
        <v>11484449</v>
      </c>
      <c r="K239" s="10">
        <v>14</v>
      </c>
      <c r="L239" s="16" t="s">
        <v>1330</v>
      </c>
      <c r="M239" s="53" t="s">
        <v>1512</v>
      </c>
      <c r="N239" t="str">
        <f t="shared" si="27"/>
        <v>whatnot.com/order/JCCEshFbNE7KuEUh3Kjd6B
$15.00 + $1.05 (Shared Shipping) + $1.65 Tax = Total of $17.70</v>
      </c>
      <c r="O239" s="2">
        <f t="shared" si="28"/>
        <v>18.27</v>
      </c>
      <c r="P239" s="1">
        <f t="shared" si="33"/>
        <v>1.052</v>
      </c>
      <c r="Q239" s="1">
        <f t="shared" si="29"/>
        <v>16.052</v>
      </c>
      <c r="R239" s="1">
        <f t="shared" si="30"/>
        <v>1.64533</v>
      </c>
      <c r="S239" s="1">
        <f t="shared" si="31"/>
        <v>17.697330000000001</v>
      </c>
      <c r="T239" s="1">
        <f>IFERROR(_xlfn.XLOOKUP(J239,Collection!A:A,Collection!D:D,0)/100/_xlfn.XLOOKUP(J239,Collection!A:A,Collection!J:J,0),_xlfn.XLOOKUP(J239,Sold!A:A,Sold!D:D,0)/100/_xlfn.XLOOKUP(J239,Sold!A:A,Sold!J:J,0))</f>
        <v>21.04</v>
      </c>
      <c r="U239" s="1">
        <f t="shared" si="32"/>
        <v>3.3426699999999983</v>
      </c>
      <c r="V239" s="18">
        <f>COUNTIF(Collection!A:A,J239)+COUNTIF(Sold!A:A,J239)</f>
        <v>4</v>
      </c>
      <c r="W239" t="str">
        <f>IFERROR(_xlfn.TEXTAFTER(_xlfn.XLOOKUP(J239,Collection!A:A,Collection!C:C,),"Cards "),_xlfn.TEXTAFTER(_xlfn.XLOOKUP(J239,Sold!A:A,Sold!C:C,),"Cards "))</f>
        <v>2025 Topps Chrome</v>
      </c>
      <c r="X239" s="18" t="str">
        <f>IFERROR(_xlfn.XLOOKUP(J239,Collection!A:A,Collection!B:B,),_xlfn.XLOOKUP(J239,Sold!A:A,Sold!B:B,))</f>
        <v>Cooper Flagg #251</v>
      </c>
      <c r="Y239" s="53" t="s">
        <v>507</v>
      </c>
    </row>
    <row r="240" spans="2:25" x14ac:dyDescent="0.3">
      <c r="B240" s="10" t="s">
        <v>691</v>
      </c>
      <c r="C240" s="10" t="s">
        <v>5</v>
      </c>
      <c r="D240" s="5">
        <v>46173</v>
      </c>
      <c r="E240" s="6">
        <v>0</v>
      </c>
      <c r="F240" s="4">
        <v>55</v>
      </c>
      <c r="G240" s="4">
        <v>0</v>
      </c>
      <c r="H240" s="4">
        <v>0</v>
      </c>
      <c r="I240" s="10" t="s">
        <v>468</v>
      </c>
      <c r="J240" s="10">
        <v>113596</v>
      </c>
      <c r="K240" s="10">
        <v>45837587</v>
      </c>
      <c r="L240" s="16" t="s">
        <v>1045</v>
      </c>
      <c r="M240" s="53" t="s">
        <v>1742</v>
      </c>
      <c r="N240" t="str">
        <f t="shared" si="27"/>
        <v xml:space="preserve">
$55.00 + $0.00 (Shared Shipping) + $0.00 Tax = Total of $55.00</v>
      </c>
      <c r="O240" s="2">
        <f t="shared" si="28"/>
        <v>55</v>
      </c>
      <c r="P240" s="1">
        <f t="shared" si="33"/>
        <v>0</v>
      </c>
      <c r="Q240" s="1">
        <f t="shared" si="29"/>
        <v>55</v>
      </c>
      <c r="R240" s="1">
        <f t="shared" si="30"/>
        <v>0</v>
      </c>
      <c r="S240" s="1">
        <f t="shared" si="31"/>
        <v>55</v>
      </c>
      <c r="T240" s="1">
        <f>IFERROR(_xlfn.XLOOKUP(J240,Collection!A:A,Collection!D:D,0)/100/_xlfn.XLOOKUP(J240,Collection!A:A,Collection!J:J,0),_xlfn.XLOOKUP(J240,Sold!A:A,Sold!D:D,0)/100/_xlfn.XLOOKUP(J240,Sold!A:A,Sold!J:J,0))</f>
        <v>50</v>
      </c>
      <c r="U240" s="1">
        <f t="shared" si="32"/>
        <v>-5</v>
      </c>
      <c r="V240" s="18">
        <f>COUNTIF(Collection!A:A,J240)+COUNTIF(Sold!A:A,J240)</f>
        <v>1</v>
      </c>
      <c r="W240" t="str">
        <f>IFERROR(_xlfn.TEXTAFTER(_xlfn.XLOOKUP(J240,Collection!A:A,Collection!C:C,),"Cards "),_xlfn.TEXTAFTER(_xlfn.XLOOKUP(J240,Sold!A:A,Sold!C:C,),"Cards "))</f>
        <v>2018 Panini Prizm</v>
      </c>
      <c r="X240" s="18" t="str">
        <f>IFERROR(_xlfn.XLOOKUP(J240,Collection!A:A,Collection!B:B,),_xlfn.XLOOKUP(J240,Sold!A:A,Sold!B:B,))</f>
        <v>Shai Gilgeous-Alexander #184 [Rookie]</v>
      </c>
      <c r="Y240" s="53" t="s">
        <v>507</v>
      </c>
    </row>
    <row r="241" spans="2:25" x14ac:dyDescent="0.3">
      <c r="B241" s="10" t="s">
        <v>691</v>
      </c>
      <c r="C241" s="10" t="s">
        <v>1730</v>
      </c>
      <c r="D241" s="5">
        <v>46186</v>
      </c>
      <c r="E241" s="6" t="s">
        <v>789</v>
      </c>
      <c r="F241" s="4">
        <v>85</v>
      </c>
      <c r="G241" s="4">
        <v>5.75</v>
      </c>
      <c r="H241" s="4">
        <v>9.3000000000000007</v>
      </c>
      <c r="I241" s="10" t="s">
        <v>11</v>
      </c>
      <c r="J241" s="10">
        <v>116892</v>
      </c>
      <c r="K241" s="10">
        <v>78077713</v>
      </c>
      <c r="L241" s="16" t="s">
        <v>1729</v>
      </c>
      <c r="M241" s="53" t="s">
        <v>1731</v>
      </c>
      <c r="N241" t="str">
        <f t="shared" si="27"/>
        <v>ebay.com/itm/800134310592
$85.00 + $5.75 (Shared Shipping) + $9.30 Tax = Total of $100.05</v>
      </c>
      <c r="O241" s="2">
        <f t="shared" si="28"/>
        <v>100.05</v>
      </c>
      <c r="P241" s="1">
        <f t="shared" si="33"/>
        <v>5.75</v>
      </c>
      <c r="Q241" s="1">
        <f t="shared" si="29"/>
        <v>90.75</v>
      </c>
      <c r="R241" s="1">
        <f t="shared" si="30"/>
        <v>9.301874999999999</v>
      </c>
      <c r="S241" s="1">
        <f t="shared" si="31"/>
        <v>100.051875</v>
      </c>
      <c r="T241" s="1">
        <f>IFERROR(_xlfn.XLOOKUP(J241,Collection!A:A,Collection!D:D,0)/100/_xlfn.XLOOKUP(J241,Collection!A:A,Collection!J:J,0),_xlfn.XLOOKUP(J241,Sold!A:A,Sold!D:D,0)/100/_xlfn.XLOOKUP(J241,Sold!A:A,Sold!J:J,0))</f>
        <v>120</v>
      </c>
      <c r="U241" s="1">
        <f t="shared" si="32"/>
        <v>19.948125000000005</v>
      </c>
      <c r="V241" s="18">
        <f>COUNTIF(Collection!A:A,J241)+COUNTIF(Sold!A:A,J241)</f>
        <v>1</v>
      </c>
      <c r="W241" t="str">
        <f>IFERROR(_xlfn.TEXTAFTER(_xlfn.XLOOKUP(J241,Collection!A:A,Collection!C:C,),"Cards "),_xlfn.TEXTAFTER(_xlfn.XLOOKUP(J241,Sold!A:A,Sold!C:C,),"Cards "))</f>
        <v>2018 Panini Status</v>
      </c>
      <c r="X241" s="18" t="str">
        <f>IFERROR(_xlfn.XLOOKUP(J241,Collection!A:A,Collection!B:B,),_xlfn.XLOOKUP(J241,Sold!A:A,Sold!B:B,))</f>
        <v>Luka Doncic #122</v>
      </c>
      <c r="Y241" s="53" t="s">
        <v>507</v>
      </c>
    </row>
    <row r="242" spans="2:25" x14ac:dyDescent="0.3">
      <c r="B242" s="10" t="s">
        <v>691</v>
      </c>
      <c r="C242" s="10" t="s">
        <v>1733</v>
      </c>
      <c r="D242" s="5">
        <v>46157</v>
      </c>
      <c r="E242" s="10" t="s">
        <v>1733</v>
      </c>
      <c r="F242" s="4">
        <v>35.99</v>
      </c>
      <c r="G242" s="4">
        <v>0</v>
      </c>
      <c r="H242" s="4">
        <v>3.69</v>
      </c>
      <c r="I242" s="10" t="s">
        <v>1734</v>
      </c>
      <c r="J242" s="10" t="s">
        <v>1045</v>
      </c>
      <c r="K242" s="10" t="s">
        <v>1825</v>
      </c>
      <c r="L242" s="16" t="s">
        <v>1740</v>
      </c>
      <c r="M242" s="53" t="s">
        <v>1743</v>
      </c>
      <c r="N242" t="str">
        <f t="shared" si="27"/>
        <v>amazon.com/your-orders/order-details?orderID=111-2378555-0038643&amp;ref=ppx_yo2ov_dt_b_fed_order_details
$35.99 + $0.00 (Shared Shipping) + $3.69 Tax = Total of $39.68</v>
      </c>
      <c r="O242" s="2">
        <f t="shared" si="28"/>
        <v>39.68</v>
      </c>
      <c r="P242" s="1">
        <f t="shared" si="33"/>
        <v>0</v>
      </c>
      <c r="Q242" s="1">
        <f t="shared" si="29"/>
        <v>35.99</v>
      </c>
      <c r="R242" s="1">
        <f t="shared" si="30"/>
        <v>3.6889750000000001</v>
      </c>
      <c r="S242" s="1">
        <f t="shared" si="31"/>
        <v>39.678975000000001</v>
      </c>
      <c r="T242" s="1" t="e">
        <f>IFERROR(_xlfn.XLOOKUP(J242,Collection!A:A,Collection!D:D,0)/100/_xlfn.XLOOKUP(J242,Collection!A:A,Collection!J:J,0),_xlfn.XLOOKUP(J242,Sold!A:A,Sold!D:D,0)/100/_xlfn.XLOOKUP(J242,Sold!A:A,Sold!J:J,0))</f>
        <v>#DIV/0!</v>
      </c>
      <c r="U242" s="1">
        <f t="shared" si="32"/>
        <v>0</v>
      </c>
      <c r="V242" s="18">
        <f>COUNTIF(Collection!A:A,J242)+COUNTIF(Sold!A:A,J242)</f>
        <v>0</v>
      </c>
      <c r="W242" t="e">
        <f>IFERROR(_xlfn.TEXTAFTER(_xlfn.XLOOKUP(J242,Collection!A:A,Collection!C:C,),"Cards "),_xlfn.TEXTAFTER(_xlfn.XLOOKUP(J242,Sold!A:A,Sold!C:C,),"Cards "))</f>
        <v>#N/A</v>
      </c>
      <c r="X242" s="18" t="e">
        <f>IFERROR(_xlfn.XLOOKUP(J242,Collection!A:A,Collection!B:B,),_xlfn.XLOOKUP(J242,Sold!A:A,Sold!B:B,))</f>
        <v>#N/A</v>
      </c>
      <c r="Y242" s="53" t="s">
        <v>507</v>
      </c>
    </row>
    <row r="243" spans="2:25" x14ac:dyDescent="0.3">
      <c r="B243" s="10" t="s">
        <v>691</v>
      </c>
      <c r="C243" s="10" t="s">
        <v>1735</v>
      </c>
      <c r="D243" s="5">
        <v>46186</v>
      </c>
      <c r="E243" s="10" t="s">
        <v>1735</v>
      </c>
      <c r="F243" s="4">
        <v>33</v>
      </c>
      <c r="G243" s="4">
        <v>0</v>
      </c>
      <c r="H243" s="4">
        <v>0</v>
      </c>
      <c r="I243" s="10" t="s">
        <v>1736</v>
      </c>
      <c r="J243" s="10" t="s">
        <v>1045</v>
      </c>
      <c r="K243" s="10" t="s">
        <v>1827</v>
      </c>
      <c r="L243" s="16" t="s">
        <v>1045</v>
      </c>
      <c r="M243" s="53" t="s">
        <v>1744</v>
      </c>
      <c r="N243" t="str">
        <f t="shared" si="27"/>
        <v xml:space="preserve">
$33.00 + $0.00 (Shared Shipping) + $0.00 Tax = Total of $33.00</v>
      </c>
      <c r="O243" s="2">
        <f t="shared" si="28"/>
        <v>33</v>
      </c>
      <c r="P243" s="1">
        <f t="shared" si="33"/>
        <v>0</v>
      </c>
      <c r="Q243" s="1">
        <f t="shared" si="29"/>
        <v>33</v>
      </c>
      <c r="R243" s="1">
        <f t="shared" si="30"/>
        <v>0</v>
      </c>
      <c r="S243" s="1">
        <f t="shared" si="31"/>
        <v>33</v>
      </c>
      <c r="T243" s="1" t="e">
        <f>IFERROR(_xlfn.XLOOKUP(J243,Collection!A:A,Collection!D:D,0)/100/_xlfn.XLOOKUP(J243,Collection!A:A,Collection!J:J,0),_xlfn.XLOOKUP(J243,Sold!A:A,Sold!D:D,0)/100/_xlfn.XLOOKUP(J243,Sold!A:A,Sold!J:J,0))</f>
        <v>#DIV/0!</v>
      </c>
      <c r="U243" s="1">
        <f t="shared" si="32"/>
        <v>0</v>
      </c>
      <c r="V243" s="18">
        <f>COUNTIF(Collection!A:A,J243)+COUNTIF(Sold!A:A,J243)</f>
        <v>0</v>
      </c>
      <c r="W243" t="e">
        <f>IFERROR(_xlfn.TEXTAFTER(_xlfn.XLOOKUP(J243,Collection!A:A,Collection!C:C,),"Cards "),_xlfn.TEXTAFTER(_xlfn.XLOOKUP(J243,Sold!A:A,Sold!C:C,),"Cards "))</f>
        <v>#N/A</v>
      </c>
      <c r="X243" s="18" t="e">
        <f>IFERROR(_xlfn.XLOOKUP(J243,Collection!A:A,Collection!B:B,),_xlfn.XLOOKUP(J243,Sold!A:A,Sold!B:B,))</f>
        <v>#N/A</v>
      </c>
      <c r="Y243" s="53" t="s">
        <v>507</v>
      </c>
    </row>
    <row r="244" spans="2:25" x14ac:dyDescent="0.3">
      <c r="B244" s="10" t="s">
        <v>691</v>
      </c>
      <c r="C244" s="10" t="s">
        <v>1737</v>
      </c>
      <c r="D244" s="5">
        <v>46173</v>
      </c>
      <c r="E244" s="10" t="s">
        <v>1737</v>
      </c>
      <c r="F244" s="4">
        <v>20</v>
      </c>
      <c r="G244" s="4">
        <v>0</v>
      </c>
      <c r="H244" s="4">
        <v>0</v>
      </c>
      <c r="I244" s="10" t="s">
        <v>1738</v>
      </c>
      <c r="J244" s="10" t="s">
        <v>1045</v>
      </c>
      <c r="K244" s="10" t="s">
        <v>1826</v>
      </c>
      <c r="L244" s="16" t="s">
        <v>1045</v>
      </c>
      <c r="M244" s="53" t="s">
        <v>1745</v>
      </c>
      <c r="N244" t="str">
        <f t="shared" si="27"/>
        <v xml:space="preserve">
$20.00 + $0.00 (Shared Shipping) + $0.00 Tax = Total of $20.00</v>
      </c>
      <c r="O244" s="2">
        <f t="shared" si="28"/>
        <v>20</v>
      </c>
      <c r="P244" s="1">
        <f t="shared" si="33"/>
        <v>0</v>
      </c>
      <c r="Q244" s="1">
        <f t="shared" si="29"/>
        <v>20</v>
      </c>
      <c r="R244" s="1">
        <f t="shared" si="30"/>
        <v>0</v>
      </c>
      <c r="S244" s="1">
        <f t="shared" si="31"/>
        <v>20</v>
      </c>
      <c r="T244" s="1" t="e">
        <f>IFERROR(_xlfn.XLOOKUP(J244,Collection!A:A,Collection!D:D,0)/100/_xlfn.XLOOKUP(J244,Collection!A:A,Collection!J:J,0),_xlfn.XLOOKUP(J244,Sold!A:A,Sold!D:D,0)/100/_xlfn.XLOOKUP(J244,Sold!A:A,Sold!J:J,0))</f>
        <v>#DIV/0!</v>
      </c>
      <c r="U244" s="1">
        <f t="shared" si="32"/>
        <v>0</v>
      </c>
      <c r="V244" s="18">
        <f>COUNTIF(Collection!A:A,J244)+COUNTIF(Sold!A:A,J244)</f>
        <v>0</v>
      </c>
      <c r="W244" t="e">
        <f>IFERROR(_xlfn.TEXTAFTER(_xlfn.XLOOKUP(J244,Collection!A:A,Collection!C:C,),"Cards "),_xlfn.TEXTAFTER(_xlfn.XLOOKUP(J244,Sold!A:A,Sold!C:C,),"Cards "))</f>
        <v>#N/A</v>
      </c>
      <c r="X244" s="18" t="e">
        <f>IFERROR(_xlfn.XLOOKUP(J244,Collection!A:A,Collection!B:B,),_xlfn.XLOOKUP(J244,Sold!A:A,Sold!B:B,))</f>
        <v>#N/A</v>
      </c>
      <c r="Y244" s="53" t="s">
        <v>507</v>
      </c>
    </row>
    <row r="245" spans="2:25" x14ac:dyDescent="0.3">
      <c r="B245" s="10" t="s">
        <v>691</v>
      </c>
      <c r="C245" s="10" t="s">
        <v>1739</v>
      </c>
      <c r="D245" s="5">
        <v>46194</v>
      </c>
      <c r="E245" s="6" t="s">
        <v>789</v>
      </c>
      <c r="F245" s="4">
        <v>20</v>
      </c>
      <c r="G245" s="4">
        <v>5.48</v>
      </c>
      <c r="H245" s="4">
        <v>2.61</v>
      </c>
      <c r="I245" s="10" t="s">
        <v>509</v>
      </c>
      <c r="J245" s="10">
        <v>3225488</v>
      </c>
      <c r="K245" s="10">
        <v>8</v>
      </c>
      <c r="L245" s="16" t="s">
        <v>1747</v>
      </c>
      <c r="M245" s="55" t="s">
        <v>1748</v>
      </c>
      <c r="N245" t="str">
        <f t="shared" si="27"/>
        <v>ebay.com/itm/298423082887
$20.00 + $5.48 (Shared Shipping) + $2.61 Tax = Total of $28.09</v>
      </c>
      <c r="O245" s="2">
        <f t="shared" si="28"/>
        <v>28.09</v>
      </c>
      <c r="P245" s="1">
        <f t="shared" si="33"/>
        <v>5.48</v>
      </c>
      <c r="Q245" s="1">
        <f t="shared" si="29"/>
        <v>25.48</v>
      </c>
      <c r="R245" s="1">
        <f t="shared" si="30"/>
        <v>2.6116999999999999</v>
      </c>
      <c r="S245" s="1">
        <f t="shared" si="31"/>
        <v>28.091699999999999</v>
      </c>
      <c r="T245" s="1">
        <f>IFERROR(_xlfn.XLOOKUP(J245,Collection!A:A,Collection!D:D,0)/100/_xlfn.XLOOKUP(J245,Collection!A:A,Collection!J:J,0),_xlfn.XLOOKUP(J245,Sold!A:A,Sold!D:D,0)/100/_xlfn.XLOOKUP(J245,Sold!A:A,Sold!J:J,0))</f>
        <v>29.7</v>
      </c>
      <c r="U245" s="1">
        <f t="shared" si="32"/>
        <v>1.6082999999999998</v>
      </c>
      <c r="V245" s="18">
        <f>COUNTIF(Collection!A:A,J245)+COUNTIF(Sold!A:A,J245)</f>
        <v>1</v>
      </c>
      <c r="W245" t="str">
        <f>IFERROR(_xlfn.TEXTAFTER(_xlfn.XLOOKUP(J245,Collection!A:A,Collection!C:C,),"Cards "),_xlfn.TEXTAFTER(_xlfn.XLOOKUP(J245,Sold!A:A,Sold!C:C,),"Cards "))</f>
        <v>1994 E Motion</v>
      </c>
      <c r="X245" s="18" t="str">
        <f>IFERROR(_xlfn.XLOOKUP(J245,Collection!A:A,Collection!B:B,),_xlfn.XLOOKUP(J245,Sold!A:A,Sold!B:B,))</f>
        <v>Michael Jordan #100</v>
      </c>
      <c r="Y245" s="53" t="s">
        <v>507</v>
      </c>
    </row>
    <row r="246" spans="2:25" x14ac:dyDescent="0.3">
      <c r="B246" s="10" t="s">
        <v>691</v>
      </c>
      <c r="C246" s="10" t="s">
        <v>1733</v>
      </c>
      <c r="D246" s="5">
        <v>46157</v>
      </c>
      <c r="E246" s="10" t="s">
        <v>1733</v>
      </c>
      <c r="F246" s="4">
        <v>44.98</v>
      </c>
      <c r="G246" s="4">
        <v>0</v>
      </c>
      <c r="H246" s="4">
        <v>4.6100000000000003</v>
      </c>
      <c r="I246" s="10" t="s">
        <v>1734</v>
      </c>
      <c r="J246" s="10" t="s">
        <v>1045</v>
      </c>
      <c r="K246" s="10" t="s">
        <v>1828</v>
      </c>
      <c r="L246" s="16" t="s">
        <v>1741</v>
      </c>
      <c r="M246" s="53" t="s">
        <v>1746</v>
      </c>
      <c r="N246" t="str">
        <f t="shared" si="27"/>
        <v>amazon.com/your-orders/order-details?orderID=111-1931934-6931434&amp;ref=ppx_yo2ov_dt_b_fed_order_details
$44.98 + $0.00 (Shared Shipping) + $4.61 Tax = Total of $49.59</v>
      </c>
      <c r="O246" s="2">
        <f t="shared" si="28"/>
        <v>49.589999999999996</v>
      </c>
      <c r="P246" s="1">
        <f t="shared" si="33"/>
        <v>0</v>
      </c>
      <c r="Q246" s="1">
        <f t="shared" si="29"/>
        <v>44.98</v>
      </c>
      <c r="R246" s="1">
        <f t="shared" si="30"/>
        <v>4.6104499999999993</v>
      </c>
      <c r="S246" s="1">
        <f t="shared" si="31"/>
        <v>49.590449999999997</v>
      </c>
      <c r="T246" s="1" t="e">
        <f>IFERROR(_xlfn.XLOOKUP(J246,Collection!A:A,Collection!D:D,0)/100/_xlfn.XLOOKUP(J246,Collection!A:A,Collection!J:J,0),_xlfn.XLOOKUP(J246,Sold!A:A,Sold!D:D,0)/100/_xlfn.XLOOKUP(J246,Sold!A:A,Sold!J:J,0))</f>
        <v>#DIV/0!</v>
      </c>
      <c r="U246" s="1">
        <f t="shared" si="32"/>
        <v>0</v>
      </c>
      <c r="V246" s="18">
        <f>COUNTIF(Collection!A:A,J246)+COUNTIF(Sold!A:A,J246)</f>
        <v>0</v>
      </c>
      <c r="W246" t="e">
        <f>IFERROR(_xlfn.TEXTAFTER(_xlfn.XLOOKUP(J246,Collection!A:A,Collection!C:C,),"Cards "),_xlfn.TEXTAFTER(_xlfn.XLOOKUP(J246,Sold!A:A,Sold!C:C,),"Cards "))</f>
        <v>#N/A</v>
      </c>
      <c r="X246" s="18" t="e">
        <f>IFERROR(_xlfn.XLOOKUP(J246,Collection!A:A,Collection!B:B,),_xlfn.XLOOKUP(J246,Sold!A:A,Sold!B:B,))</f>
        <v>#N/A</v>
      </c>
      <c r="Y246" s="53" t="s">
        <v>507</v>
      </c>
    </row>
    <row r="247" spans="2:25" x14ac:dyDescent="0.3">
      <c r="B247" s="10" t="s">
        <v>691</v>
      </c>
      <c r="C247" s="10" t="s">
        <v>1749</v>
      </c>
      <c r="D247" s="5">
        <v>46132</v>
      </c>
      <c r="E247" s="6" t="s">
        <v>789</v>
      </c>
      <c r="F247" s="4">
        <v>69.989999999999995</v>
      </c>
      <c r="G247" s="4">
        <v>5.95</v>
      </c>
      <c r="H247" s="4">
        <v>7.78</v>
      </c>
      <c r="I247" s="10" t="s">
        <v>11</v>
      </c>
      <c r="J247" s="22">
        <v>108730</v>
      </c>
      <c r="K247" s="10">
        <v>45718822</v>
      </c>
      <c r="L247" s="16" t="s">
        <v>1750</v>
      </c>
      <c r="M247" s="53" t="s">
        <v>1752</v>
      </c>
      <c r="N247" t="str">
        <f t="shared" si="27"/>
        <v>ebay.com/itm/327090226621
$69.99 + $5.95 (Shared Shipping) + $7.78 Tax = Total of $83.72</v>
      </c>
      <c r="O247" s="2">
        <f t="shared" si="28"/>
        <v>83.72</v>
      </c>
      <c r="P247" s="1">
        <f t="shared" si="33"/>
        <v>5.95</v>
      </c>
      <c r="Q247" s="1">
        <f t="shared" si="29"/>
        <v>75.94</v>
      </c>
      <c r="R247" s="1">
        <f t="shared" si="30"/>
        <v>7.7838499999999993</v>
      </c>
      <c r="S247" s="1">
        <f t="shared" si="31"/>
        <v>83.723849999999999</v>
      </c>
      <c r="T247" s="1">
        <f>IFERROR(_xlfn.XLOOKUP(J247,Collection!A:A,Collection!D:D,0)/100/_xlfn.XLOOKUP(J247,Collection!A:A,Collection!J:J,0),_xlfn.XLOOKUP(J247,Sold!A:A,Sold!D:D,0)/100/_xlfn.XLOOKUP(J247,Sold!A:A,Sold!J:J,0))</f>
        <v>57.27</v>
      </c>
      <c r="U247" s="1">
        <f t="shared" si="32"/>
        <v>-26.453849999999996</v>
      </c>
      <c r="V247" s="18">
        <f>COUNTIF(Collection!A:A,J247)+COUNTIF(Sold!A:A,J247)</f>
        <v>2</v>
      </c>
      <c r="W247" t="str">
        <f>IFERROR(_xlfn.TEXTAFTER(_xlfn.XLOOKUP(J247,Collection!A:A,Collection!C:C,),"Cards "),_xlfn.TEXTAFTER(_xlfn.XLOOKUP(J247,Sold!A:A,Sold!C:C,),"Cards "))</f>
        <v>2018 Panini Donruss Optic</v>
      </c>
      <c r="X247" s="18" t="str">
        <f>IFERROR(_xlfn.XLOOKUP(J247,Collection!A:A,Collection!B:B,),_xlfn.XLOOKUP(J247,Sold!A:A,Sold!B:B,))</f>
        <v>Luka Doncic #177</v>
      </c>
      <c r="Y247" s="53" t="s">
        <v>507</v>
      </c>
    </row>
    <row r="248" spans="2:25" x14ac:dyDescent="0.3">
      <c r="B248" s="10" t="s">
        <v>691</v>
      </c>
      <c r="C248" s="10" t="s">
        <v>1751</v>
      </c>
      <c r="D248" s="5">
        <v>46130</v>
      </c>
      <c r="E248" s="6" t="s">
        <v>1045</v>
      </c>
      <c r="F248" s="4">
        <v>50</v>
      </c>
      <c r="G248" s="4">
        <v>0</v>
      </c>
      <c r="H248" s="4">
        <v>5.125</v>
      </c>
      <c r="I248" s="10" t="s">
        <v>11</v>
      </c>
      <c r="J248" s="22">
        <v>108730</v>
      </c>
      <c r="K248" s="10">
        <v>98</v>
      </c>
      <c r="L248" s="16" t="s">
        <v>1045</v>
      </c>
      <c r="M248" s="53" t="s">
        <v>1745</v>
      </c>
      <c r="N248" t="str">
        <f t="shared" si="27"/>
        <v xml:space="preserve">
$50.00 + $0.00 (Shared Shipping) + $5.13 Tax = Total of $55.13</v>
      </c>
      <c r="O248" s="2">
        <f t="shared" si="28"/>
        <v>55.125</v>
      </c>
      <c r="P248" s="1">
        <f t="shared" si="33"/>
        <v>0</v>
      </c>
      <c r="Q248" s="1">
        <f t="shared" si="29"/>
        <v>50</v>
      </c>
      <c r="R248" s="1">
        <f t="shared" si="30"/>
        <v>5.125</v>
      </c>
      <c r="S248" s="1">
        <f t="shared" si="31"/>
        <v>55.125</v>
      </c>
      <c r="T248" s="1">
        <f>IFERROR(_xlfn.XLOOKUP(J248,Collection!A:A,Collection!D:D,0)/100/_xlfn.XLOOKUP(J248,Collection!A:A,Collection!J:J,0),_xlfn.XLOOKUP(J248,Sold!A:A,Sold!D:D,0)/100/_xlfn.XLOOKUP(J248,Sold!A:A,Sold!J:J,0))</f>
        <v>57.27</v>
      </c>
      <c r="U248" s="1">
        <f t="shared" si="32"/>
        <v>2.1450000000000031</v>
      </c>
      <c r="V248" s="18">
        <f>COUNTIF(Collection!A:A,J248)+COUNTIF(Sold!A:A,J248)</f>
        <v>2</v>
      </c>
      <c r="W248" t="str">
        <f>IFERROR(_xlfn.TEXTAFTER(_xlfn.XLOOKUP(J248,Collection!A:A,Collection!C:C,),"Cards "),_xlfn.TEXTAFTER(_xlfn.XLOOKUP(J248,Sold!A:A,Sold!C:C,),"Cards "))</f>
        <v>2018 Panini Donruss Optic</v>
      </c>
      <c r="X248" s="18" t="str">
        <f>IFERROR(_xlfn.XLOOKUP(J248,Collection!A:A,Collection!B:B,),_xlfn.XLOOKUP(J248,Sold!A:A,Sold!B:B,))</f>
        <v>Luka Doncic #177</v>
      </c>
      <c r="Y248" s="53" t="s">
        <v>507</v>
      </c>
    </row>
    <row r="250" spans="2:25" x14ac:dyDescent="0.3">
      <c r="D250" s="70"/>
      <c r="J250" s="8">
        <f>+L250+Collection!AC1</f>
        <v>614</v>
      </c>
      <c r="K250" s="10" t="s">
        <v>1818</v>
      </c>
      <c r="L250" s="70" cm="1">
        <f t="array" ref="L250:L863">_xlfn._xlws.SORT(_xlfn.UNIQUE(_xlfn._xlws.FILTER(
    _xlfn.VSTACK(Collection!N1:N999, Sold!N1:N1000),
    (_xlfn.VSTACK(Collection!N1:N999, Sold!N1:N1000)&lt;1000) * (_xlfn.VSTACK(Collection!N1:N999, Sold!N1:N1000)&lt;&gt;"")
)),,-1)</f>
        <v>614</v>
      </c>
      <c r="M250">
        <f>L250</f>
        <v>614</v>
      </c>
      <c r="N250">
        <f>L250-M250</f>
        <v>0</v>
      </c>
    </row>
    <row r="251" spans="2:25" x14ac:dyDescent="0.3">
      <c r="D251"/>
      <c r="J251"/>
      <c r="K251"/>
      <c r="L251">
        <v>613</v>
      </c>
      <c r="M251">
        <f>+M250-1</f>
        <v>613</v>
      </c>
      <c r="N251">
        <f t="shared" ref="N251:N314" si="34">L251-M251</f>
        <v>0</v>
      </c>
    </row>
    <row r="252" spans="2:25" x14ac:dyDescent="0.3">
      <c r="D252" s="70"/>
      <c r="J252"/>
      <c r="K252"/>
      <c r="L252">
        <v>612</v>
      </c>
      <c r="M252">
        <f t="shared" ref="M252:M315" si="35">+M251-1</f>
        <v>612</v>
      </c>
      <c r="N252">
        <f t="shared" si="34"/>
        <v>0</v>
      </c>
    </row>
    <row r="253" spans="2:25" x14ac:dyDescent="0.3">
      <c r="D253"/>
      <c r="J253"/>
      <c r="K253"/>
      <c r="L253">
        <v>611</v>
      </c>
      <c r="M253">
        <f t="shared" si="35"/>
        <v>611</v>
      </c>
      <c r="N253">
        <f t="shared" si="34"/>
        <v>0</v>
      </c>
    </row>
    <row r="254" spans="2:25" x14ac:dyDescent="0.3">
      <c r="D254" s="70"/>
      <c r="J254"/>
      <c r="K254"/>
      <c r="L254">
        <v>610</v>
      </c>
      <c r="M254">
        <f t="shared" si="35"/>
        <v>610</v>
      </c>
      <c r="N254">
        <f t="shared" si="34"/>
        <v>0</v>
      </c>
    </row>
    <row r="255" spans="2:25" x14ac:dyDescent="0.3">
      <c r="D255"/>
      <c r="J255"/>
      <c r="K255"/>
      <c r="L255">
        <v>609</v>
      </c>
      <c r="M255">
        <f t="shared" si="35"/>
        <v>609</v>
      </c>
      <c r="N255">
        <f t="shared" si="34"/>
        <v>0</v>
      </c>
    </row>
    <row r="256" spans="2:25" x14ac:dyDescent="0.3">
      <c r="D256" s="70"/>
      <c r="J256"/>
      <c r="K256"/>
      <c r="L256">
        <v>608</v>
      </c>
      <c r="M256">
        <f t="shared" si="35"/>
        <v>608</v>
      </c>
      <c r="N256">
        <f t="shared" si="34"/>
        <v>0</v>
      </c>
    </row>
    <row r="257" spans="4:14" x14ac:dyDescent="0.3">
      <c r="D257"/>
      <c r="J257"/>
      <c r="K257"/>
      <c r="L257">
        <v>607</v>
      </c>
      <c r="M257">
        <f t="shared" si="35"/>
        <v>607</v>
      </c>
      <c r="N257">
        <f t="shared" si="34"/>
        <v>0</v>
      </c>
    </row>
    <row r="258" spans="4:14" x14ac:dyDescent="0.3">
      <c r="D258" s="70"/>
      <c r="J258"/>
      <c r="K258"/>
      <c r="L258">
        <v>606</v>
      </c>
      <c r="M258">
        <f t="shared" si="35"/>
        <v>606</v>
      </c>
      <c r="N258">
        <f t="shared" si="34"/>
        <v>0</v>
      </c>
    </row>
    <row r="259" spans="4:14" x14ac:dyDescent="0.3">
      <c r="D259"/>
      <c r="J259"/>
      <c r="K259"/>
      <c r="L259">
        <v>605</v>
      </c>
      <c r="M259">
        <f t="shared" si="35"/>
        <v>605</v>
      </c>
      <c r="N259">
        <f t="shared" si="34"/>
        <v>0</v>
      </c>
    </row>
    <row r="260" spans="4:14" x14ac:dyDescent="0.3">
      <c r="D260" s="70"/>
      <c r="J260"/>
      <c r="K260"/>
      <c r="L260">
        <v>604</v>
      </c>
      <c r="M260">
        <f t="shared" si="35"/>
        <v>604</v>
      </c>
      <c r="N260">
        <f t="shared" si="34"/>
        <v>0</v>
      </c>
    </row>
    <row r="261" spans="4:14" x14ac:dyDescent="0.3">
      <c r="D261"/>
      <c r="J261"/>
      <c r="K261"/>
      <c r="L261">
        <v>603</v>
      </c>
      <c r="M261">
        <f t="shared" si="35"/>
        <v>603</v>
      </c>
      <c r="N261">
        <f t="shared" si="34"/>
        <v>0</v>
      </c>
    </row>
    <row r="262" spans="4:14" x14ac:dyDescent="0.3">
      <c r="D262" s="70"/>
      <c r="J262"/>
      <c r="K262"/>
      <c r="L262">
        <v>602</v>
      </c>
      <c r="M262">
        <f t="shared" si="35"/>
        <v>602</v>
      </c>
      <c r="N262">
        <f t="shared" si="34"/>
        <v>0</v>
      </c>
    </row>
    <row r="263" spans="4:14" x14ac:dyDescent="0.3">
      <c r="D263"/>
      <c r="J263"/>
      <c r="K263"/>
      <c r="L263">
        <v>601</v>
      </c>
      <c r="M263">
        <f t="shared" si="35"/>
        <v>601</v>
      </c>
      <c r="N263">
        <f t="shared" si="34"/>
        <v>0</v>
      </c>
    </row>
    <row r="264" spans="4:14" x14ac:dyDescent="0.3">
      <c r="D264" s="70"/>
      <c r="J264"/>
      <c r="K264"/>
      <c r="L264">
        <v>600</v>
      </c>
      <c r="M264">
        <f t="shared" si="35"/>
        <v>600</v>
      </c>
      <c r="N264">
        <f t="shared" si="34"/>
        <v>0</v>
      </c>
    </row>
    <row r="265" spans="4:14" x14ac:dyDescent="0.3">
      <c r="D265"/>
      <c r="J265"/>
      <c r="K265"/>
      <c r="L265">
        <v>599</v>
      </c>
      <c r="M265">
        <f t="shared" si="35"/>
        <v>599</v>
      </c>
      <c r="N265">
        <f t="shared" si="34"/>
        <v>0</v>
      </c>
    </row>
    <row r="266" spans="4:14" x14ac:dyDescent="0.3">
      <c r="D266" s="70"/>
      <c r="J266"/>
      <c r="K266"/>
      <c r="L266">
        <v>598</v>
      </c>
      <c r="M266">
        <f t="shared" si="35"/>
        <v>598</v>
      </c>
      <c r="N266">
        <f t="shared" si="34"/>
        <v>0</v>
      </c>
    </row>
    <row r="267" spans="4:14" x14ac:dyDescent="0.3">
      <c r="D267"/>
      <c r="J267"/>
      <c r="K267"/>
      <c r="L267">
        <v>597</v>
      </c>
      <c r="M267">
        <f t="shared" si="35"/>
        <v>597</v>
      </c>
      <c r="N267">
        <f t="shared" si="34"/>
        <v>0</v>
      </c>
    </row>
    <row r="268" spans="4:14" x14ac:dyDescent="0.3">
      <c r="D268" s="70"/>
      <c r="J268"/>
      <c r="K268"/>
      <c r="L268">
        <v>596</v>
      </c>
      <c r="M268">
        <f t="shared" si="35"/>
        <v>596</v>
      </c>
      <c r="N268">
        <f t="shared" si="34"/>
        <v>0</v>
      </c>
    </row>
    <row r="269" spans="4:14" x14ac:dyDescent="0.3">
      <c r="D269"/>
      <c r="J269"/>
      <c r="K269"/>
      <c r="L269">
        <v>595</v>
      </c>
      <c r="M269">
        <f t="shared" si="35"/>
        <v>595</v>
      </c>
      <c r="N269">
        <f t="shared" si="34"/>
        <v>0</v>
      </c>
    </row>
    <row r="270" spans="4:14" x14ac:dyDescent="0.3">
      <c r="D270" s="70"/>
      <c r="J270"/>
      <c r="K270"/>
      <c r="L270">
        <v>594</v>
      </c>
      <c r="M270">
        <f t="shared" si="35"/>
        <v>594</v>
      </c>
      <c r="N270">
        <f t="shared" si="34"/>
        <v>0</v>
      </c>
    </row>
    <row r="271" spans="4:14" x14ac:dyDescent="0.3">
      <c r="D271"/>
      <c r="J271"/>
      <c r="K271"/>
      <c r="L271">
        <v>593</v>
      </c>
      <c r="M271">
        <f t="shared" si="35"/>
        <v>593</v>
      </c>
      <c r="N271">
        <f t="shared" si="34"/>
        <v>0</v>
      </c>
    </row>
    <row r="272" spans="4:14" x14ac:dyDescent="0.3">
      <c r="D272" s="70"/>
      <c r="J272"/>
      <c r="K272"/>
      <c r="L272">
        <v>592</v>
      </c>
      <c r="M272">
        <f t="shared" si="35"/>
        <v>592</v>
      </c>
      <c r="N272">
        <f t="shared" si="34"/>
        <v>0</v>
      </c>
    </row>
    <row r="273" spans="4:14" x14ac:dyDescent="0.3">
      <c r="D273"/>
      <c r="J273"/>
      <c r="K273"/>
      <c r="L273">
        <v>591</v>
      </c>
      <c r="M273">
        <f t="shared" si="35"/>
        <v>591</v>
      </c>
      <c r="N273">
        <f t="shared" si="34"/>
        <v>0</v>
      </c>
    </row>
    <row r="274" spans="4:14" x14ac:dyDescent="0.3">
      <c r="D274" s="70"/>
      <c r="J274"/>
      <c r="K274"/>
      <c r="L274">
        <v>590</v>
      </c>
      <c r="M274">
        <f t="shared" si="35"/>
        <v>590</v>
      </c>
      <c r="N274">
        <f t="shared" si="34"/>
        <v>0</v>
      </c>
    </row>
    <row r="275" spans="4:14" x14ac:dyDescent="0.3">
      <c r="D275"/>
      <c r="J275"/>
      <c r="K275"/>
      <c r="L275">
        <v>589</v>
      </c>
      <c r="M275">
        <f t="shared" si="35"/>
        <v>589</v>
      </c>
      <c r="N275">
        <f t="shared" si="34"/>
        <v>0</v>
      </c>
    </row>
    <row r="276" spans="4:14" x14ac:dyDescent="0.3">
      <c r="D276" s="70"/>
      <c r="J276"/>
      <c r="K276"/>
      <c r="L276">
        <v>588</v>
      </c>
      <c r="M276">
        <f t="shared" si="35"/>
        <v>588</v>
      </c>
      <c r="N276">
        <f t="shared" si="34"/>
        <v>0</v>
      </c>
    </row>
    <row r="277" spans="4:14" x14ac:dyDescent="0.3">
      <c r="D277"/>
      <c r="J277"/>
      <c r="K277"/>
      <c r="L277">
        <v>587</v>
      </c>
      <c r="M277">
        <f t="shared" si="35"/>
        <v>587</v>
      </c>
      <c r="N277">
        <f t="shared" si="34"/>
        <v>0</v>
      </c>
    </row>
    <row r="278" spans="4:14" x14ac:dyDescent="0.3">
      <c r="D278" s="70"/>
      <c r="J278"/>
      <c r="K278"/>
      <c r="L278">
        <v>586</v>
      </c>
      <c r="M278">
        <f t="shared" si="35"/>
        <v>586</v>
      </c>
      <c r="N278">
        <f t="shared" si="34"/>
        <v>0</v>
      </c>
    </row>
    <row r="279" spans="4:14" x14ac:dyDescent="0.3">
      <c r="D279"/>
      <c r="J279"/>
      <c r="K279"/>
      <c r="L279">
        <v>585</v>
      </c>
      <c r="M279">
        <f t="shared" si="35"/>
        <v>585</v>
      </c>
      <c r="N279">
        <f t="shared" si="34"/>
        <v>0</v>
      </c>
    </row>
    <row r="280" spans="4:14" x14ac:dyDescent="0.3">
      <c r="D280" s="70"/>
      <c r="J280"/>
      <c r="K280"/>
      <c r="L280">
        <v>584</v>
      </c>
      <c r="M280">
        <f t="shared" si="35"/>
        <v>584</v>
      </c>
      <c r="N280">
        <f t="shared" si="34"/>
        <v>0</v>
      </c>
    </row>
    <row r="281" spans="4:14" x14ac:dyDescent="0.3">
      <c r="D281"/>
      <c r="J281"/>
      <c r="K281"/>
      <c r="L281">
        <v>583</v>
      </c>
      <c r="M281">
        <f t="shared" si="35"/>
        <v>583</v>
      </c>
      <c r="N281">
        <f t="shared" si="34"/>
        <v>0</v>
      </c>
    </row>
    <row r="282" spans="4:14" x14ac:dyDescent="0.3">
      <c r="D282" s="70"/>
      <c r="J282"/>
      <c r="K282"/>
      <c r="L282">
        <v>582</v>
      </c>
      <c r="M282">
        <f t="shared" si="35"/>
        <v>582</v>
      </c>
      <c r="N282">
        <f t="shared" si="34"/>
        <v>0</v>
      </c>
    </row>
    <row r="283" spans="4:14" x14ac:dyDescent="0.3">
      <c r="D283"/>
      <c r="J283"/>
      <c r="K283"/>
      <c r="L283">
        <v>581</v>
      </c>
      <c r="M283">
        <f t="shared" si="35"/>
        <v>581</v>
      </c>
      <c r="N283">
        <f t="shared" si="34"/>
        <v>0</v>
      </c>
    </row>
    <row r="284" spans="4:14" x14ac:dyDescent="0.3">
      <c r="D284" s="70"/>
      <c r="J284"/>
      <c r="K284"/>
      <c r="L284">
        <v>580</v>
      </c>
      <c r="M284">
        <f t="shared" si="35"/>
        <v>580</v>
      </c>
      <c r="N284">
        <f t="shared" si="34"/>
        <v>0</v>
      </c>
    </row>
    <row r="285" spans="4:14" x14ac:dyDescent="0.3">
      <c r="D285"/>
      <c r="J285"/>
      <c r="K285"/>
      <c r="L285">
        <v>579</v>
      </c>
      <c r="M285">
        <f t="shared" si="35"/>
        <v>579</v>
      </c>
      <c r="N285">
        <f t="shared" si="34"/>
        <v>0</v>
      </c>
    </row>
    <row r="286" spans="4:14" x14ac:dyDescent="0.3">
      <c r="D286" s="70"/>
      <c r="J286"/>
      <c r="K286"/>
      <c r="L286">
        <v>578</v>
      </c>
      <c r="M286">
        <f t="shared" si="35"/>
        <v>578</v>
      </c>
      <c r="N286">
        <f t="shared" si="34"/>
        <v>0</v>
      </c>
    </row>
    <row r="287" spans="4:14" x14ac:dyDescent="0.3">
      <c r="D287"/>
      <c r="J287"/>
      <c r="K287"/>
      <c r="L287">
        <v>577</v>
      </c>
      <c r="M287">
        <f t="shared" si="35"/>
        <v>577</v>
      </c>
      <c r="N287">
        <f t="shared" si="34"/>
        <v>0</v>
      </c>
    </row>
    <row r="288" spans="4:14" x14ac:dyDescent="0.3">
      <c r="D288" s="70"/>
      <c r="J288"/>
      <c r="K288"/>
      <c r="L288">
        <v>576</v>
      </c>
      <c r="M288">
        <f t="shared" si="35"/>
        <v>576</v>
      </c>
      <c r="N288">
        <f t="shared" si="34"/>
        <v>0</v>
      </c>
    </row>
    <row r="289" spans="4:14" x14ac:dyDescent="0.3">
      <c r="D289"/>
      <c r="J289"/>
      <c r="K289"/>
      <c r="L289">
        <v>575</v>
      </c>
      <c r="M289">
        <f t="shared" si="35"/>
        <v>575</v>
      </c>
      <c r="N289">
        <f t="shared" si="34"/>
        <v>0</v>
      </c>
    </row>
    <row r="290" spans="4:14" x14ac:dyDescent="0.3">
      <c r="D290" s="70"/>
      <c r="J290"/>
      <c r="K290"/>
      <c r="L290">
        <v>574</v>
      </c>
      <c r="M290">
        <f t="shared" si="35"/>
        <v>574</v>
      </c>
      <c r="N290">
        <f t="shared" si="34"/>
        <v>0</v>
      </c>
    </row>
    <row r="291" spans="4:14" x14ac:dyDescent="0.3">
      <c r="D291"/>
      <c r="J291"/>
      <c r="K291"/>
      <c r="L291">
        <v>573</v>
      </c>
      <c r="M291">
        <f t="shared" si="35"/>
        <v>573</v>
      </c>
      <c r="N291">
        <f t="shared" si="34"/>
        <v>0</v>
      </c>
    </row>
    <row r="292" spans="4:14" x14ac:dyDescent="0.3">
      <c r="D292" s="70"/>
      <c r="J292"/>
      <c r="K292"/>
      <c r="L292">
        <v>572</v>
      </c>
      <c r="M292">
        <f t="shared" si="35"/>
        <v>572</v>
      </c>
      <c r="N292">
        <f t="shared" si="34"/>
        <v>0</v>
      </c>
    </row>
    <row r="293" spans="4:14" x14ac:dyDescent="0.3">
      <c r="D293"/>
      <c r="J293"/>
      <c r="K293"/>
      <c r="L293">
        <v>571</v>
      </c>
      <c r="M293">
        <f t="shared" si="35"/>
        <v>571</v>
      </c>
      <c r="N293">
        <f t="shared" si="34"/>
        <v>0</v>
      </c>
    </row>
    <row r="294" spans="4:14" x14ac:dyDescent="0.3">
      <c r="D294" s="70"/>
      <c r="J294"/>
      <c r="K294"/>
      <c r="L294">
        <v>570</v>
      </c>
      <c r="M294">
        <f t="shared" si="35"/>
        <v>570</v>
      </c>
      <c r="N294">
        <f t="shared" si="34"/>
        <v>0</v>
      </c>
    </row>
    <row r="295" spans="4:14" x14ac:dyDescent="0.3">
      <c r="D295"/>
      <c r="J295"/>
      <c r="K295"/>
      <c r="L295">
        <v>569</v>
      </c>
      <c r="M295">
        <f t="shared" si="35"/>
        <v>569</v>
      </c>
      <c r="N295">
        <f t="shared" si="34"/>
        <v>0</v>
      </c>
    </row>
    <row r="296" spans="4:14" x14ac:dyDescent="0.3">
      <c r="D296" s="70"/>
      <c r="J296"/>
      <c r="K296"/>
      <c r="L296">
        <v>568</v>
      </c>
      <c r="M296">
        <f t="shared" si="35"/>
        <v>568</v>
      </c>
      <c r="N296">
        <f t="shared" si="34"/>
        <v>0</v>
      </c>
    </row>
    <row r="297" spans="4:14" x14ac:dyDescent="0.3">
      <c r="D297"/>
      <c r="J297"/>
      <c r="K297"/>
      <c r="L297">
        <v>567</v>
      </c>
      <c r="M297">
        <f t="shared" si="35"/>
        <v>567</v>
      </c>
      <c r="N297">
        <f t="shared" si="34"/>
        <v>0</v>
      </c>
    </row>
    <row r="298" spans="4:14" x14ac:dyDescent="0.3">
      <c r="D298" s="70"/>
      <c r="J298"/>
      <c r="K298"/>
      <c r="L298">
        <v>566</v>
      </c>
      <c r="M298">
        <f t="shared" si="35"/>
        <v>566</v>
      </c>
      <c r="N298">
        <f t="shared" si="34"/>
        <v>0</v>
      </c>
    </row>
    <row r="299" spans="4:14" x14ac:dyDescent="0.3">
      <c r="D299"/>
      <c r="J299"/>
      <c r="K299"/>
      <c r="L299">
        <v>565</v>
      </c>
      <c r="M299">
        <f t="shared" si="35"/>
        <v>565</v>
      </c>
      <c r="N299">
        <f t="shared" si="34"/>
        <v>0</v>
      </c>
    </row>
    <row r="300" spans="4:14" x14ac:dyDescent="0.3">
      <c r="D300" s="70"/>
      <c r="J300"/>
      <c r="K300"/>
      <c r="L300">
        <v>564</v>
      </c>
      <c r="M300">
        <f t="shared" si="35"/>
        <v>564</v>
      </c>
      <c r="N300">
        <f t="shared" si="34"/>
        <v>0</v>
      </c>
    </row>
    <row r="301" spans="4:14" x14ac:dyDescent="0.3">
      <c r="D301"/>
      <c r="J301"/>
      <c r="K301"/>
      <c r="L301">
        <v>563</v>
      </c>
      <c r="M301">
        <f t="shared" si="35"/>
        <v>563</v>
      </c>
      <c r="N301">
        <f t="shared" si="34"/>
        <v>0</v>
      </c>
    </row>
    <row r="302" spans="4:14" x14ac:dyDescent="0.3">
      <c r="D302" s="70"/>
      <c r="J302"/>
      <c r="K302"/>
      <c r="L302">
        <v>562</v>
      </c>
      <c r="M302">
        <f t="shared" si="35"/>
        <v>562</v>
      </c>
      <c r="N302">
        <f t="shared" si="34"/>
        <v>0</v>
      </c>
    </row>
    <row r="303" spans="4:14" x14ac:dyDescent="0.3">
      <c r="D303"/>
      <c r="J303"/>
      <c r="K303"/>
      <c r="L303">
        <v>561</v>
      </c>
      <c r="M303">
        <f t="shared" si="35"/>
        <v>561</v>
      </c>
      <c r="N303">
        <f t="shared" si="34"/>
        <v>0</v>
      </c>
    </row>
    <row r="304" spans="4:14" x14ac:dyDescent="0.3">
      <c r="D304" s="70"/>
      <c r="J304"/>
      <c r="K304"/>
      <c r="L304">
        <v>560</v>
      </c>
      <c r="M304">
        <f t="shared" si="35"/>
        <v>560</v>
      </c>
      <c r="N304">
        <f t="shared" si="34"/>
        <v>0</v>
      </c>
    </row>
    <row r="305" spans="4:14" x14ac:dyDescent="0.3">
      <c r="D305"/>
      <c r="J305"/>
      <c r="K305"/>
      <c r="L305">
        <v>559</v>
      </c>
      <c r="M305">
        <f t="shared" si="35"/>
        <v>559</v>
      </c>
      <c r="N305">
        <f t="shared" si="34"/>
        <v>0</v>
      </c>
    </row>
    <row r="306" spans="4:14" x14ac:dyDescent="0.3">
      <c r="D306" s="70"/>
      <c r="J306"/>
      <c r="K306"/>
      <c r="L306">
        <v>558</v>
      </c>
      <c r="M306">
        <f t="shared" si="35"/>
        <v>558</v>
      </c>
      <c r="N306">
        <f t="shared" si="34"/>
        <v>0</v>
      </c>
    </row>
    <row r="307" spans="4:14" x14ac:dyDescent="0.3">
      <c r="D307"/>
      <c r="J307"/>
      <c r="K307"/>
      <c r="L307">
        <v>557</v>
      </c>
      <c r="M307">
        <f t="shared" si="35"/>
        <v>557</v>
      </c>
      <c r="N307">
        <f t="shared" si="34"/>
        <v>0</v>
      </c>
    </row>
    <row r="308" spans="4:14" x14ac:dyDescent="0.3">
      <c r="D308" s="70"/>
      <c r="J308"/>
      <c r="K308"/>
      <c r="L308">
        <v>556</v>
      </c>
      <c r="M308">
        <f t="shared" si="35"/>
        <v>556</v>
      </c>
      <c r="N308">
        <f t="shared" si="34"/>
        <v>0</v>
      </c>
    </row>
    <row r="309" spans="4:14" x14ac:dyDescent="0.3">
      <c r="D309"/>
      <c r="J309"/>
      <c r="K309"/>
      <c r="L309">
        <v>555</v>
      </c>
      <c r="M309">
        <f t="shared" si="35"/>
        <v>555</v>
      </c>
      <c r="N309">
        <f t="shared" si="34"/>
        <v>0</v>
      </c>
    </row>
    <row r="310" spans="4:14" x14ac:dyDescent="0.3">
      <c r="D310" s="70"/>
      <c r="J310"/>
      <c r="K310"/>
      <c r="L310">
        <v>554</v>
      </c>
      <c r="M310">
        <f t="shared" si="35"/>
        <v>554</v>
      </c>
      <c r="N310">
        <f t="shared" si="34"/>
        <v>0</v>
      </c>
    </row>
    <row r="311" spans="4:14" x14ac:dyDescent="0.3">
      <c r="D311"/>
      <c r="J311"/>
      <c r="K311"/>
      <c r="L311">
        <v>553</v>
      </c>
      <c r="M311">
        <f t="shared" si="35"/>
        <v>553</v>
      </c>
      <c r="N311">
        <f t="shared" si="34"/>
        <v>0</v>
      </c>
    </row>
    <row r="312" spans="4:14" x14ac:dyDescent="0.3">
      <c r="D312" s="70"/>
      <c r="J312"/>
      <c r="K312"/>
      <c r="L312">
        <v>552</v>
      </c>
      <c r="M312">
        <f t="shared" si="35"/>
        <v>552</v>
      </c>
      <c r="N312">
        <f t="shared" si="34"/>
        <v>0</v>
      </c>
    </row>
    <row r="313" spans="4:14" x14ac:dyDescent="0.3">
      <c r="D313"/>
      <c r="J313"/>
      <c r="K313"/>
      <c r="L313">
        <v>551</v>
      </c>
      <c r="M313">
        <f t="shared" si="35"/>
        <v>551</v>
      </c>
      <c r="N313">
        <f t="shared" si="34"/>
        <v>0</v>
      </c>
    </row>
    <row r="314" spans="4:14" x14ac:dyDescent="0.3">
      <c r="D314" s="70"/>
      <c r="J314"/>
      <c r="K314"/>
      <c r="L314">
        <v>550</v>
      </c>
      <c r="M314">
        <f t="shared" si="35"/>
        <v>550</v>
      </c>
      <c r="N314">
        <f t="shared" si="34"/>
        <v>0</v>
      </c>
    </row>
    <row r="315" spans="4:14" x14ac:dyDescent="0.3">
      <c r="D315"/>
      <c r="J315"/>
      <c r="K315"/>
      <c r="L315">
        <v>549</v>
      </c>
      <c r="M315">
        <f t="shared" si="35"/>
        <v>549</v>
      </c>
      <c r="N315">
        <f t="shared" ref="N315:N378" si="36">L315-M315</f>
        <v>0</v>
      </c>
    </row>
    <row r="316" spans="4:14" x14ac:dyDescent="0.3">
      <c r="D316" s="70"/>
      <c r="J316"/>
      <c r="K316"/>
      <c r="L316">
        <v>548</v>
      </c>
      <c r="M316">
        <f t="shared" ref="M316:M379" si="37">+M315-1</f>
        <v>548</v>
      </c>
      <c r="N316">
        <f t="shared" si="36"/>
        <v>0</v>
      </c>
    </row>
    <row r="317" spans="4:14" x14ac:dyDescent="0.3">
      <c r="D317"/>
      <c r="J317"/>
      <c r="K317"/>
      <c r="L317">
        <v>547</v>
      </c>
      <c r="M317">
        <f t="shared" si="37"/>
        <v>547</v>
      </c>
      <c r="N317">
        <f t="shared" si="36"/>
        <v>0</v>
      </c>
    </row>
    <row r="318" spans="4:14" x14ac:dyDescent="0.3">
      <c r="D318" s="70"/>
      <c r="J318"/>
      <c r="K318"/>
      <c r="L318">
        <v>546</v>
      </c>
      <c r="M318">
        <f t="shared" si="37"/>
        <v>546</v>
      </c>
      <c r="N318">
        <f t="shared" si="36"/>
        <v>0</v>
      </c>
    </row>
    <row r="319" spans="4:14" x14ac:dyDescent="0.3">
      <c r="D319"/>
      <c r="J319"/>
      <c r="K319"/>
      <c r="L319">
        <v>545</v>
      </c>
      <c r="M319">
        <f t="shared" si="37"/>
        <v>545</v>
      </c>
      <c r="N319">
        <f t="shared" si="36"/>
        <v>0</v>
      </c>
    </row>
    <row r="320" spans="4:14" x14ac:dyDescent="0.3">
      <c r="D320" s="70"/>
      <c r="J320"/>
      <c r="K320"/>
      <c r="L320">
        <v>544</v>
      </c>
      <c r="M320">
        <f t="shared" si="37"/>
        <v>544</v>
      </c>
      <c r="N320">
        <f t="shared" si="36"/>
        <v>0</v>
      </c>
    </row>
    <row r="321" spans="4:14" x14ac:dyDescent="0.3">
      <c r="D321"/>
      <c r="J321"/>
      <c r="K321"/>
      <c r="L321">
        <v>543</v>
      </c>
      <c r="M321">
        <f t="shared" si="37"/>
        <v>543</v>
      </c>
      <c r="N321">
        <f t="shared" si="36"/>
        <v>0</v>
      </c>
    </row>
    <row r="322" spans="4:14" x14ac:dyDescent="0.3">
      <c r="D322" s="70"/>
      <c r="J322"/>
      <c r="K322"/>
      <c r="L322">
        <v>542</v>
      </c>
      <c r="M322">
        <f t="shared" si="37"/>
        <v>542</v>
      </c>
      <c r="N322">
        <f t="shared" si="36"/>
        <v>0</v>
      </c>
    </row>
    <row r="323" spans="4:14" x14ac:dyDescent="0.3">
      <c r="D323"/>
      <c r="J323"/>
      <c r="K323"/>
      <c r="L323">
        <v>541</v>
      </c>
      <c r="M323">
        <f t="shared" si="37"/>
        <v>541</v>
      </c>
      <c r="N323">
        <f t="shared" si="36"/>
        <v>0</v>
      </c>
    </row>
    <row r="324" spans="4:14" x14ac:dyDescent="0.3">
      <c r="D324" s="70"/>
      <c r="J324"/>
      <c r="K324"/>
      <c r="L324">
        <v>540</v>
      </c>
      <c r="M324">
        <f t="shared" si="37"/>
        <v>540</v>
      </c>
      <c r="N324">
        <f t="shared" si="36"/>
        <v>0</v>
      </c>
    </row>
    <row r="325" spans="4:14" x14ac:dyDescent="0.3">
      <c r="D325"/>
      <c r="J325"/>
      <c r="K325"/>
      <c r="L325">
        <v>539</v>
      </c>
      <c r="M325">
        <f t="shared" si="37"/>
        <v>539</v>
      </c>
      <c r="N325">
        <f t="shared" si="36"/>
        <v>0</v>
      </c>
    </row>
    <row r="326" spans="4:14" x14ac:dyDescent="0.3">
      <c r="D326" s="70"/>
      <c r="J326"/>
      <c r="K326"/>
      <c r="L326">
        <v>538</v>
      </c>
      <c r="M326">
        <f t="shared" si="37"/>
        <v>538</v>
      </c>
      <c r="N326">
        <f t="shared" si="36"/>
        <v>0</v>
      </c>
    </row>
    <row r="327" spans="4:14" x14ac:dyDescent="0.3">
      <c r="D327"/>
      <c r="J327"/>
      <c r="K327"/>
      <c r="L327">
        <v>537</v>
      </c>
      <c r="M327">
        <f t="shared" si="37"/>
        <v>537</v>
      </c>
      <c r="N327">
        <f t="shared" si="36"/>
        <v>0</v>
      </c>
    </row>
    <row r="328" spans="4:14" x14ac:dyDescent="0.3">
      <c r="D328" s="70"/>
      <c r="J328"/>
      <c r="K328"/>
      <c r="L328">
        <v>536</v>
      </c>
      <c r="M328">
        <f t="shared" si="37"/>
        <v>536</v>
      </c>
      <c r="N328">
        <f t="shared" si="36"/>
        <v>0</v>
      </c>
    </row>
    <row r="329" spans="4:14" x14ac:dyDescent="0.3">
      <c r="D329"/>
      <c r="J329"/>
      <c r="K329"/>
      <c r="L329">
        <v>535</v>
      </c>
      <c r="M329">
        <f t="shared" si="37"/>
        <v>535</v>
      </c>
      <c r="N329">
        <f t="shared" si="36"/>
        <v>0</v>
      </c>
    </row>
    <row r="330" spans="4:14" x14ac:dyDescent="0.3">
      <c r="D330" s="70"/>
      <c r="J330"/>
      <c r="K330"/>
      <c r="L330">
        <v>534</v>
      </c>
      <c r="M330">
        <f t="shared" si="37"/>
        <v>534</v>
      </c>
      <c r="N330">
        <f t="shared" si="36"/>
        <v>0</v>
      </c>
    </row>
    <row r="331" spans="4:14" x14ac:dyDescent="0.3">
      <c r="D331"/>
      <c r="J331"/>
      <c r="K331"/>
      <c r="L331">
        <v>533</v>
      </c>
      <c r="M331">
        <f t="shared" si="37"/>
        <v>533</v>
      </c>
      <c r="N331">
        <f t="shared" si="36"/>
        <v>0</v>
      </c>
    </row>
    <row r="332" spans="4:14" x14ac:dyDescent="0.3">
      <c r="D332" s="70"/>
      <c r="J332"/>
      <c r="K332"/>
      <c r="L332">
        <v>532</v>
      </c>
      <c r="M332">
        <f t="shared" si="37"/>
        <v>532</v>
      </c>
      <c r="N332">
        <f t="shared" si="36"/>
        <v>0</v>
      </c>
    </row>
    <row r="333" spans="4:14" x14ac:dyDescent="0.3">
      <c r="D333"/>
      <c r="J333"/>
      <c r="K333"/>
      <c r="L333">
        <v>531</v>
      </c>
      <c r="M333">
        <f t="shared" si="37"/>
        <v>531</v>
      </c>
      <c r="N333">
        <f t="shared" si="36"/>
        <v>0</v>
      </c>
    </row>
    <row r="334" spans="4:14" x14ac:dyDescent="0.3">
      <c r="D334" s="70"/>
      <c r="J334"/>
      <c r="K334"/>
      <c r="L334">
        <v>530</v>
      </c>
      <c r="M334">
        <f t="shared" si="37"/>
        <v>530</v>
      </c>
      <c r="N334">
        <f t="shared" si="36"/>
        <v>0</v>
      </c>
    </row>
    <row r="335" spans="4:14" x14ac:dyDescent="0.3">
      <c r="D335"/>
      <c r="J335"/>
      <c r="K335"/>
      <c r="L335">
        <v>529</v>
      </c>
      <c r="M335">
        <f t="shared" si="37"/>
        <v>529</v>
      </c>
      <c r="N335">
        <f t="shared" si="36"/>
        <v>0</v>
      </c>
    </row>
    <row r="336" spans="4:14" x14ac:dyDescent="0.3">
      <c r="D336" s="70"/>
      <c r="J336"/>
      <c r="K336"/>
      <c r="L336">
        <v>528</v>
      </c>
      <c r="M336">
        <f t="shared" si="37"/>
        <v>528</v>
      </c>
      <c r="N336">
        <f t="shared" si="36"/>
        <v>0</v>
      </c>
    </row>
    <row r="337" spans="4:14" x14ac:dyDescent="0.3">
      <c r="D337"/>
      <c r="J337"/>
      <c r="K337"/>
      <c r="L337">
        <v>527</v>
      </c>
      <c r="M337">
        <f t="shared" si="37"/>
        <v>527</v>
      </c>
      <c r="N337">
        <f t="shared" si="36"/>
        <v>0</v>
      </c>
    </row>
    <row r="338" spans="4:14" x14ac:dyDescent="0.3">
      <c r="D338" s="70"/>
      <c r="J338"/>
      <c r="K338"/>
      <c r="L338">
        <v>526</v>
      </c>
      <c r="M338">
        <f t="shared" si="37"/>
        <v>526</v>
      </c>
      <c r="N338">
        <f t="shared" si="36"/>
        <v>0</v>
      </c>
    </row>
    <row r="339" spans="4:14" x14ac:dyDescent="0.3">
      <c r="D339"/>
      <c r="J339"/>
      <c r="K339"/>
      <c r="L339">
        <v>525</v>
      </c>
      <c r="M339">
        <f t="shared" si="37"/>
        <v>525</v>
      </c>
      <c r="N339">
        <f t="shared" si="36"/>
        <v>0</v>
      </c>
    </row>
    <row r="340" spans="4:14" x14ac:dyDescent="0.3">
      <c r="D340" s="70"/>
      <c r="J340"/>
      <c r="K340"/>
      <c r="L340">
        <v>524</v>
      </c>
      <c r="M340">
        <f t="shared" si="37"/>
        <v>524</v>
      </c>
      <c r="N340">
        <f t="shared" si="36"/>
        <v>0</v>
      </c>
    </row>
    <row r="341" spans="4:14" x14ac:dyDescent="0.3">
      <c r="D341"/>
      <c r="J341"/>
      <c r="K341"/>
      <c r="L341">
        <v>523</v>
      </c>
      <c r="M341">
        <f t="shared" si="37"/>
        <v>523</v>
      </c>
      <c r="N341">
        <f t="shared" si="36"/>
        <v>0</v>
      </c>
    </row>
    <row r="342" spans="4:14" x14ac:dyDescent="0.3">
      <c r="D342" s="70"/>
      <c r="J342"/>
      <c r="K342"/>
      <c r="L342">
        <v>522</v>
      </c>
      <c r="M342">
        <f t="shared" si="37"/>
        <v>522</v>
      </c>
      <c r="N342">
        <f t="shared" si="36"/>
        <v>0</v>
      </c>
    </row>
    <row r="343" spans="4:14" x14ac:dyDescent="0.3">
      <c r="D343"/>
      <c r="J343"/>
      <c r="K343"/>
      <c r="L343">
        <v>521</v>
      </c>
      <c r="M343">
        <f t="shared" si="37"/>
        <v>521</v>
      </c>
      <c r="N343">
        <f t="shared" si="36"/>
        <v>0</v>
      </c>
    </row>
    <row r="344" spans="4:14" x14ac:dyDescent="0.3">
      <c r="D344" s="70"/>
      <c r="J344"/>
      <c r="K344"/>
      <c r="L344">
        <v>520</v>
      </c>
      <c r="M344">
        <f t="shared" si="37"/>
        <v>520</v>
      </c>
      <c r="N344">
        <f t="shared" si="36"/>
        <v>0</v>
      </c>
    </row>
    <row r="345" spans="4:14" x14ac:dyDescent="0.3">
      <c r="D345"/>
      <c r="J345"/>
      <c r="K345"/>
      <c r="L345">
        <v>519</v>
      </c>
      <c r="M345">
        <f t="shared" si="37"/>
        <v>519</v>
      </c>
      <c r="N345">
        <f t="shared" si="36"/>
        <v>0</v>
      </c>
    </row>
    <row r="346" spans="4:14" x14ac:dyDescent="0.3">
      <c r="D346" s="70"/>
      <c r="J346"/>
      <c r="K346"/>
      <c r="L346">
        <v>518</v>
      </c>
      <c r="M346">
        <f t="shared" si="37"/>
        <v>518</v>
      </c>
      <c r="N346">
        <f t="shared" si="36"/>
        <v>0</v>
      </c>
    </row>
    <row r="347" spans="4:14" x14ac:dyDescent="0.3">
      <c r="D347"/>
      <c r="J347"/>
      <c r="K347"/>
      <c r="L347">
        <v>517</v>
      </c>
      <c r="M347">
        <f t="shared" si="37"/>
        <v>517</v>
      </c>
      <c r="N347">
        <f t="shared" si="36"/>
        <v>0</v>
      </c>
    </row>
    <row r="348" spans="4:14" x14ac:dyDescent="0.3">
      <c r="D348" s="70"/>
      <c r="J348"/>
      <c r="K348"/>
      <c r="L348">
        <v>516</v>
      </c>
      <c r="M348">
        <f t="shared" si="37"/>
        <v>516</v>
      </c>
      <c r="N348">
        <f t="shared" si="36"/>
        <v>0</v>
      </c>
    </row>
    <row r="349" spans="4:14" x14ac:dyDescent="0.3">
      <c r="D349"/>
      <c r="J349"/>
      <c r="K349"/>
      <c r="L349">
        <v>515</v>
      </c>
      <c r="M349">
        <f t="shared" si="37"/>
        <v>515</v>
      </c>
      <c r="N349">
        <f t="shared" si="36"/>
        <v>0</v>
      </c>
    </row>
    <row r="350" spans="4:14" x14ac:dyDescent="0.3">
      <c r="D350" s="70"/>
      <c r="J350"/>
      <c r="K350"/>
      <c r="L350">
        <v>514</v>
      </c>
      <c r="M350">
        <f t="shared" si="37"/>
        <v>514</v>
      </c>
      <c r="N350">
        <f t="shared" si="36"/>
        <v>0</v>
      </c>
    </row>
    <row r="351" spans="4:14" x14ac:dyDescent="0.3">
      <c r="D351"/>
      <c r="J351"/>
      <c r="K351"/>
      <c r="L351">
        <v>513</v>
      </c>
      <c r="M351">
        <f t="shared" si="37"/>
        <v>513</v>
      </c>
      <c r="N351">
        <f t="shared" si="36"/>
        <v>0</v>
      </c>
    </row>
    <row r="352" spans="4:14" x14ac:dyDescent="0.3">
      <c r="D352" s="70"/>
      <c r="J352"/>
      <c r="K352"/>
      <c r="L352">
        <v>512</v>
      </c>
      <c r="M352">
        <f t="shared" si="37"/>
        <v>512</v>
      </c>
      <c r="N352">
        <f t="shared" si="36"/>
        <v>0</v>
      </c>
    </row>
    <row r="353" spans="4:14" x14ac:dyDescent="0.3">
      <c r="D353"/>
      <c r="J353"/>
      <c r="K353"/>
      <c r="L353">
        <v>511</v>
      </c>
      <c r="M353">
        <f t="shared" si="37"/>
        <v>511</v>
      </c>
      <c r="N353">
        <f t="shared" si="36"/>
        <v>0</v>
      </c>
    </row>
    <row r="354" spans="4:14" x14ac:dyDescent="0.3">
      <c r="D354" s="70"/>
      <c r="J354"/>
      <c r="K354"/>
      <c r="L354">
        <v>510</v>
      </c>
      <c r="M354">
        <f t="shared" si="37"/>
        <v>510</v>
      </c>
      <c r="N354">
        <f t="shared" si="36"/>
        <v>0</v>
      </c>
    </row>
    <row r="355" spans="4:14" x14ac:dyDescent="0.3">
      <c r="D355"/>
      <c r="J355"/>
      <c r="K355"/>
      <c r="L355">
        <v>509</v>
      </c>
      <c r="M355">
        <f t="shared" si="37"/>
        <v>509</v>
      </c>
      <c r="N355">
        <f t="shared" si="36"/>
        <v>0</v>
      </c>
    </row>
    <row r="356" spans="4:14" x14ac:dyDescent="0.3">
      <c r="D356" s="70"/>
      <c r="J356"/>
      <c r="K356"/>
      <c r="L356">
        <v>508</v>
      </c>
      <c r="M356">
        <f t="shared" si="37"/>
        <v>508</v>
      </c>
      <c r="N356">
        <f t="shared" si="36"/>
        <v>0</v>
      </c>
    </row>
    <row r="357" spans="4:14" x14ac:dyDescent="0.3">
      <c r="D357"/>
      <c r="J357"/>
      <c r="K357"/>
      <c r="L357">
        <v>507</v>
      </c>
      <c r="M357">
        <f t="shared" si="37"/>
        <v>507</v>
      </c>
      <c r="N357">
        <f t="shared" si="36"/>
        <v>0</v>
      </c>
    </row>
    <row r="358" spans="4:14" x14ac:dyDescent="0.3">
      <c r="K358"/>
      <c r="L358">
        <v>506</v>
      </c>
      <c r="M358">
        <f t="shared" si="37"/>
        <v>506</v>
      </c>
      <c r="N358">
        <f t="shared" si="36"/>
        <v>0</v>
      </c>
    </row>
    <row r="359" spans="4:14" x14ac:dyDescent="0.3">
      <c r="K359"/>
      <c r="L359">
        <v>505</v>
      </c>
      <c r="M359">
        <f t="shared" si="37"/>
        <v>505</v>
      </c>
      <c r="N359">
        <f t="shared" si="36"/>
        <v>0</v>
      </c>
    </row>
    <row r="360" spans="4:14" x14ac:dyDescent="0.3">
      <c r="K360"/>
      <c r="L360">
        <v>504</v>
      </c>
      <c r="M360">
        <f t="shared" si="37"/>
        <v>504</v>
      </c>
      <c r="N360">
        <f t="shared" si="36"/>
        <v>0</v>
      </c>
    </row>
    <row r="361" spans="4:14" x14ac:dyDescent="0.3">
      <c r="K361"/>
      <c r="L361">
        <v>503</v>
      </c>
      <c r="M361">
        <f t="shared" si="37"/>
        <v>503</v>
      </c>
      <c r="N361">
        <f t="shared" si="36"/>
        <v>0</v>
      </c>
    </row>
    <row r="362" spans="4:14" x14ac:dyDescent="0.3">
      <c r="K362"/>
      <c r="L362">
        <v>502</v>
      </c>
      <c r="M362">
        <f t="shared" si="37"/>
        <v>502</v>
      </c>
      <c r="N362">
        <f t="shared" si="36"/>
        <v>0</v>
      </c>
    </row>
    <row r="363" spans="4:14" x14ac:dyDescent="0.3">
      <c r="K363"/>
      <c r="L363">
        <v>501</v>
      </c>
      <c r="M363">
        <f t="shared" si="37"/>
        <v>501</v>
      </c>
      <c r="N363">
        <f t="shared" si="36"/>
        <v>0</v>
      </c>
    </row>
    <row r="364" spans="4:14" x14ac:dyDescent="0.3">
      <c r="K364"/>
      <c r="L364">
        <v>500</v>
      </c>
      <c r="M364">
        <f t="shared" si="37"/>
        <v>500</v>
      </c>
      <c r="N364">
        <f t="shared" si="36"/>
        <v>0</v>
      </c>
    </row>
    <row r="365" spans="4:14" x14ac:dyDescent="0.3">
      <c r="K365"/>
      <c r="L365">
        <v>499</v>
      </c>
      <c r="M365">
        <f t="shared" si="37"/>
        <v>499</v>
      </c>
      <c r="N365">
        <f t="shared" si="36"/>
        <v>0</v>
      </c>
    </row>
    <row r="366" spans="4:14" x14ac:dyDescent="0.3">
      <c r="K366"/>
      <c r="L366">
        <v>498</v>
      </c>
      <c r="M366">
        <f t="shared" si="37"/>
        <v>498</v>
      </c>
      <c r="N366">
        <f t="shared" si="36"/>
        <v>0</v>
      </c>
    </row>
    <row r="367" spans="4:14" x14ac:dyDescent="0.3">
      <c r="K367"/>
      <c r="L367">
        <v>497</v>
      </c>
      <c r="M367">
        <f t="shared" si="37"/>
        <v>497</v>
      </c>
      <c r="N367">
        <f t="shared" si="36"/>
        <v>0</v>
      </c>
    </row>
    <row r="368" spans="4:14" x14ac:dyDescent="0.3">
      <c r="K368"/>
      <c r="L368">
        <v>496</v>
      </c>
      <c r="M368">
        <f t="shared" si="37"/>
        <v>496</v>
      </c>
      <c r="N368">
        <f t="shared" si="36"/>
        <v>0</v>
      </c>
    </row>
    <row r="369" spans="11:14" x14ac:dyDescent="0.3">
      <c r="K369"/>
      <c r="L369">
        <v>495</v>
      </c>
      <c r="M369">
        <f t="shared" si="37"/>
        <v>495</v>
      </c>
      <c r="N369">
        <f t="shared" si="36"/>
        <v>0</v>
      </c>
    </row>
    <row r="370" spans="11:14" x14ac:dyDescent="0.3">
      <c r="K370"/>
      <c r="L370">
        <v>494</v>
      </c>
      <c r="M370">
        <f t="shared" si="37"/>
        <v>494</v>
      </c>
      <c r="N370">
        <f t="shared" si="36"/>
        <v>0</v>
      </c>
    </row>
    <row r="371" spans="11:14" x14ac:dyDescent="0.3">
      <c r="K371"/>
      <c r="L371">
        <v>493</v>
      </c>
      <c r="M371">
        <f t="shared" si="37"/>
        <v>493</v>
      </c>
      <c r="N371">
        <f t="shared" si="36"/>
        <v>0</v>
      </c>
    </row>
    <row r="372" spans="11:14" x14ac:dyDescent="0.3">
      <c r="K372"/>
      <c r="L372">
        <v>492</v>
      </c>
      <c r="M372">
        <f t="shared" si="37"/>
        <v>492</v>
      </c>
      <c r="N372">
        <f t="shared" si="36"/>
        <v>0</v>
      </c>
    </row>
    <row r="373" spans="11:14" x14ac:dyDescent="0.3">
      <c r="K373"/>
      <c r="L373">
        <v>491</v>
      </c>
      <c r="M373">
        <f t="shared" si="37"/>
        <v>491</v>
      </c>
      <c r="N373">
        <f t="shared" si="36"/>
        <v>0</v>
      </c>
    </row>
    <row r="374" spans="11:14" x14ac:dyDescent="0.3">
      <c r="K374"/>
      <c r="L374">
        <v>490</v>
      </c>
      <c r="M374">
        <f t="shared" si="37"/>
        <v>490</v>
      </c>
      <c r="N374">
        <f t="shared" si="36"/>
        <v>0</v>
      </c>
    </row>
    <row r="375" spans="11:14" x14ac:dyDescent="0.3">
      <c r="K375"/>
      <c r="L375">
        <v>489</v>
      </c>
      <c r="M375">
        <f t="shared" si="37"/>
        <v>489</v>
      </c>
      <c r="N375">
        <f t="shared" si="36"/>
        <v>0</v>
      </c>
    </row>
    <row r="376" spans="11:14" x14ac:dyDescent="0.3">
      <c r="K376"/>
      <c r="L376">
        <v>488</v>
      </c>
      <c r="M376">
        <f t="shared" si="37"/>
        <v>488</v>
      </c>
      <c r="N376">
        <f t="shared" si="36"/>
        <v>0</v>
      </c>
    </row>
    <row r="377" spans="11:14" x14ac:dyDescent="0.3">
      <c r="K377"/>
      <c r="L377">
        <v>487</v>
      </c>
      <c r="M377">
        <f t="shared" si="37"/>
        <v>487</v>
      </c>
      <c r="N377">
        <f t="shared" si="36"/>
        <v>0</v>
      </c>
    </row>
    <row r="378" spans="11:14" x14ac:dyDescent="0.3">
      <c r="K378"/>
      <c r="L378">
        <v>486</v>
      </c>
      <c r="M378">
        <f t="shared" si="37"/>
        <v>486</v>
      </c>
      <c r="N378">
        <f t="shared" si="36"/>
        <v>0</v>
      </c>
    </row>
    <row r="379" spans="11:14" x14ac:dyDescent="0.3">
      <c r="K379"/>
      <c r="L379">
        <v>485</v>
      </c>
      <c r="M379">
        <f t="shared" si="37"/>
        <v>485</v>
      </c>
      <c r="N379">
        <f t="shared" ref="N379:N412" si="38">L379-M379</f>
        <v>0</v>
      </c>
    </row>
    <row r="380" spans="11:14" x14ac:dyDescent="0.3">
      <c r="K380"/>
      <c r="L380">
        <v>484</v>
      </c>
      <c r="M380">
        <f t="shared" ref="M380:M412" si="39">+M379-1</f>
        <v>484</v>
      </c>
      <c r="N380">
        <f t="shared" si="38"/>
        <v>0</v>
      </c>
    </row>
    <row r="381" spans="11:14" x14ac:dyDescent="0.3">
      <c r="K381"/>
      <c r="L381">
        <v>483</v>
      </c>
      <c r="M381">
        <f t="shared" si="39"/>
        <v>483</v>
      </c>
      <c r="N381">
        <f t="shared" si="38"/>
        <v>0</v>
      </c>
    </row>
    <row r="382" spans="11:14" x14ac:dyDescent="0.3">
      <c r="K382"/>
      <c r="L382">
        <v>482</v>
      </c>
      <c r="M382">
        <f t="shared" si="39"/>
        <v>482</v>
      </c>
      <c r="N382">
        <f t="shared" si="38"/>
        <v>0</v>
      </c>
    </row>
    <row r="383" spans="11:14" x14ac:dyDescent="0.3">
      <c r="K383"/>
      <c r="L383">
        <v>481</v>
      </c>
      <c r="M383">
        <f t="shared" si="39"/>
        <v>481</v>
      </c>
      <c r="N383">
        <f t="shared" si="38"/>
        <v>0</v>
      </c>
    </row>
    <row r="384" spans="11:14" x14ac:dyDescent="0.3">
      <c r="K384"/>
      <c r="L384">
        <v>480</v>
      </c>
      <c r="M384">
        <f t="shared" si="39"/>
        <v>480</v>
      </c>
      <c r="N384">
        <f t="shared" si="38"/>
        <v>0</v>
      </c>
    </row>
    <row r="385" spans="11:14" x14ac:dyDescent="0.3">
      <c r="K385"/>
      <c r="L385">
        <v>479</v>
      </c>
      <c r="M385">
        <f t="shared" si="39"/>
        <v>479</v>
      </c>
      <c r="N385">
        <f t="shared" si="38"/>
        <v>0</v>
      </c>
    </row>
    <row r="386" spans="11:14" x14ac:dyDescent="0.3">
      <c r="K386"/>
      <c r="L386">
        <v>478</v>
      </c>
      <c r="M386">
        <f t="shared" si="39"/>
        <v>478</v>
      </c>
      <c r="N386">
        <f t="shared" si="38"/>
        <v>0</v>
      </c>
    </row>
    <row r="387" spans="11:14" x14ac:dyDescent="0.3">
      <c r="K387"/>
      <c r="L387">
        <v>477</v>
      </c>
      <c r="M387">
        <f t="shared" si="39"/>
        <v>477</v>
      </c>
      <c r="N387">
        <f t="shared" si="38"/>
        <v>0</v>
      </c>
    </row>
    <row r="388" spans="11:14" x14ac:dyDescent="0.3">
      <c r="K388"/>
      <c r="L388">
        <v>476</v>
      </c>
      <c r="M388">
        <f t="shared" si="39"/>
        <v>476</v>
      </c>
      <c r="N388">
        <f t="shared" si="38"/>
        <v>0</v>
      </c>
    </row>
    <row r="389" spans="11:14" x14ac:dyDescent="0.3">
      <c r="K389"/>
      <c r="L389">
        <v>475</v>
      </c>
      <c r="M389">
        <f t="shared" si="39"/>
        <v>475</v>
      </c>
      <c r="N389">
        <f t="shared" si="38"/>
        <v>0</v>
      </c>
    </row>
    <row r="390" spans="11:14" x14ac:dyDescent="0.3">
      <c r="K390"/>
      <c r="L390">
        <v>474</v>
      </c>
      <c r="M390">
        <f t="shared" si="39"/>
        <v>474</v>
      </c>
      <c r="N390">
        <f t="shared" si="38"/>
        <v>0</v>
      </c>
    </row>
    <row r="391" spans="11:14" x14ac:dyDescent="0.3">
      <c r="K391"/>
      <c r="L391">
        <v>473</v>
      </c>
      <c r="M391">
        <f t="shared" si="39"/>
        <v>473</v>
      </c>
      <c r="N391">
        <f t="shared" si="38"/>
        <v>0</v>
      </c>
    </row>
    <row r="392" spans="11:14" x14ac:dyDescent="0.3">
      <c r="K392"/>
      <c r="L392">
        <v>472</v>
      </c>
      <c r="M392">
        <f t="shared" si="39"/>
        <v>472</v>
      </c>
      <c r="N392">
        <f t="shared" si="38"/>
        <v>0</v>
      </c>
    </row>
    <row r="393" spans="11:14" x14ac:dyDescent="0.3">
      <c r="K393"/>
      <c r="L393">
        <v>471</v>
      </c>
      <c r="M393">
        <f t="shared" si="39"/>
        <v>471</v>
      </c>
      <c r="N393">
        <f t="shared" si="38"/>
        <v>0</v>
      </c>
    </row>
    <row r="394" spans="11:14" x14ac:dyDescent="0.3">
      <c r="K394"/>
      <c r="L394">
        <v>470</v>
      </c>
      <c r="M394">
        <f t="shared" si="39"/>
        <v>470</v>
      </c>
      <c r="N394">
        <f t="shared" si="38"/>
        <v>0</v>
      </c>
    </row>
    <row r="395" spans="11:14" x14ac:dyDescent="0.3">
      <c r="K395"/>
      <c r="L395">
        <v>469</v>
      </c>
      <c r="M395">
        <f t="shared" si="39"/>
        <v>469</v>
      </c>
      <c r="N395">
        <f t="shared" si="38"/>
        <v>0</v>
      </c>
    </row>
    <row r="396" spans="11:14" x14ac:dyDescent="0.3">
      <c r="K396"/>
      <c r="L396">
        <v>468</v>
      </c>
      <c r="M396">
        <f t="shared" si="39"/>
        <v>468</v>
      </c>
      <c r="N396">
        <f t="shared" si="38"/>
        <v>0</v>
      </c>
    </row>
    <row r="397" spans="11:14" x14ac:dyDescent="0.3">
      <c r="K397"/>
      <c r="L397">
        <v>467</v>
      </c>
      <c r="M397">
        <f t="shared" si="39"/>
        <v>467</v>
      </c>
      <c r="N397">
        <f t="shared" si="38"/>
        <v>0</v>
      </c>
    </row>
    <row r="398" spans="11:14" x14ac:dyDescent="0.3">
      <c r="K398"/>
      <c r="L398">
        <v>466</v>
      </c>
      <c r="M398">
        <f t="shared" si="39"/>
        <v>466</v>
      </c>
      <c r="N398">
        <f t="shared" si="38"/>
        <v>0</v>
      </c>
    </row>
    <row r="399" spans="11:14" x14ac:dyDescent="0.3">
      <c r="K399"/>
      <c r="L399">
        <v>465</v>
      </c>
      <c r="M399">
        <f t="shared" si="39"/>
        <v>465</v>
      </c>
      <c r="N399">
        <f t="shared" si="38"/>
        <v>0</v>
      </c>
    </row>
    <row r="400" spans="11:14" x14ac:dyDescent="0.3">
      <c r="K400"/>
      <c r="L400">
        <v>464</v>
      </c>
      <c r="M400">
        <f t="shared" si="39"/>
        <v>464</v>
      </c>
      <c r="N400">
        <f t="shared" si="38"/>
        <v>0</v>
      </c>
    </row>
    <row r="401" spans="11:14" x14ac:dyDescent="0.3">
      <c r="K401"/>
      <c r="L401">
        <v>463</v>
      </c>
      <c r="M401">
        <f t="shared" si="39"/>
        <v>463</v>
      </c>
      <c r="N401">
        <f t="shared" si="38"/>
        <v>0</v>
      </c>
    </row>
    <row r="402" spans="11:14" x14ac:dyDescent="0.3">
      <c r="K402"/>
      <c r="L402">
        <v>462</v>
      </c>
      <c r="M402">
        <f t="shared" si="39"/>
        <v>462</v>
      </c>
      <c r="N402">
        <f t="shared" si="38"/>
        <v>0</v>
      </c>
    </row>
    <row r="403" spans="11:14" x14ac:dyDescent="0.3">
      <c r="K403"/>
      <c r="L403">
        <v>461</v>
      </c>
      <c r="M403">
        <f t="shared" si="39"/>
        <v>461</v>
      </c>
      <c r="N403">
        <f t="shared" si="38"/>
        <v>0</v>
      </c>
    </row>
    <row r="404" spans="11:14" x14ac:dyDescent="0.3">
      <c r="K404"/>
      <c r="L404">
        <v>460</v>
      </c>
      <c r="M404">
        <f t="shared" si="39"/>
        <v>460</v>
      </c>
      <c r="N404">
        <f t="shared" si="38"/>
        <v>0</v>
      </c>
    </row>
    <row r="405" spans="11:14" x14ac:dyDescent="0.3">
      <c r="K405"/>
      <c r="L405">
        <v>459</v>
      </c>
      <c r="M405">
        <f t="shared" si="39"/>
        <v>459</v>
      </c>
      <c r="N405">
        <f t="shared" si="38"/>
        <v>0</v>
      </c>
    </row>
    <row r="406" spans="11:14" x14ac:dyDescent="0.3">
      <c r="K406"/>
      <c r="L406">
        <v>458</v>
      </c>
      <c r="M406">
        <f t="shared" si="39"/>
        <v>458</v>
      </c>
      <c r="N406">
        <f t="shared" si="38"/>
        <v>0</v>
      </c>
    </row>
    <row r="407" spans="11:14" x14ac:dyDescent="0.3">
      <c r="K407"/>
      <c r="L407">
        <v>457</v>
      </c>
      <c r="M407">
        <f t="shared" si="39"/>
        <v>457</v>
      </c>
      <c r="N407">
        <f t="shared" si="38"/>
        <v>0</v>
      </c>
    </row>
    <row r="408" spans="11:14" x14ac:dyDescent="0.3">
      <c r="K408"/>
      <c r="L408">
        <v>456</v>
      </c>
      <c r="M408">
        <f t="shared" si="39"/>
        <v>456</v>
      </c>
      <c r="N408">
        <f t="shared" si="38"/>
        <v>0</v>
      </c>
    </row>
    <row r="409" spans="11:14" x14ac:dyDescent="0.3">
      <c r="K409"/>
      <c r="L409">
        <v>455</v>
      </c>
      <c r="M409">
        <f t="shared" si="39"/>
        <v>455</v>
      </c>
      <c r="N409">
        <f t="shared" si="38"/>
        <v>0</v>
      </c>
    </row>
    <row r="410" spans="11:14" x14ac:dyDescent="0.3">
      <c r="K410"/>
      <c r="L410">
        <v>454</v>
      </c>
      <c r="M410">
        <f t="shared" si="39"/>
        <v>454</v>
      </c>
      <c r="N410">
        <f t="shared" si="38"/>
        <v>0</v>
      </c>
    </row>
    <row r="411" spans="11:14" x14ac:dyDescent="0.3">
      <c r="K411"/>
      <c r="L411">
        <v>453</v>
      </c>
      <c r="M411">
        <f t="shared" si="39"/>
        <v>453</v>
      </c>
      <c r="N411">
        <f t="shared" si="38"/>
        <v>0</v>
      </c>
    </row>
    <row r="412" spans="11:14" x14ac:dyDescent="0.3">
      <c r="K412"/>
      <c r="L412">
        <v>452</v>
      </c>
      <c r="M412">
        <f t="shared" si="39"/>
        <v>452</v>
      </c>
      <c r="N412">
        <f t="shared" si="38"/>
        <v>0</v>
      </c>
    </row>
    <row r="413" spans="11:14" x14ac:dyDescent="0.3">
      <c r="L413">
        <v>451</v>
      </c>
      <c r="M413">
        <f t="shared" ref="M413:M476" si="40">+M412-1</f>
        <v>451</v>
      </c>
      <c r="N413">
        <f t="shared" ref="N413:N476" si="41">L413-M413</f>
        <v>0</v>
      </c>
    </row>
    <row r="414" spans="11:14" x14ac:dyDescent="0.3">
      <c r="L414">
        <v>450</v>
      </c>
      <c r="M414">
        <f t="shared" si="40"/>
        <v>450</v>
      </c>
      <c r="N414">
        <f t="shared" si="41"/>
        <v>0</v>
      </c>
    </row>
    <row r="415" spans="11:14" x14ac:dyDescent="0.3">
      <c r="L415">
        <v>449</v>
      </c>
      <c r="M415">
        <f t="shared" si="40"/>
        <v>449</v>
      </c>
      <c r="N415">
        <f t="shared" si="41"/>
        <v>0</v>
      </c>
    </row>
    <row r="416" spans="11:14" x14ac:dyDescent="0.3">
      <c r="L416">
        <v>448</v>
      </c>
      <c r="M416">
        <f t="shared" si="40"/>
        <v>448</v>
      </c>
      <c r="N416">
        <f t="shared" si="41"/>
        <v>0</v>
      </c>
    </row>
    <row r="417" spans="12:14" x14ac:dyDescent="0.3">
      <c r="L417">
        <v>447</v>
      </c>
      <c r="M417">
        <f t="shared" si="40"/>
        <v>447</v>
      </c>
      <c r="N417">
        <f t="shared" si="41"/>
        <v>0</v>
      </c>
    </row>
    <row r="418" spans="12:14" x14ac:dyDescent="0.3">
      <c r="L418">
        <v>446</v>
      </c>
      <c r="M418">
        <f t="shared" si="40"/>
        <v>446</v>
      </c>
      <c r="N418">
        <f t="shared" si="41"/>
        <v>0</v>
      </c>
    </row>
    <row r="419" spans="12:14" x14ac:dyDescent="0.3">
      <c r="L419">
        <v>445</v>
      </c>
      <c r="M419">
        <f t="shared" si="40"/>
        <v>445</v>
      </c>
      <c r="N419">
        <f t="shared" si="41"/>
        <v>0</v>
      </c>
    </row>
    <row r="420" spans="12:14" x14ac:dyDescent="0.3">
      <c r="L420">
        <v>444</v>
      </c>
      <c r="M420">
        <f t="shared" si="40"/>
        <v>444</v>
      </c>
      <c r="N420">
        <f t="shared" si="41"/>
        <v>0</v>
      </c>
    </row>
    <row r="421" spans="12:14" x14ac:dyDescent="0.3">
      <c r="L421">
        <v>443</v>
      </c>
      <c r="M421">
        <f t="shared" si="40"/>
        <v>443</v>
      </c>
      <c r="N421">
        <f t="shared" si="41"/>
        <v>0</v>
      </c>
    </row>
    <row r="422" spans="12:14" x14ac:dyDescent="0.3">
      <c r="L422">
        <v>442</v>
      </c>
      <c r="M422">
        <f t="shared" si="40"/>
        <v>442</v>
      </c>
      <c r="N422">
        <f t="shared" si="41"/>
        <v>0</v>
      </c>
    </row>
    <row r="423" spans="12:14" x14ac:dyDescent="0.3">
      <c r="L423">
        <v>441</v>
      </c>
      <c r="M423">
        <f t="shared" si="40"/>
        <v>441</v>
      </c>
      <c r="N423">
        <f t="shared" si="41"/>
        <v>0</v>
      </c>
    </row>
    <row r="424" spans="12:14" x14ac:dyDescent="0.3">
      <c r="L424">
        <v>440</v>
      </c>
      <c r="M424">
        <f t="shared" si="40"/>
        <v>440</v>
      </c>
      <c r="N424">
        <f t="shared" si="41"/>
        <v>0</v>
      </c>
    </row>
    <row r="425" spans="12:14" x14ac:dyDescent="0.3">
      <c r="L425">
        <v>439</v>
      </c>
      <c r="M425">
        <f t="shared" si="40"/>
        <v>439</v>
      </c>
      <c r="N425">
        <f t="shared" si="41"/>
        <v>0</v>
      </c>
    </row>
    <row r="426" spans="12:14" x14ac:dyDescent="0.3">
      <c r="L426">
        <v>438</v>
      </c>
      <c r="M426">
        <f t="shared" si="40"/>
        <v>438</v>
      </c>
      <c r="N426">
        <f t="shared" si="41"/>
        <v>0</v>
      </c>
    </row>
    <row r="427" spans="12:14" x14ac:dyDescent="0.3">
      <c r="L427">
        <v>437</v>
      </c>
      <c r="M427">
        <f t="shared" si="40"/>
        <v>437</v>
      </c>
      <c r="N427">
        <f t="shared" si="41"/>
        <v>0</v>
      </c>
    </row>
    <row r="428" spans="12:14" x14ac:dyDescent="0.3">
      <c r="L428">
        <v>436</v>
      </c>
      <c r="M428">
        <f t="shared" si="40"/>
        <v>436</v>
      </c>
      <c r="N428">
        <f t="shared" si="41"/>
        <v>0</v>
      </c>
    </row>
    <row r="429" spans="12:14" x14ac:dyDescent="0.3">
      <c r="L429">
        <v>435</v>
      </c>
      <c r="M429">
        <f t="shared" si="40"/>
        <v>435</v>
      </c>
      <c r="N429">
        <f t="shared" si="41"/>
        <v>0</v>
      </c>
    </row>
    <row r="430" spans="12:14" x14ac:dyDescent="0.3">
      <c r="L430">
        <v>434</v>
      </c>
      <c r="M430">
        <f t="shared" si="40"/>
        <v>434</v>
      </c>
      <c r="N430">
        <f t="shared" si="41"/>
        <v>0</v>
      </c>
    </row>
    <row r="431" spans="12:14" x14ac:dyDescent="0.3">
      <c r="L431">
        <v>433</v>
      </c>
      <c r="M431">
        <f t="shared" si="40"/>
        <v>433</v>
      </c>
      <c r="N431">
        <f t="shared" si="41"/>
        <v>0</v>
      </c>
    </row>
    <row r="432" spans="12:14" x14ac:dyDescent="0.3">
      <c r="L432">
        <v>432</v>
      </c>
      <c r="M432">
        <f t="shared" si="40"/>
        <v>432</v>
      </c>
      <c r="N432">
        <f t="shared" si="41"/>
        <v>0</v>
      </c>
    </row>
    <row r="433" spans="12:14" x14ac:dyDescent="0.3">
      <c r="L433">
        <v>431</v>
      </c>
      <c r="M433">
        <f t="shared" si="40"/>
        <v>431</v>
      </c>
      <c r="N433">
        <f t="shared" si="41"/>
        <v>0</v>
      </c>
    </row>
    <row r="434" spans="12:14" x14ac:dyDescent="0.3">
      <c r="L434">
        <v>430</v>
      </c>
      <c r="M434">
        <f t="shared" si="40"/>
        <v>430</v>
      </c>
      <c r="N434">
        <f t="shared" si="41"/>
        <v>0</v>
      </c>
    </row>
    <row r="435" spans="12:14" x14ac:dyDescent="0.3">
      <c r="L435">
        <v>429</v>
      </c>
      <c r="M435">
        <f t="shared" si="40"/>
        <v>429</v>
      </c>
      <c r="N435">
        <f t="shared" si="41"/>
        <v>0</v>
      </c>
    </row>
    <row r="436" spans="12:14" x14ac:dyDescent="0.3">
      <c r="L436">
        <v>428</v>
      </c>
      <c r="M436">
        <f t="shared" si="40"/>
        <v>428</v>
      </c>
      <c r="N436">
        <f t="shared" si="41"/>
        <v>0</v>
      </c>
    </row>
    <row r="437" spans="12:14" x14ac:dyDescent="0.3">
      <c r="L437">
        <v>427</v>
      </c>
      <c r="M437">
        <f t="shared" si="40"/>
        <v>427</v>
      </c>
      <c r="N437">
        <f t="shared" si="41"/>
        <v>0</v>
      </c>
    </row>
    <row r="438" spans="12:14" x14ac:dyDescent="0.3">
      <c r="L438">
        <v>426</v>
      </c>
      <c r="M438">
        <f t="shared" si="40"/>
        <v>426</v>
      </c>
      <c r="N438">
        <f t="shared" si="41"/>
        <v>0</v>
      </c>
    </row>
    <row r="439" spans="12:14" x14ac:dyDescent="0.3">
      <c r="L439">
        <v>425</v>
      </c>
      <c r="M439">
        <f t="shared" si="40"/>
        <v>425</v>
      </c>
      <c r="N439">
        <f t="shared" si="41"/>
        <v>0</v>
      </c>
    </row>
    <row r="440" spans="12:14" x14ac:dyDescent="0.3">
      <c r="L440">
        <v>424</v>
      </c>
      <c r="M440">
        <f t="shared" si="40"/>
        <v>424</v>
      </c>
      <c r="N440">
        <f t="shared" si="41"/>
        <v>0</v>
      </c>
    </row>
    <row r="441" spans="12:14" x14ac:dyDescent="0.3">
      <c r="L441">
        <v>423</v>
      </c>
      <c r="M441">
        <f t="shared" si="40"/>
        <v>423</v>
      </c>
      <c r="N441">
        <f t="shared" si="41"/>
        <v>0</v>
      </c>
    </row>
    <row r="442" spans="12:14" x14ac:dyDescent="0.3">
      <c r="L442">
        <v>422</v>
      </c>
      <c r="M442">
        <f t="shared" si="40"/>
        <v>422</v>
      </c>
      <c r="N442">
        <f t="shared" si="41"/>
        <v>0</v>
      </c>
    </row>
    <row r="443" spans="12:14" x14ac:dyDescent="0.3">
      <c r="L443">
        <v>421</v>
      </c>
      <c r="M443">
        <f t="shared" si="40"/>
        <v>421</v>
      </c>
      <c r="N443">
        <f t="shared" si="41"/>
        <v>0</v>
      </c>
    </row>
    <row r="444" spans="12:14" x14ac:dyDescent="0.3">
      <c r="L444">
        <v>420</v>
      </c>
      <c r="M444">
        <f t="shared" si="40"/>
        <v>420</v>
      </c>
      <c r="N444">
        <f t="shared" si="41"/>
        <v>0</v>
      </c>
    </row>
    <row r="445" spans="12:14" x14ac:dyDescent="0.3">
      <c r="L445">
        <v>419</v>
      </c>
      <c r="M445">
        <f t="shared" si="40"/>
        <v>419</v>
      </c>
      <c r="N445">
        <f t="shared" si="41"/>
        <v>0</v>
      </c>
    </row>
    <row r="446" spans="12:14" x14ac:dyDescent="0.3">
      <c r="L446">
        <v>418</v>
      </c>
      <c r="M446">
        <f t="shared" si="40"/>
        <v>418</v>
      </c>
      <c r="N446">
        <f t="shared" si="41"/>
        <v>0</v>
      </c>
    </row>
    <row r="447" spans="12:14" x14ac:dyDescent="0.3">
      <c r="L447">
        <v>417</v>
      </c>
      <c r="M447">
        <f t="shared" si="40"/>
        <v>417</v>
      </c>
      <c r="N447">
        <f t="shared" si="41"/>
        <v>0</v>
      </c>
    </row>
    <row r="448" spans="12:14" x14ac:dyDescent="0.3">
      <c r="L448">
        <v>416</v>
      </c>
      <c r="M448">
        <f t="shared" si="40"/>
        <v>416</v>
      </c>
      <c r="N448">
        <f t="shared" si="41"/>
        <v>0</v>
      </c>
    </row>
    <row r="449" spans="12:14" x14ac:dyDescent="0.3">
      <c r="L449">
        <v>415</v>
      </c>
      <c r="M449">
        <f t="shared" si="40"/>
        <v>415</v>
      </c>
      <c r="N449">
        <f t="shared" si="41"/>
        <v>0</v>
      </c>
    </row>
    <row r="450" spans="12:14" x14ac:dyDescent="0.3">
      <c r="L450">
        <v>414</v>
      </c>
      <c r="M450">
        <f t="shared" si="40"/>
        <v>414</v>
      </c>
      <c r="N450">
        <f t="shared" si="41"/>
        <v>0</v>
      </c>
    </row>
    <row r="451" spans="12:14" x14ac:dyDescent="0.3">
      <c r="L451">
        <v>413</v>
      </c>
      <c r="M451">
        <f t="shared" si="40"/>
        <v>413</v>
      </c>
      <c r="N451">
        <f t="shared" si="41"/>
        <v>0</v>
      </c>
    </row>
    <row r="452" spans="12:14" x14ac:dyDescent="0.3">
      <c r="L452">
        <v>412</v>
      </c>
      <c r="M452">
        <f t="shared" si="40"/>
        <v>412</v>
      </c>
      <c r="N452">
        <f t="shared" si="41"/>
        <v>0</v>
      </c>
    </row>
    <row r="453" spans="12:14" x14ac:dyDescent="0.3">
      <c r="L453">
        <v>411</v>
      </c>
      <c r="M453">
        <f t="shared" si="40"/>
        <v>411</v>
      </c>
      <c r="N453">
        <f t="shared" si="41"/>
        <v>0</v>
      </c>
    </row>
    <row r="454" spans="12:14" x14ac:dyDescent="0.3">
      <c r="L454">
        <v>410</v>
      </c>
      <c r="M454">
        <f t="shared" si="40"/>
        <v>410</v>
      </c>
      <c r="N454">
        <f t="shared" si="41"/>
        <v>0</v>
      </c>
    </row>
    <row r="455" spans="12:14" x14ac:dyDescent="0.3">
      <c r="L455">
        <v>409</v>
      </c>
      <c r="M455">
        <f t="shared" si="40"/>
        <v>409</v>
      </c>
      <c r="N455">
        <f t="shared" si="41"/>
        <v>0</v>
      </c>
    </row>
    <row r="456" spans="12:14" x14ac:dyDescent="0.3">
      <c r="L456">
        <v>408</v>
      </c>
      <c r="M456">
        <f t="shared" si="40"/>
        <v>408</v>
      </c>
      <c r="N456">
        <f t="shared" si="41"/>
        <v>0</v>
      </c>
    </row>
    <row r="457" spans="12:14" x14ac:dyDescent="0.3">
      <c r="L457">
        <v>407</v>
      </c>
      <c r="M457">
        <f t="shared" si="40"/>
        <v>407</v>
      </c>
      <c r="N457">
        <f t="shared" si="41"/>
        <v>0</v>
      </c>
    </row>
    <row r="458" spans="12:14" x14ac:dyDescent="0.3">
      <c r="L458">
        <v>406</v>
      </c>
      <c r="M458">
        <f t="shared" si="40"/>
        <v>406</v>
      </c>
      <c r="N458">
        <f t="shared" si="41"/>
        <v>0</v>
      </c>
    </row>
    <row r="459" spans="12:14" x14ac:dyDescent="0.3">
      <c r="L459">
        <v>405</v>
      </c>
      <c r="M459">
        <f t="shared" si="40"/>
        <v>405</v>
      </c>
      <c r="N459">
        <f t="shared" si="41"/>
        <v>0</v>
      </c>
    </row>
    <row r="460" spans="12:14" x14ac:dyDescent="0.3">
      <c r="L460">
        <v>404</v>
      </c>
      <c r="M460">
        <f t="shared" si="40"/>
        <v>404</v>
      </c>
      <c r="N460">
        <f t="shared" si="41"/>
        <v>0</v>
      </c>
    </row>
    <row r="461" spans="12:14" x14ac:dyDescent="0.3">
      <c r="L461">
        <v>403</v>
      </c>
      <c r="M461">
        <f t="shared" si="40"/>
        <v>403</v>
      </c>
      <c r="N461">
        <f t="shared" si="41"/>
        <v>0</v>
      </c>
    </row>
    <row r="462" spans="12:14" x14ac:dyDescent="0.3">
      <c r="L462">
        <v>402</v>
      </c>
      <c r="M462">
        <f t="shared" si="40"/>
        <v>402</v>
      </c>
      <c r="N462">
        <f t="shared" si="41"/>
        <v>0</v>
      </c>
    </row>
    <row r="463" spans="12:14" x14ac:dyDescent="0.3">
      <c r="L463">
        <v>401</v>
      </c>
      <c r="M463">
        <f t="shared" si="40"/>
        <v>401</v>
      </c>
      <c r="N463">
        <f t="shared" si="41"/>
        <v>0</v>
      </c>
    </row>
    <row r="464" spans="12:14" x14ac:dyDescent="0.3">
      <c r="L464">
        <v>400</v>
      </c>
      <c r="M464">
        <f t="shared" si="40"/>
        <v>400</v>
      </c>
      <c r="N464">
        <f t="shared" si="41"/>
        <v>0</v>
      </c>
    </row>
    <row r="465" spans="12:14" x14ac:dyDescent="0.3">
      <c r="L465">
        <v>399</v>
      </c>
      <c r="M465">
        <f t="shared" si="40"/>
        <v>399</v>
      </c>
      <c r="N465">
        <f t="shared" si="41"/>
        <v>0</v>
      </c>
    </row>
    <row r="466" spans="12:14" x14ac:dyDescent="0.3">
      <c r="L466">
        <v>398</v>
      </c>
      <c r="M466">
        <f t="shared" si="40"/>
        <v>398</v>
      </c>
      <c r="N466">
        <f t="shared" si="41"/>
        <v>0</v>
      </c>
    </row>
    <row r="467" spans="12:14" x14ac:dyDescent="0.3">
      <c r="L467">
        <v>397</v>
      </c>
      <c r="M467">
        <f t="shared" si="40"/>
        <v>397</v>
      </c>
      <c r="N467">
        <f t="shared" si="41"/>
        <v>0</v>
      </c>
    </row>
    <row r="468" spans="12:14" x14ac:dyDescent="0.3">
      <c r="L468">
        <v>396</v>
      </c>
      <c r="M468">
        <f t="shared" si="40"/>
        <v>396</v>
      </c>
      <c r="N468">
        <f t="shared" si="41"/>
        <v>0</v>
      </c>
    </row>
    <row r="469" spans="12:14" x14ac:dyDescent="0.3">
      <c r="L469">
        <v>395</v>
      </c>
      <c r="M469">
        <f t="shared" si="40"/>
        <v>395</v>
      </c>
      <c r="N469">
        <f t="shared" si="41"/>
        <v>0</v>
      </c>
    </row>
    <row r="470" spans="12:14" x14ac:dyDescent="0.3">
      <c r="L470">
        <v>394</v>
      </c>
      <c r="M470">
        <f t="shared" si="40"/>
        <v>394</v>
      </c>
      <c r="N470">
        <f t="shared" si="41"/>
        <v>0</v>
      </c>
    </row>
    <row r="471" spans="12:14" x14ac:dyDescent="0.3">
      <c r="L471">
        <v>393</v>
      </c>
      <c r="M471">
        <f t="shared" si="40"/>
        <v>393</v>
      </c>
      <c r="N471">
        <f t="shared" si="41"/>
        <v>0</v>
      </c>
    </row>
    <row r="472" spans="12:14" x14ac:dyDescent="0.3">
      <c r="L472">
        <v>392</v>
      </c>
      <c r="M472">
        <f t="shared" si="40"/>
        <v>392</v>
      </c>
      <c r="N472">
        <f t="shared" si="41"/>
        <v>0</v>
      </c>
    </row>
    <row r="473" spans="12:14" x14ac:dyDescent="0.3">
      <c r="L473">
        <v>391</v>
      </c>
      <c r="M473">
        <f t="shared" si="40"/>
        <v>391</v>
      </c>
      <c r="N473">
        <f t="shared" si="41"/>
        <v>0</v>
      </c>
    </row>
    <row r="474" spans="12:14" x14ac:dyDescent="0.3">
      <c r="L474">
        <v>390</v>
      </c>
      <c r="M474">
        <f t="shared" si="40"/>
        <v>390</v>
      </c>
      <c r="N474">
        <f t="shared" si="41"/>
        <v>0</v>
      </c>
    </row>
    <row r="475" spans="12:14" x14ac:dyDescent="0.3">
      <c r="L475">
        <v>389</v>
      </c>
      <c r="M475">
        <f t="shared" si="40"/>
        <v>389</v>
      </c>
      <c r="N475">
        <f t="shared" si="41"/>
        <v>0</v>
      </c>
    </row>
    <row r="476" spans="12:14" x14ac:dyDescent="0.3">
      <c r="L476">
        <v>388</v>
      </c>
      <c r="M476">
        <f t="shared" si="40"/>
        <v>388</v>
      </c>
      <c r="N476">
        <f t="shared" si="41"/>
        <v>0</v>
      </c>
    </row>
    <row r="477" spans="12:14" x14ac:dyDescent="0.3">
      <c r="L477">
        <v>387</v>
      </c>
      <c r="M477">
        <f t="shared" ref="M477:M540" si="42">+M476-1</f>
        <v>387</v>
      </c>
      <c r="N477">
        <f t="shared" ref="N477:N540" si="43">L477-M477</f>
        <v>0</v>
      </c>
    </row>
    <row r="478" spans="12:14" x14ac:dyDescent="0.3">
      <c r="L478">
        <v>386</v>
      </c>
      <c r="M478">
        <f t="shared" si="42"/>
        <v>386</v>
      </c>
      <c r="N478">
        <f t="shared" si="43"/>
        <v>0</v>
      </c>
    </row>
    <row r="479" spans="12:14" x14ac:dyDescent="0.3">
      <c r="L479">
        <v>385</v>
      </c>
      <c r="M479">
        <f t="shared" si="42"/>
        <v>385</v>
      </c>
      <c r="N479">
        <f t="shared" si="43"/>
        <v>0</v>
      </c>
    </row>
    <row r="480" spans="12:14" x14ac:dyDescent="0.3">
      <c r="L480">
        <v>384</v>
      </c>
      <c r="M480">
        <f t="shared" si="42"/>
        <v>384</v>
      </c>
      <c r="N480">
        <f t="shared" si="43"/>
        <v>0</v>
      </c>
    </row>
    <row r="481" spans="12:14" x14ac:dyDescent="0.3">
      <c r="L481">
        <v>383</v>
      </c>
      <c r="M481">
        <f t="shared" si="42"/>
        <v>383</v>
      </c>
      <c r="N481">
        <f t="shared" si="43"/>
        <v>0</v>
      </c>
    </row>
    <row r="482" spans="12:14" x14ac:dyDescent="0.3">
      <c r="L482">
        <v>382</v>
      </c>
      <c r="M482">
        <f t="shared" si="42"/>
        <v>382</v>
      </c>
      <c r="N482">
        <f t="shared" si="43"/>
        <v>0</v>
      </c>
    </row>
    <row r="483" spans="12:14" x14ac:dyDescent="0.3">
      <c r="L483">
        <v>381</v>
      </c>
      <c r="M483">
        <f t="shared" si="42"/>
        <v>381</v>
      </c>
      <c r="N483">
        <f t="shared" si="43"/>
        <v>0</v>
      </c>
    </row>
    <row r="484" spans="12:14" x14ac:dyDescent="0.3">
      <c r="L484">
        <v>380</v>
      </c>
      <c r="M484">
        <f t="shared" si="42"/>
        <v>380</v>
      </c>
      <c r="N484">
        <f t="shared" si="43"/>
        <v>0</v>
      </c>
    </row>
    <row r="485" spans="12:14" x14ac:dyDescent="0.3">
      <c r="L485">
        <v>379</v>
      </c>
      <c r="M485">
        <f t="shared" si="42"/>
        <v>379</v>
      </c>
      <c r="N485">
        <f t="shared" si="43"/>
        <v>0</v>
      </c>
    </row>
    <row r="486" spans="12:14" x14ac:dyDescent="0.3">
      <c r="L486">
        <v>378</v>
      </c>
      <c r="M486">
        <f t="shared" si="42"/>
        <v>378</v>
      </c>
      <c r="N486">
        <f t="shared" si="43"/>
        <v>0</v>
      </c>
    </row>
    <row r="487" spans="12:14" x14ac:dyDescent="0.3">
      <c r="L487">
        <v>377</v>
      </c>
      <c r="M487">
        <f t="shared" si="42"/>
        <v>377</v>
      </c>
      <c r="N487">
        <f t="shared" si="43"/>
        <v>0</v>
      </c>
    </row>
    <row r="488" spans="12:14" x14ac:dyDescent="0.3">
      <c r="L488">
        <v>376</v>
      </c>
      <c r="M488">
        <f t="shared" si="42"/>
        <v>376</v>
      </c>
      <c r="N488">
        <f t="shared" si="43"/>
        <v>0</v>
      </c>
    </row>
    <row r="489" spans="12:14" x14ac:dyDescent="0.3">
      <c r="L489">
        <v>375</v>
      </c>
      <c r="M489">
        <f t="shared" si="42"/>
        <v>375</v>
      </c>
      <c r="N489">
        <f t="shared" si="43"/>
        <v>0</v>
      </c>
    </row>
    <row r="490" spans="12:14" x14ac:dyDescent="0.3">
      <c r="L490">
        <v>374</v>
      </c>
      <c r="M490">
        <f t="shared" si="42"/>
        <v>374</v>
      </c>
      <c r="N490">
        <f t="shared" si="43"/>
        <v>0</v>
      </c>
    </row>
    <row r="491" spans="12:14" x14ac:dyDescent="0.3">
      <c r="L491">
        <v>373</v>
      </c>
      <c r="M491">
        <f t="shared" si="42"/>
        <v>373</v>
      </c>
      <c r="N491">
        <f t="shared" si="43"/>
        <v>0</v>
      </c>
    </row>
    <row r="492" spans="12:14" x14ac:dyDescent="0.3">
      <c r="L492">
        <v>372</v>
      </c>
      <c r="M492">
        <f t="shared" si="42"/>
        <v>372</v>
      </c>
      <c r="N492">
        <f t="shared" si="43"/>
        <v>0</v>
      </c>
    </row>
    <row r="493" spans="12:14" x14ac:dyDescent="0.3">
      <c r="L493">
        <v>371</v>
      </c>
      <c r="M493">
        <f t="shared" si="42"/>
        <v>371</v>
      </c>
      <c r="N493">
        <f t="shared" si="43"/>
        <v>0</v>
      </c>
    </row>
    <row r="494" spans="12:14" x14ac:dyDescent="0.3">
      <c r="L494">
        <v>370</v>
      </c>
      <c r="M494">
        <f t="shared" si="42"/>
        <v>370</v>
      </c>
      <c r="N494">
        <f t="shared" si="43"/>
        <v>0</v>
      </c>
    </row>
    <row r="495" spans="12:14" x14ac:dyDescent="0.3">
      <c r="L495">
        <v>369</v>
      </c>
      <c r="M495">
        <f t="shared" si="42"/>
        <v>369</v>
      </c>
      <c r="N495">
        <f t="shared" si="43"/>
        <v>0</v>
      </c>
    </row>
    <row r="496" spans="12:14" x14ac:dyDescent="0.3">
      <c r="L496">
        <v>368</v>
      </c>
      <c r="M496">
        <f t="shared" si="42"/>
        <v>368</v>
      </c>
      <c r="N496">
        <f t="shared" si="43"/>
        <v>0</v>
      </c>
    </row>
    <row r="497" spans="12:14" x14ac:dyDescent="0.3">
      <c r="L497">
        <v>367</v>
      </c>
      <c r="M497">
        <f t="shared" si="42"/>
        <v>367</v>
      </c>
      <c r="N497">
        <f t="shared" si="43"/>
        <v>0</v>
      </c>
    </row>
    <row r="498" spans="12:14" x14ac:dyDescent="0.3">
      <c r="L498">
        <v>366</v>
      </c>
      <c r="M498">
        <f t="shared" si="42"/>
        <v>366</v>
      </c>
      <c r="N498">
        <f t="shared" si="43"/>
        <v>0</v>
      </c>
    </row>
    <row r="499" spans="12:14" x14ac:dyDescent="0.3">
      <c r="L499">
        <v>365</v>
      </c>
      <c r="M499">
        <f t="shared" si="42"/>
        <v>365</v>
      </c>
      <c r="N499">
        <f t="shared" si="43"/>
        <v>0</v>
      </c>
    </row>
    <row r="500" spans="12:14" x14ac:dyDescent="0.3">
      <c r="L500">
        <v>364</v>
      </c>
      <c r="M500">
        <f t="shared" si="42"/>
        <v>364</v>
      </c>
      <c r="N500">
        <f t="shared" si="43"/>
        <v>0</v>
      </c>
    </row>
    <row r="501" spans="12:14" x14ac:dyDescent="0.3">
      <c r="L501">
        <v>363</v>
      </c>
      <c r="M501">
        <f t="shared" si="42"/>
        <v>363</v>
      </c>
      <c r="N501">
        <f t="shared" si="43"/>
        <v>0</v>
      </c>
    </row>
    <row r="502" spans="12:14" x14ac:dyDescent="0.3">
      <c r="L502">
        <v>362</v>
      </c>
      <c r="M502">
        <f t="shared" si="42"/>
        <v>362</v>
      </c>
      <c r="N502">
        <f t="shared" si="43"/>
        <v>0</v>
      </c>
    </row>
    <row r="503" spans="12:14" x14ac:dyDescent="0.3">
      <c r="L503">
        <v>361</v>
      </c>
      <c r="M503">
        <f t="shared" si="42"/>
        <v>361</v>
      </c>
      <c r="N503">
        <f t="shared" si="43"/>
        <v>0</v>
      </c>
    </row>
    <row r="504" spans="12:14" x14ac:dyDescent="0.3">
      <c r="L504">
        <v>360</v>
      </c>
      <c r="M504">
        <f t="shared" si="42"/>
        <v>360</v>
      </c>
      <c r="N504">
        <f t="shared" si="43"/>
        <v>0</v>
      </c>
    </row>
    <row r="505" spans="12:14" x14ac:dyDescent="0.3">
      <c r="L505">
        <v>359</v>
      </c>
      <c r="M505">
        <f t="shared" si="42"/>
        <v>359</v>
      </c>
      <c r="N505">
        <f t="shared" si="43"/>
        <v>0</v>
      </c>
    </row>
    <row r="506" spans="12:14" x14ac:dyDescent="0.3">
      <c r="L506">
        <v>358</v>
      </c>
      <c r="M506">
        <f t="shared" si="42"/>
        <v>358</v>
      </c>
      <c r="N506">
        <f t="shared" si="43"/>
        <v>0</v>
      </c>
    </row>
    <row r="507" spans="12:14" x14ac:dyDescent="0.3">
      <c r="L507">
        <v>357</v>
      </c>
      <c r="M507">
        <f t="shared" si="42"/>
        <v>357</v>
      </c>
      <c r="N507">
        <f t="shared" si="43"/>
        <v>0</v>
      </c>
    </row>
    <row r="508" spans="12:14" x14ac:dyDescent="0.3">
      <c r="L508">
        <v>356</v>
      </c>
      <c r="M508">
        <f t="shared" si="42"/>
        <v>356</v>
      </c>
      <c r="N508">
        <f t="shared" si="43"/>
        <v>0</v>
      </c>
    </row>
    <row r="509" spans="12:14" x14ac:dyDescent="0.3">
      <c r="L509">
        <v>355</v>
      </c>
      <c r="M509">
        <f t="shared" si="42"/>
        <v>355</v>
      </c>
      <c r="N509">
        <f t="shared" si="43"/>
        <v>0</v>
      </c>
    </row>
    <row r="510" spans="12:14" x14ac:dyDescent="0.3">
      <c r="L510">
        <v>354</v>
      </c>
      <c r="M510">
        <f t="shared" si="42"/>
        <v>354</v>
      </c>
      <c r="N510">
        <f t="shared" si="43"/>
        <v>0</v>
      </c>
    </row>
    <row r="511" spans="12:14" x14ac:dyDescent="0.3">
      <c r="L511">
        <v>353</v>
      </c>
      <c r="M511">
        <f t="shared" si="42"/>
        <v>353</v>
      </c>
      <c r="N511">
        <f t="shared" si="43"/>
        <v>0</v>
      </c>
    </row>
    <row r="512" spans="12:14" x14ac:dyDescent="0.3">
      <c r="L512">
        <v>352</v>
      </c>
      <c r="M512">
        <f t="shared" si="42"/>
        <v>352</v>
      </c>
      <c r="N512">
        <f t="shared" si="43"/>
        <v>0</v>
      </c>
    </row>
    <row r="513" spans="12:14" x14ac:dyDescent="0.3">
      <c r="L513">
        <v>351</v>
      </c>
      <c r="M513">
        <f t="shared" si="42"/>
        <v>351</v>
      </c>
      <c r="N513">
        <f t="shared" si="43"/>
        <v>0</v>
      </c>
    </row>
    <row r="514" spans="12:14" x14ac:dyDescent="0.3">
      <c r="L514">
        <v>350</v>
      </c>
      <c r="M514">
        <f t="shared" si="42"/>
        <v>350</v>
      </c>
      <c r="N514">
        <f t="shared" si="43"/>
        <v>0</v>
      </c>
    </row>
    <row r="515" spans="12:14" x14ac:dyDescent="0.3">
      <c r="L515">
        <v>349</v>
      </c>
      <c r="M515">
        <f t="shared" si="42"/>
        <v>349</v>
      </c>
      <c r="N515">
        <f t="shared" si="43"/>
        <v>0</v>
      </c>
    </row>
    <row r="516" spans="12:14" x14ac:dyDescent="0.3">
      <c r="L516">
        <v>348</v>
      </c>
      <c r="M516">
        <f t="shared" si="42"/>
        <v>348</v>
      </c>
      <c r="N516">
        <f t="shared" si="43"/>
        <v>0</v>
      </c>
    </row>
    <row r="517" spans="12:14" x14ac:dyDescent="0.3">
      <c r="L517">
        <v>347</v>
      </c>
      <c r="M517">
        <f t="shared" si="42"/>
        <v>347</v>
      </c>
      <c r="N517">
        <f t="shared" si="43"/>
        <v>0</v>
      </c>
    </row>
    <row r="518" spans="12:14" x14ac:dyDescent="0.3">
      <c r="L518">
        <v>346</v>
      </c>
      <c r="M518">
        <f t="shared" si="42"/>
        <v>346</v>
      </c>
      <c r="N518">
        <f t="shared" si="43"/>
        <v>0</v>
      </c>
    </row>
    <row r="519" spans="12:14" x14ac:dyDescent="0.3">
      <c r="L519">
        <v>345</v>
      </c>
      <c r="M519">
        <f t="shared" si="42"/>
        <v>345</v>
      </c>
      <c r="N519">
        <f t="shared" si="43"/>
        <v>0</v>
      </c>
    </row>
    <row r="520" spans="12:14" x14ac:dyDescent="0.3">
      <c r="L520">
        <v>344</v>
      </c>
      <c r="M520">
        <f t="shared" si="42"/>
        <v>344</v>
      </c>
      <c r="N520">
        <f t="shared" si="43"/>
        <v>0</v>
      </c>
    </row>
    <row r="521" spans="12:14" x14ac:dyDescent="0.3">
      <c r="L521">
        <v>343</v>
      </c>
      <c r="M521">
        <f t="shared" si="42"/>
        <v>343</v>
      </c>
      <c r="N521">
        <f t="shared" si="43"/>
        <v>0</v>
      </c>
    </row>
    <row r="522" spans="12:14" x14ac:dyDescent="0.3">
      <c r="L522">
        <v>342</v>
      </c>
      <c r="M522">
        <f t="shared" si="42"/>
        <v>342</v>
      </c>
      <c r="N522">
        <f t="shared" si="43"/>
        <v>0</v>
      </c>
    </row>
    <row r="523" spans="12:14" x14ac:dyDescent="0.3">
      <c r="L523">
        <v>341</v>
      </c>
      <c r="M523">
        <f t="shared" si="42"/>
        <v>341</v>
      </c>
      <c r="N523">
        <f t="shared" si="43"/>
        <v>0</v>
      </c>
    </row>
    <row r="524" spans="12:14" x14ac:dyDescent="0.3">
      <c r="L524">
        <v>340</v>
      </c>
      <c r="M524">
        <f t="shared" si="42"/>
        <v>340</v>
      </c>
      <c r="N524">
        <f t="shared" si="43"/>
        <v>0</v>
      </c>
    </row>
    <row r="525" spans="12:14" x14ac:dyDescent="0.3">
      <c r="L525">
        <v>339</v>
      </c>
      <c r="M525">
        <f t="shared" si="42"/>
        <v>339</v>
      </c>
      <c r="N525">
        <f t="shared" si="43"/>
        <v>0</v>
      </c>
    </row>
    <row r="526" spans="12:14" x14ac:dyDescent="0.3">
      <c r="L526">
        <v>338</v>
      </c>
      <c r="M526">
        <f t="shared" si="42"/>
        <v>338</v>
      </c>
      <c r="N526">
        <f t="shared" si="43"/>
        <v>0</v>
      </c>
    </row>
    <row r="527" spans="12:14" x14ac:dyDescent="0.3">
      <c r="L527">
        <v>337</v>
      </c>
      <c r="M527">
        <f t="shared" si="42"/>
        <v>337</v>
      </c>
      <c r="N527">
        <f t="shared" si="43"/>
        <v>0</v>
      </c>
    </row>
    <row r="528" spans="12:14" x14ac:dyDescent="0.3">
      <c r="L528">
        <v>336</v>
      </c>
      <c r="M528">
        <f t="shared" si="42"/>
        <v>336</v>
      </c>
      <c r="N528">
        <f t="shared" si="43"/>
        <v>0</v>
      </c>
    </row>
    <row r="529" spans="12:14" x14ac:dyDescent="0.3">
      <c r="L529">
        <v>335</v>
      </c>
      <c r="M529">
        <f t="shared" si="42"/>
        <v>335</v>
      </c>
      <c r="N529">
        <f t="shared" si="43"/>
        <v>0</v>
      </c>
    </row>
    <row r="530" spans="12:14" x14ac:dyDescent="0.3">
      <c r="L530">
        <v>334</v>
      </c>
      <c r="M530">
        <f t="shared" si="42"/>
        <v>334</v>
      </c>
      <c r="N530">
        <f t="shared" si="43"/>
        <v>0</v>
      </c>
    </row>
    <row r="531" spans="12:14" x14ac:dyDescent="0.3">
      <c r="L531">
        <v>333</v>
      </c>
      <c r="M531">
        <f t="shared" si="42"/>
        <v>333</v>
      </c>
      <c r="N531">
        <f t="shared" si="43"/>
        <v>0</v>
      </c>
    </row>
    <row r="532" spans="12:14" x14ac:dyDescent="0.3">
      <c r="L532">
        <v>332</v>
      </c>
      <c r="M532">
        <f t="shared" si="42"/>
        <v>332</v>
      </c>
      <c r="N532">
        <f t="shared" si="43"/>
        <v>0</v>
      </c>
    </row>
    <row r="533" spans="12:14" x14ac:dyDescent="0.3">
      <c r="L533">
        <v>331</v>
      </c>
      <c r="M533">
        <f t="shared" si="42"/>
        <v>331</v>
      </c>
      <c r="N533">
        <f t="shared" si="43"/>
        <v>0</v>
      </c>
    </row>
    <row r="534" spans="12:14" x14ac:dyDescent="0.3">
      <c r="L534">
        <v>330</v>
      </c>
      <c r="M534">
        <f t="shared" si="42"/>
        <v>330</v>
      </c>
      <c r="N534">
        <f t="shared" si="43"/>
        <v>0</v>
      </c>
    </row>
    <row r="535" spans="12:14" x14ac:dyDescent="0.3">
      <c r="L535">
        <v>329</v>
      </c>
      <c r="M535">
        <f t="shared" si="42"/>
        <v>329</v>
      </c>
      <c r="N535">
        <f t="shared" si="43"/>
        <v>0</v>
      </c>
    </row>
    <row r="536" spans="12:14" x14ac:dyDescent="0.3">
      <c r="L536">
        <v>328</v>
      </c>
      <c r="M536">
        <f t="shared" si="42"/>
        <v>328</v>
      </c>
      <c r="N536">
        <f t="shared" si="43"/>
        <v>0</v>
      </c>
    </row>
    <row r="537" spans="12:14" x14ac:dyDescent="0.3">
      <c r="L537">
        <v>327</v>
      </c>
      <c r="M537">
        <f t="shared" si="42"/>
        <v>327</v>
      </c>
      <c r="N537">
        <f t="shared" si="43"/>
        <v>0</v>
      </c>
    </row>
    <row r="538" spans="12:14" x14ac:dyDescent="0.3">
      <c r="L538">
        <v>326</v>
      </c>
      <c r="M538">
        <f t="shared" si="42"/>
        <v>326</v>
      </c>
      <c r="N538">
        <f t="shared" si="43"/>
        <v>0</v>
      </c>
    </row>
    <row r="539" spans="12:14" x14ac:dyDescent="0.3">
      <c r="L539">
        <v>325</v>
      </c>
      <c r="M539">
        <f t="shared" si="42"/>
        <v>325</v>
      </c>
      <c r="N539">
        <f t="shared" si="43"/>
        <v>0</v>
      </c>
    </row>
    <row r="540" spans="12:14" x14ac:dyDescent="0.3">
      <c r="L540">
        <v>324</v>
      </c>
      <c r="M540">
        <f t="shared" si="42"/>
        <v>324</v>
      </c>
      <c r="N540">
        <f t="shared" si="43"/>
        <v>0</v>
      </c>
    </row>
    <row r="541" spans="12:14" x14ac:dyDescent="0.3">
      <c r="L541">
        <v>323</v>
      </c>
      <c r="M541">
        <f t="shared" ref="M541:M604" si="44">+M540-1</f>
        <v>323</v>
      </c>
      <c r="N541">
        <f t="shared" ref="N541:N604" si="45">L541-M541</f>
        <v>0</v>
      </c>
    </row>
    <row r="542" spans="12:14" x14ac:dyDescent="0.3">
      <c r="L542">
        <v>322</v>
      </c>
      <c r="M542">
        <f t="shared" si="44"/>
        <v>322</v>
      </c>
      <c r="N542">
        <f t="shared" si="45"/>
        <v>0</v>
      </c>
    </row>
    <row r="543" spans="12:14" x14ac:dyDescent="0.3">
      <c r="L543">
        <v>321</v>
      </c>
      <c r="M543">
        <f t="shared" si="44"/>
        <v>321</v>
      </c>
      <c r="N543">
        <f t="shared" si="45"/>
        <v>0</v>
      </c>
    </row>
    <row r="544" spans="12:14" x14ac:dyDescent="0.3">
      <c r="L544">
        <v>320</v>
      </c>
      <c r="M544">
        <f t="shared" si="44"/>
        <v>320</v>
      </c>
      <c r="N544">
        <f t="shared" si="45"/>
        <v>0</v>
      </c>
    </row>
    <row r="545" spans="12:14" x14ac:dyDescent="0.3">
      <c r="L545">
        <v>319</v>
      </c>
      <c r="M545">
        <f t="shared" si="44"/>
        <v>319</v>
      </c>
      <c r="N545">
        <f t="shared" si="45"/>
        <v>0</v>
      </c>
    </row>
    <row r="546" spans="12:14" x14ac:dyDescent="0.3">
      <c r="L546">
        <v>318</v>
      </c>
      <c r="M546">
        <f t="shared" si="44"/>
        <v>318</v>
      </c>
      <c r="N546">
        <f t="shared" si="45"/>
        <v>0</v>
      </c>
    </row>
    <row r="547" spans="12:14" x14ac:dyDescent="0.3">
      <c r="L547">
        <v>317</v>
      </c>
      <c r="M547">
        <f t="shared" si="44"/>
        <v>317</v>
      </c>
      <c r="N547">
        <f t="shared" si="45"/>
        <v>0</v>
      </c>
    </row>
    <row r="548" spans="12:14" x14ac:dyDescent="0.3">
      <c r="L548">
        <v>316</v>
      </c>
      <c r="M548">
        <f t="shared" si="44"/>
        <v>316</v>
      </c>
      <c r="N548">
        <f t="shared" si="45"/>
        <v>0</v>
      </c>
    </row>
    <row r="549" spans="12:14" x14ac:dyDescent="0.3">
      <c r="L549">
        <v>315</v>
      </c>
      <c r="M549">
        <f t="shared" si="44"/>
        <v>315</v>
      </c>
      <c r="N549">
        <f t="shared" si="45"/>
        <v>0</v>
      </c>
    </row>
    <row r="550" spans="12:14" x14ac:dyDescent="0.3">
      <c r="L550">
        <v>314</v>
      </c>
      <c r="M550">
        <f t="shared" si="44"/>
        <v>314</v>
      </c>
      <c r="N550">
        <f t="shared" si="45"/>
        <v>0</v>
      </c>
    </row>
    <row r="551" spans="12:14" x14ac:dyDescent="0.3">
      <c r="L551">
        <v>313</v>
      </c>
      <c r="M551">
        <f t="shared" si="44"/>
        <v>313</v>
      </c>
      <c r="N551">
        <f t="shared" si="45"/>
        <v>0</v>
      </c>
    </row>
    <row r="552" spans="12:14" x14ac:dyDescent="0.3">
      <c r="L552">
        <v>312</v>
      </c>
      <c r="M552">
        <f t="shared" si="44"/>
        <v>312</v>
      </c>
      <c r="N552">
        <f t="shared" si="45"/>
        <v>0</v>
      </c>
    </row>
    <row r="553" spans="12:14" x14ac:dyDescent="0.3">
      <c r="L553">
        <v>311</v>
      </c>
      <c r="M553">
        <f t="shared" si="44"/>
        <v>311</v>
      </c>
      <c r="N553">
        <f t="shared" si="45"/>
        <v>0</v>
      </c>
    </row>
    <row r="554" spans="12:14" x14ac:dyDescent="0.3">
      <c r="L554">
        <v>310</v>
      </c>
      <c r="M554">
        <f t="shared" si="44"/>
        <v>310</v>
      </c>
      <c r="N554">
        <f t="shared" si="45"/>
        <v>0</v>
      </c>
    </row>
    <row r="555" spans="12:14" x14ac:dyDescent="0.3">
      <c r="L555">
        <v>309</v>
      </c>
      <c r="M555">
        <f t="shared" si="44"/>
        <v>309</v>
      </c>
      <c r="N555">
        <f t="shared" si="45"/>
        <v>0</v>
      </c>
    </row>
    <row r="556" spans="12:14" x14ac:dyDescent="0.3">
      <c r="L556">
        <v>308</v>
      </c>
      <c r="M556">
        <f t="shared" si="44"/>
        <v>308</v>
      </c>
      <c r="N556">
        <f t="shared" si="45"/>
        <v>0</v>
      </c>
    </row>
    <row r="557" spans="12:14" x14ac:dyDescent="0.3">
      <c r="L557">
        <v>307</v>
      </c>
      <c r="M557">
        <f t="shared" si="44"/>
        <v>307</v>
      </c>
      <c r="N557">
        <f t="shared" si="45"/>
        <v>0</v>
      </c>
    </row>
    <row r="558" spans="12:14" x14ac:dyDescent="0.3">
      <c r="L558">
        <v>306</v>
      </c>
      <c r="M558">
        <f t="shared" si="44"/>
        <v>306</v>
      </c>
      <c r="N558">
        <f t="shared" si="45"/>
        <v>0</v>
      </c>
    </row>
    <row r="559" spans="12:14" x14ac:dyDescent="0.3">
      <c r="L559">
        <v>305</v>
      </c>
      <c r="M559">
        <f t="shared" si="44"/>
        <v>305</v>
      </c>
      <c r="N559">
        <f t="shared" si="45"/>
        <v>0</v>
      </c>
    </row>
    <row r="560" spans="12:14" x14ac:dyDescent="0.3">
      <c r="L560">
        <v>304</v>
      </c>
      <c r="M560">
        <f t="shared" si="44"/>
        <v>304</v>
      </c>
      <c r="N560">
        <f t="shared" si="45"/>
        <v>0</v>
      </c>
    </row>
    <row r="561" spans="12:14" x14ac:dyDescent="0.3">
      <c r="L561">
        <v>303</v>
      </c>
      <c r="M561">
        <f t="shared" si="44"/>
        <v>303</v>
      </c>
      <c r="N561">
        <f t="shared" si="45"/>
        <v>0</v>
      </c>
    </row>
    <row r="562" spans="12:14" x14ac:dyDescent="0.3">
      <c r="L562">
        <v>302</v>
      </c>
      <c r="M562">
        <f t="shared" si="44"/>
        <v>302</v>
      </c>
      <c r="N562">
        <f t="shared" si="45"/>
        <v>0</v>
      </c>
    </row>
    <row r="563" spans="12:14" x14ac:dyDescent="0.3">
      <c r="L563">
        <v>301</v>
      </c>
      <c r="M563">
        <f t="shared" si="44"/>
        <v>301</v>
      </c>
      <c r="N563">
        <f t="shared" si="45"/>
        <v>0</v>
      </c>
    </row>
    <row r="564" spans="12:14" x14ac:dyDescent="0.3">
      <c r="L564">
        <v>300</v>
      </c>
      <c r="M564">
        <f t="shared" si="44"/>
        <v>300</v>
      </c>
      <c r="N564">
        <f t="shared" si="45"/>
        <v>0</v>
      </c>
    </row>
    <row r="565" spans="12:14" x14ac:dyDescent="0.3">
      <c r="L565">
        <v>299</v>
      </c>
      <c r="M565">
        <f t="shared" si="44"/>
        <v>299</v>
      </c>
      <c r="N565">
        <f t="shared" si="45"/>
        <v>0</v>
      </c>
    </row>
    <row r="566" spans="12:14" x14ac:dyDescent="0.3">
      <c r="L566">
        <v>298</v>
      </c>
      <c r="M566">
        <f t="shared" si="44"/>
        <v>298</v>
      </c>
      <c r="N566">
        <f t="shared" si="45"/>
        <v>0</v>
      </c>
    </row>
    <row r="567" spans="12:14" x14ac:dyDescent="0.3">
      <c r="L567">
        <v>297</v>
      </c>
      <c r="M567">
        <f t="shared" si="44"/>
        <v>297</v>
      </c>
      <c r="N567">
        <f t="shared" si="45"/>
        <v>0</v>
      </c>
    </row>
    <row r="568" spans="12:14" x14ac:dyDescent="0.3">
      <c r="L568">
        <v>296</v>
      </c>
      <c r="M568">
        <f t="shared" si="44"/>
        <v>296</v>
      </c>
      <c r="N568">
        <f t="shared" si="45"/>
        <v>0</v>
      </c>
    </row>
    <row r="569" spans="12:14" x14ac:dyDescent="0.3">
      <c r="L569">
        <v>295</v>
      </c>
      <c r="M569">
        <f t="shared" si="44"/>
        <v>295</v>
      </c>
      <c r="N569">
        <f t="shared" si="45"/>
        <v>0</v>
      </c>
    </row>
    <row r="570" spans="12:14" x14ac:dyDescent="0.3">
      <c r="L570">
        <v>294</v>
      </c>
      <c r="M570">
        <f t="shared" si="44"/>
        <v>294</v>
      </c>
      <c r="N570">
        <f t="shared" si="45"/>
        <v>0</v>
      </c>
    </row>
    <row r="571" spans="12:14" x14ac:dyDescent="0.3">
      <c r="L571">
        <v>293</v>
      </c>
      <c r="M571">
        <f t="shared" si="44"/>
        <v>293</v>
      </c>
      <c r="N571">
        <f t="shared" si="45"/>
        <v>0</v>
      </c>
    </row>
    <row r="572" spans="12:14" x14ac:dyDescent="0.3">
      <c r="L572">
        <v>292</v>
      </c>
      <c r="M572">
        <f t="shared" si="44"/>
        <v>292</v>
      </c>
      <c r="N572">
        <f t="shared" si="45"/>
        <v>0</v>
      </c>
    </row>
    <row r="573" spans="12:14" x14ac:dyDescent="0.3">
      <c r="L573">
        <v>291</v>
      </c>
      <c r="M573">
        <f t="shared" si="44"/>
        <v>291</v>
      </c>
      <c r="N573">
        <f t="shared" si="45"/>
        <v>0</v>
      </c>
    </row>
    <row r="574" spans="12:14" x14ac:dyDescent="0.3">
      <c r="L574">
        <v>290</v>
      </c>
      <c r="M574">
        <f t="shared" si="44"/>
        <v>290</v>
      </c>
      <c r="N574">
        <f t="shared" si="45"/>
        <v>0</v>
      </c>
    </row>
    <row r="575" spans="12:14" x14ac:dyDescent="0.3">
      <c r="L575">
        <v>289</v>
      </c>
      <c r="M575">
        <f t="shared" si="44"/>
        <v>289</v>
      </c>
      <c r="N575">
        <f t="shared" si="45"/>
        <v>0</v>
      </c>
    </row>
    <row r="576" spans="12:14" x14ac:dyDescent="0.3">
      <c r="L576">
        <v>288</v>
      </c>
      <c r="M576">
        <f t="shared" si="44"/>
        <v>288</v>
      </c>
      <c r="N576">
        <f t="shared" si="45"/>
        <v>0</v>
      </c>
    </row>
    <row r="577" spans="12:14" x14ac:dyDescent="0.3">
      <c r="L577">
        <v>287</v>
      </c>
      <c r="M577">
        <f t="shared" si="44"/>
        <v>287</v>
      </c>
      <c r="N577">
        <f t="shared" si="45"/>
        <v>0</v>
      </c>
    </row>
    <row r="578" spans="12:14" x14ac:dyDescent="0.3">
      <c r="L578">
        <v>286</v>
      </c>
      <c r="M578">
        <f t="shared" si="44"/>
        <v>286</v>
      </c>
      <c r="N578">
        <f t="shared" si="45"/>
        <v>0</v>
      </c>
    </row>
    <row r="579" spans="12:14" x14ac:dyDescent="0.3">
      <c r="L579">
        <v>285</v>
      </c>
      <c r="M579">
        <f t="shared" si="44"/>
        <v>285</v>
      </c>
      <c r="N579">
        <f t="shared" si="45"/>
        <v>0</v>
      </c>
    </row>
    <row r="580" spans="12:14" x14ac:dyDescent="0.3">
      <c r="L580">
        <v>284</v>
      </c>
      <c r="M580">
        <f t="shared" si="44"/>
        <v>284</v>
      </c>
      <c r="N580">
        <f t="shared" si="45"/>
        <v>0</v>
      </c>
    </row>
    <row r="581" spans="12:14" x14ac:dyDescent="0.3">
      <c r="L581">
        <v>283</v>
      </c>
      <c r="M581">
        <f t="shared" si="44"/>
        <v>283</v>
      </c>
      <c r="N581">
        <f t="shared" si="45"/>
        <v>0</v>
      </c>
    </row>
    <row r="582" spans="12:14" x14ac:dyDescent="0.3">
      <c r="L582">
        <v>282</v>
      </c>
      <c r="M582">
        <f t="shared" si="44"/>
        <v>282</v>
      </c>
      <c r="N582">
        <f t="shared" si="45"/>
        <v>0</v>
      </c>
    </row>
    <row r="583" spans="12:14" x14ac:dyDescent="0.3">
      <c r="L583">
        <v>281</v>
      </c>
      <c r="M583">
        <f t="shared" si="44"/>
        <v>281</v>
      </c>
      <c r="N583">
        <f t="shared" si="45"/>
        <v>0</v>
      </c>
    </row>
    <row r="584" spans="12:14" x14ac:dyDescent="0.3">
      <c r="L584">
        <v>280</v>
      </c>
      <c r="M584">
        <f t="shared" si="44"/>
        <v>280</v>
      </c>
      <c r="N584">
        <f t="shared" si="45"/>
        <v>0</v>
      </c>
    </row>
    <row r="585" spans="12:14" x14ac:dyDescent="0.3">
      <c r="L585">
        <v>279</v>
      </c>
      <c r="M585">
        <f t="shared" si="44"/>
        <v>279</v>
      </c>
      <c r="N585">
        <f t="shared" si="45"/>
        <v>0</v>
      </c>
    </row>
    <row r="586" spans="12:14" x14ac:dyDescent="0.3">
      <c r="L586">
        <v>278</v>
      </c>
      <c r="M586">
        <f t="shared" si="44"/>
        <v>278</v>
      </c>
      <c r="N586">
        <f t="shared" si="45"/>
        <v>0</v>
      </c>
    </row>
    <row r="587" spans="12:14" x14ac:dyDescent="0.3">
      <c r="L587">
        <v>277</v>
      </c>
      <c r="M587">
        <f t="shared" si="44"/>
        <v>277</v>
      </c>
      <c r="N587">
        <f t="shared" si="45"/>
        <v>0</v>
      </c>
    </row>
    <row r="588" spans="12:14" x14ac:dyDescent="0.3">
      <c r="L588">
        <v>276</v>
      </c>
      <c r="M588">
        <f t="shared" si="44"/>
        <v>276</v>
      </c>
      <c r="N588">
        <f t="shared" si="45"/>
        <v>0</v>
      </c>
    </row>
    <row r="589" spans="12:14" x14ac:dyDescent="0.3">
      <c r="L589">
        <v>275</v>
      </c>
      <c r="M589">
        <f t="shared" si="44"/>
        <v>275</v>
      </c>
      <c r="N589">
        <f t="shared" si="45"/>
        <v>0</v>
      </c>
    </row>
    <row r="590" spans="12:14" x14ac:dyDescent="0.3">
      <c r="L590">
        <v>274</v>
      </c>
      <c r="M590">
        <f t="shared" si="44"/>
        <v>274</v>
      </c>
      <c r="N590">
        <f t="shared" si="45"/>
        <v>0</v>
      </c>
    </row>
    <row r="591" spans="12:14" x14ac:dyDescent="0.3">
      <c r="L591">
        <v>273</v>
      </c>
      <c r="M591">
        <f t="shared" si="44"/>
        <v>273</v>
      </c>
      <c r="N591">
        <f t="shared" si="45"/>
        <v>0</v>
      </c>
    </row>
    <row r="592" spans="12:14" x14ac:dyDescent="0.3">
      <c r="L592">
        <v>272</v>
      </c>
      <c r="M592">
        <f t="shared" si="44"/>
        <v>272</v>
      </c>
      <c r="N592">
        <f t="shared" si="45"/>
        <v>0</v>
      </c>
    </row>
    <row r="593" spans="12:14" x14ac:dyDescent="0.3">
      <c r="L593">
        <v>271</v>
      </c>
      <c r="M593">
        <f t="shared" si="44"/>
        <v>271</v>
      </c>
      <c r="N593">
        <f t="shared" si="45"/>
        <v>0</v>
      </c>
    </row>
    <row r="594" spans="12:14" x14ac:dyDescent="0.3">
      <c r="L594">
        <v>270</v>
      </c>
      <c r="M594">
        <f t="shared" si="44"/>
        <v>270</v>
      </c>
      <c r="N594">
        <f t="shared" si="45"/>
        <v>0</v>
      </c>
    </row>
    <row r="595" spans="12:14" x14ac:dyDescent="0.3">
      <c r="L595">
        <v>269</v>
      </c>
      <c r="M595">
        <f t="shared" si="44"/>
        <v>269</v>
      </c>
      <c r="N595">
        <f t="shared" si="45"/>
        <v>0</v>
      </c>
    </row>
    <row r="596" spans="12:14" x14ac:dyDescent="0.3">
      <c r="L596">
        <v>268</v>
      </c>
      <c r="M596">
        <f t="shared" si="44"/>
        <v>268</v>
      </c>
      <c r="N596">
        <f t="shared" si="45"/>
        <v>0</v>
      </c>
    </row>
    <row r="597" spans="12:14" x14ac:dyDescent="0.3">
      <c r="L597">
        <v>267</v>
      </c>
      <c r="M597">
        <f t="shared" si="44"/>
        <v>267</v>
      </c>
      <c r="N597">
        <f t="shared" si="45"/>
        <v>0</v>
      </c>
    </row>
    <row r="598" spans="12:14" x14ac:dyDescent="0.3">
      <c r="L598">
        <v>266</v>
      </c>
      <c r="M598">
        <f t="shared" si="44"/>
        <v>266</v>
      </c>
      <c r="N598">
        <f t="shared" si="45"/>
        <v>0</v>
      </c>
    </row>
    <row r="599" spans="12:14" x14ac:dyDescent="0.3">
      <c r="L599">
        <v>265</v>
      </c>
      <c r="M599">
        <f t="shared" si="44"/>
        <v>265</v>
      </c>
      <c r="N599">
        <f t="shared" si="45"/>
        <v>0</v>
      </c>
    </row>
    <row r="600" spans="12:14" x14ac:dyDescent="0.3">
      <c r="L600">
        <v>264</v>
      </c>
      <c r="M600">
        <f t="shared" si="44"/>
        <v>264</v>
      </c>
      <c r="N600">
        <f t="shared" si="45"/>
        <v>0</v>
      </c>
    </row>
    <row r="601" spans="12:14" x14ac:dyDescent="0.3">
      <c r="L601">
        <v>263</v>
      </c>
      <c r="M601">
        <f t="shared" si="44"/>
        <v>263</v>
      </c>
      <c r="N601">
        <f t="shared" si="45"/>
        <v>0</v>
      </c>
    </row>
    <row r="602" spans="12:14" x14ac:dyDescent="0.3">
      <c r="L602">
        <v>262</v>
      </c>
      <c r="M602">
        <f t="shared" si="44"/>
        <v>262</v>
      </c>
      <c r="N602">
        <f t="shared" si="45"/>
        <v>0</v>
      </c>
    </row>
    <row r="603" spans="12:14" x14ac:dyDescent="0.3">
      <c r="L603">
        <v>261</v>
      </c>
      <c r="M603">
        <f t="shared" si="44"/>
        <v>261</v>
      </c>
      <c r="N603">
        <f t="shared" si="45"/>
        <v>0</v>
      </c>
    </row>
    <row r="604" spans="12:14" x14ac:dyDescent="0.3">
      <c r="L604">
        <v>260</v>
      </c>
      <c r="M604">
        <f t="shared" si="44"/>
        <v>260</v>
      </c>
      <c r="N604">
        <f t="shared" si="45"/>
        <v>0</v>
      </c>
    </row>
    <row r="605" spans="12:14" x14ac:dyDescent="0.3">
      <c r="L605">
        <v>259</v>
      </c>
      <c r="M605">
        <f t="shared" ref="M605:M639" si="46">+M604-1</f>
        <v>259</v>
      </c>
      <c r="N605">
        <f t="shared" ref="N605:N639" si="47">L605-M605</f>
        <v>0</v>
      </c>
    </row>
    <row r="606" spans="12:14" x14ac:dyDescent="0.3">
      <c r="L606">
        <v>258</v>
      </c>
      <c r="M606">
        <f t="shared" si="46"/>
        <v>258</v>
      </c>
      <c r="N606">
        <f t="shared" si="47"/>
        <v>0</v>
      </c>
    </row>
    <row r="607" spans="12:14" x14ac:dyDescent="0.3">
      <c r="L607">
        <v>257</v>
      </c>
      <c r="M607">
        <f t="shared" si="46"/>
        <v>257</v>
      </c>
      <c r="N607">
        <f t="shared" si="47"/>
        <v>0</v>
      </c>
    </row>
    <row r="608" spans="12:14" x14ac:dyDescent="0.3">
      <c r="L608">
        <v>256</v>
      </c>
      <c r="M608">
        <f t="shared" si="46"/>
        <v>256</v>
      </c>
      <c r="N608">
        <f t="shared" si="47"/>
        <v>0</v>
      </c>
    </row>
    <row r="609" spans="12:14" x14ac:dyDescent="0.3">
      <c r="L609">
        <v>255</v>
      </c>
      <c r="M609">
        <f t="shared" si="46"/>
        <v>255</v>
      </c>
      <c r="N609">
        <f t="shared" si="47"/>
        <v>0</v>
      </c>
    </row>
    <row r="610" spans="12:14" x14ac:dyDescent="0.3">
      <c r="L610">
        <v>254</v>
      </c>
      <c r="M610">
        <f t="shared" si="46"/>
        <v>254</v>
      </c>
      <c r="N610">
        <f t="shared" si="47"/>
        <v>0</v>
      </c>
    </row>
    <row r="611" spans="12:14" x14ac:dyDescent="0.3">
      <c r="L611">
        <v>253</v>
      </c>
      <c r="M611">
        <f t="shared" si="46"/>
        <v>253</v>
      </c>
      <c r="N611">
        <f t="shared" si="47"/>
        <v>0</v>
      </c>
    </row>
    <row r="612" spans="12:14" x14ac:dyDescent="0.3">
      <c r="L612">
        <v>252</v>
      </c>
      <c r="M612">
        <f t="shared" si="46"/>
        <v>252</v>
      </c>
      <c r="N612">
        <f t="shared" si="47"/>
        <v>0</v>
      </c>
    </row>
    <row r="613" spans="12:14" x14ac:dyDescent="0.3">
      <c r="L613">
        <v>251</v>
      </c>
      <c r="M613">
        <f t="shared" si="46"/>
        <v>251</v>
      </c>
      <c r="N613">
        <f t="shared" si="47"/>
        <v>0</v>
      </c>
    </row>
    <row r="614" spans="12:14" x14ac:dyDescent="0.3">
      <c r="L614">
        <v>250</v>
      </c>
      <c r="M614">
        <f t="shared" si="46"/>
        <v>250</v>
      </c>
      <c r="N614">
        <f t="shared" si="47"/>
        <v>0</v>
      </c>
    </row>
    <row r="615" spans="12:14" x14ac:dyDescent="0.3">
      <c r="L615">
        <v>249</v>
      </c>
      <c r="M615">
        <f t="shared" si="46"/>
        <v>249</v>
      </c>
      <c r="N615">
        <f t="shared" si="47"/>
        <v>0</v>
      </c>
    </row>
    <row r="616" spans="12:14" x14ac:dyDescent="0.3">
      <c r="L616">
        <v>248</v>
      </c>
      <c r="M616">
        <f t="shared" si="46"/>
        <v>248</v>
      </c>
      <c r="N616">
        <f t="shared" si="47"/>
        <v>0</v>
      </c>
    </row>
    <row r="617" spans="12:14" x14ac:dyDescent="0.3">
      <c r="L617">
        <v>247</v>
      </c>
      <c r="M617">
        <f t="shared" si="46"/>
        <v>247</v>
      </c>
      <c r="N617">
        <f t="shared" si="47"/>
        <v>0</v>
      </c>
    </row>
    <row r="618" spans="12:14" x14ac:dyDescent="0.3">
      <c r="L618">
        <v>246</v>
      </c>
      <c r="M618">
        <f t="shared" si="46"/>
        <v>246</v>
      </c>
      <c r="N618">
        <f t="shared" si="47"/>
        <v>0</v>
      </c>
    </row>
    <row r="619" spans="12:14" x14ac:dyDescent="0.3">
      <c r="L619">
        <v>245</v>
      </c>
      <c r="M619">
        <f t="shared" si="46"/>
        <v>245</v>
      </c>
      <c r="N619">
        <f t="shared" si="47"/>
        <v>0</v>
      </c>
    </row>
    <row r="620" spans="12:14" x14ac:dyDescent="0.3">
      <c r="L620">
        <v>244</v>
      </c>
      <c r="M620">
        <f t="shared" si="46"/>
        <v>244</v>
      </c>
      <c r="N620">
        <f t="shared" si="47"/>
        <v>0</v>
      </c>
    </row>
    <row r="621" spans="12:14" x14ac:dyDescent="0.3">
      <c r="L621">
        <v>243</v>
      </c>
      <c r="M621">
        <f t="shared" si="46"/>
        <v>243</v>
      </c>
      <c r="N621">
        <f t="shared" si="47"/>
        <v>0</v>
      </c>
    </row>
    <row r="622" spans="12:14" x14ac:dyDescent="0.3">
      <c r="L622">
        <v>242</v>
      </c>
      <c r="M622">
        <f t="shared" si="46"/>
        <v>242</v>
      </c>
      <c r="N622">
        <f t="shared" si="47"/>
        <v>0</v>
      </c>
    </row>
    <row r="623" spans="12:14" x14ac:dyDescent="0.3">
      <c r="L623">
        <v>241</v>
      </c>
      <c r="M623">
        <f t="shared" si="46"/>
        <v>241</v>
      </c>
      <c r="N623">
        <f t="shared" si="47"/>
        <v>0</v>
      </c>
    </row>
    <row r="624" spans="12:14" x14ac:dyDescent="0.3">
      <c r="L624">
        <v>240</v>
      </c>
      <c r="M624">
        <f t="shared" si="46"/>
        <v>240</v>
      </c>
      <c r="N624">
        <f t="shared" si="47"/>
        <v>0</v>
      </c>
    </row>
    <row r="625" spans="12:14" x14ac:dyDescent="0.3">
      <c r="L625">
        <v>239</v>
      </c>
      <c r="M625">
        <f t="shared" si="46"/>
        <v>239</v>
      </c>
      <c r="N625">
        <f t="shared" si="47"/>
        <v>0</v>
      </c>
    </row>
    <row r="626" spans="12:14" x14ac:dyDescent="0.3">
      <c r="L626">
        <v>238</v>
      </c>
      <c r="M626">
        <f t="shared" si="46"/>
        <v>238</v>
      </c>
      <c r="N626">
        <f t="shared" si="47"/>
        <v>0</v>
      </c>
    </row>
    <row r="627" spans="12:14" x14ac:dyDescent="0.3">
      <c r="L627">
        <v>237</v>
      </c>
      <c r="M627">
        <f t="shared" si="46"/>
        <v>237</v>
      </c>
      <c r="N627">
        <f t="shared" si="47"/>
        <v>0</v>
      </c>
    </row>
    <row r="628" spans="12:14" x14ac:dyDescent="0.3">
      <c r="L628">
        <v>236</v>
      </c>
      <c r="M628">
        <f t="shared" si="46"/>
        <v>236</v>
      </c>
      <c r="N628">
        <f t="shared" si="47"/>
        <v>0</v>
      </c>
    </row>
    <row r="629" spans="12:14" x14ac:dyDescent="0.3">
      <c r="L629">
        <v>235</v>
      </c>
      <c r="M629">
        <f t="shared" si="46"/>
        <v>235</v>
      </c>
      <c r="N629">
        <f t="shared" si="47"/>
        <v>0</v>
      </c>
    </row>
    <row r="630" spans="12:14" x14ac:dyDescent="0.3">
      <c r="L630">
        <v>234</v>
      </c>
      <c r="M630">
        <f t="shared" si="46"/>
        <v>234</v>
      </c>
      <c r="N630">
        <f t="shared" si="47"/>
        <v>0</v>
      </c>
    </row>
    <row r="631" spans="12:14" x14ac:dyDescent="0.3">
      <c r="L631">
        <v>233</v>
      </c>
      <c r="M631">
        <f t="shared" si="46"/>
        <v>233</v>
      </c>
      <c r="N631">
        <f t="shared" si="47"/>
        <v>0</v>
      </c>
    </row>
    <row r="632" spans="12:14" x14ac:dyDescent="0.3">
      <c r="L632">
        <v>232</v>
      </c>
      <c r="M632">
        <f t="shared" si="46"/>
        <v>232</v>
      </c>
      <c r="N632">
        <f t="shared" si="47"/>
        <v>0</v>
      </c>
    </row>
    <row r="633" spans="12:14" x14ac:dyDescent="0.3">
      <c r="L633">
        <v>231</v>
      </c>
      <c r="M633">
        <f t="shared" si="46"/>
        <v>231</v>
      </c>
      <c r="N633">
        <f t="shared" si="47"/>
        <v>0</v>
      </c>
    </row>
    <row r="634" spans="12:14" x14ac:dyDescent="0.3">
      <c r="L634">
        <v>230</v>
      </c>
      <c r="M634">
        <f t="shared" si="46"/>
        <v>230</v>
      </c>
      <c r="N634">
        <f t="shared" si="47"/>
        <v>0</v>
      </c>
    </row>
    <row r="635" spans="12:14" x14ac:dyDescent="0.3">
      <c r="L635">
        <v>229</v>
      </c>
      <c r="M635">
        <f t="shared" si="46"/>
        <v>229</v>
      </c>
      <c r="N635">
        <f t="shared" si="47"/>
        <v>0</v>
      </c>
    </row>
    <row r="636" spans="12:14" x14ac:dyDescent="0.3">
      <c r="L636">
        <v>228</v>
      </c>
      <c r="M636">
        <f t="shared" si="46"/>
        <v>228</v>
      </c>
      <c r="N636">
        <f t="shared" si="47"/>
        <v>0</v>
      </c>
    </row>
    <row r="637" spans="12:14" x14ac:dyDescent="0.3">
      <c r="L637">
        <v>227</v>
      </c>
      <c r="M637">
        <f t="shared" si="46"/>
        <v>227</v>
      </c>
      <c r="N637">
        <f t="shared" si="47"/>
        <v>0</v>
      </c>
    </row>
    <row r="638" spans="12:14" x14ac:dyDescent="0.3">
      <c r="L638">
        <v>226</v>
      </c>
      <c r="M638">
        <f t="shared" si="46"/>
        <v>226</v>
      </c>
      <c r="N638">
        <f t="shared" si="47"/>
        <v>0</v>
      </c>
    </row>
    <row r="639" spans="12:14" x14ac:dyDescent="0.3">
      <c r="L639">
        <v>225</v>
      </c>
      <c r="M639">
        <f t="shared" si="46"/>
        <v>225</v>
      </c>
      <c r="N639">
        <f t="shared" si="47"/>
        <v>0</v>
      </c>
    </row>
    <row r="640" spans="12:14" x14ac:dyDescent="0.3">
      <c r="L640">
        <v>224</v>
      </c>
      <c r="M640">
        <f t="shared" ref="M640:M703" si="48">+M639-1</f>
        <v>224</v>
      </c>
      <c r="N640">
        <f t="shared" ref="N640:N703" si="49">L640-M640</f>
        <v>0</v>
      </c>
    </row>
    <row r="641" spans="12:14" x14ac:dyDescent="0.3">
      <c r="L641">
        <v>223</v>
      </c>
      <c r="M641">
        <f t="shared" si="48"/>
        <v>223</v>
      </c>
      <c r="N641">
        <f t="shared" si="49"/>
        <v>0</v>
      </c>
    </row>
    <row r="642" spans="12:14" x14ac:dyDescent="0.3">
      <c r="L642">
        <v>222</v>
      </c>
      <c r="M642">
        <f t="shared" si="48"/>
        <v>222</v>
      </c>
      <c r="N642">
        <f t="shared" si="49"/>
        <v>0</v>
      </c>
    </row>
    <row r="643" spans="12:14" x14ac:dyDescent="0.3">
      <c r="L643">
        <v>221</v>
      </c>
      <c r="M643">
        <f t="shared" si="48"/>
        <v>221</v>
      </c>
      <c r="N643">
        <f t="shared" si="49"/>
        <v>0</v>
      </c>
    </row>
    <row r="644" spans="12:14" x14ac:dyDescent="0.3">
      <c r="L644">
        <v>220</v>
      </c>
      <c r="M644">
        <f t="shared" si="48"/>
        <v>220</v>
      </c>
      <c r="N644">
        <f t="shared" si="49"/>
        <v>0</v>
      </c>
    </row>
    <row r="645" spans="12:14" x14ac:dyDescent="0.3">
      <c r="L645">
        <v>219</v>
      </c>
      <c r="M645">
        <f t="shared" si="48"/>
        <v>219</v>
      </c>
      <c r="N645">
        <f t="shared" si="49"/>
        <v>0</v>
      </c>
    </row>
    <row r="646" spans="12:14" x14ac:dyDescent="0.3">
      <c r="L646">
        <v>218</v>
      </c>
      <c r="M646">
        <f t="shared" si="48"/>
        <v>218</v>
      </c>
      <c r="N646">
        <f t="shared" si="49"/>
        <v>0</v>
      </c>
    </row>
    <row r="647" spans="12:14" x14ac:dyDescent="0.3">
      <c r="L647">
        <v>217</v>
      </c>
      <c r="M647">
        <f t="shared" si="48"/>
        <v>217</v>
      </c>
      <c r="N647">
        <f t="shared" si="49"/>
        <v>0</v>
      </c>
    </row>
    <row r="648" spans="12:14" x14ac:dyDescent="0.3">
      <c r="L648">
        <v>216</v>
      </c>
      <c r="M648">
        <f t="shared" si="48"/>
        <v>216</v>
      </c>
      <c r="N648">
        <f t="shared" si="49"/>
        <v>0</v>
      </c>
    </row>
    <row r="649" spans="12:14" x14ac:dyDescent="0.3">
      <c r="L649">
        <v>215</v>
      </c>
      <c r="M649">
        <f t="shared" si="48"/>
        <v>215</v>
      </c>
      <c r="N649">
        <f t="shared" si="49"/>
        <v>0</v>
      </c>
    </row>
    <row r="650" spans="12:14" x14ac:dyDescent="0.3">
      <c r="L650">
        <v>214</v>
      </c>
      <c r="M650">
        <f t="shared" si="48"/>
        <v>214</v>
      </c>
      <c r="N650">
        <f t="shared" si="49"/>
        <v>0</v>
      </c>
    </row>
    <row r="651" spans="12:14" x14ac:dyDescent="0.3">
      <c r="L651">
        <v>213</v>
      </c>
      <c r="M651">
        <f t="shared" si="48"/>
        <v>213</v>
      </c>
      <c r="N651">
        <f t="shared" si="49"/>
        <v>0</v>
      </c>
    </row>
    <row r="652" spans="12:14" x14ac:dyDescent="0.3">
      <c r="L652">
        <v>212</v>
      </c>
      <c r="M652">
        <f t="shared" si="48"/>
        <v>212</v>
      </c>
      <c r="N652">
        <f t="shared" si="49"/>
        <v>0</v>
      </c>
    </row>
    <row r="653" spans="12:14" x14ac:dyDescent="0.3">
      <c r="L653">
        <v>211</v>
      </c>
      <c r="M653">
        <f t="shared" si="48"/>
        <v>211</v>
      </c>
      <c r="N653">
        <f t="shared" si="49"/>
        <v>0</v>
      </c>
    </row>
    <row r="654" spans="12:14" x14ac:dyDescent="0.3">
      <c r="L654">
        <v>210</v>
      </c>
      <c r="M654">
        <f t="shared" si="48"/>
        <v>210</v>
      </c>
      <c r="N654">
        <f t="shared" si="49"/>
        <v>0</v>
      </c>
    </row>
    <row r="655" spans="12:14" x14ac:dyDescent="0.3">
      <c r="L655">
        <v>209</v>
      </c>
      <c r="M655">
        <f t="shared" si="48"/>
        <v>209</v>
      </c>
      <c r="N655">
        <f t="shared" si="49"/>
        <v>0</v>
      </c>
    </row>
    <row r="656" spans="12:14" x14ac:dyDescent="0.3">
      <c r="L656">
        <v>208</v>
      </c>
      <c r="M656">
        <f t="shared" si="48"/>
        <v>208</v>
      </c>
      <c r="N656">
        <f t="shared" si="49"/>
        <v>0</v>
      </c>
    </row>
    <row r="657" spans="12:14" x14ac:dyDescent="0.3">
      <c r="L657">
        <v>207</v>
      </c>
      <c r="M657">
        <f t="shared" si="48"/>
        <v>207</v>
      </c>
      <c r="N657">
        <f t="shared" si="49"/>
        <v>0</v>
      </c>
    </row>
    <row r="658" spans="12:14" x14ac:dyDescent="0.3">
      <c r="L658">
        <v>206</v>
      </c>
      <c r="M658">
        <f t="shared" si="48"/>
        <v>206</v>
      </c>
      <c r="N658">
        <f t="shared" si="49"/>
        <v>0</v>
      </c>
    </row>
    <row r="659" spans="12:14" x14ac:dyDescent="0.3">
      <c r="L659">
        <v>205</v>
      </c>
      <c r="M659">
        <f t="shared" si="48"/>
        <v>205</v>
      </c>
      <c r="N659">
        <f t="shared" si="49"/>
        <v>0</v>
      </c>
    </row>
    <row r="660" spans="12:14" x14ac:dyDescent="0.3">
      <c r="L660">
        <v>204</v>
      </c>
      <c r="M660">
        <f t="shared" si="48"/>
        <v>204</v>
      </c>
      <c r="N660">
        <f t="shared" si="49"/>
        <v>0</v>
      </c>
    </row>
    <row r="661" spans="12:14" x14ac:dyDescent="0.3">
      <c r="L661">
        <v>203</v>
      </c>
      <c r="M661">
        <f t="shared" si="48"/>
        <v>203</v>
      </c>
      <c r="N661">
        <f t="shared" si="49"/>
        <v>0</v>
      </c>
    </row>
    <row r="662" spans="12:14" x14ac:dyDescent="0.3">
      <c r="L662">
        <v>202</v>
      </c>
      <c r="M662">
        <f t="shared" si="48"/>
        <v>202</v>
      </c>
      <c r="N662">
        <f t="shared" si="49"/>
        <v>0</v>
      </c>
    </row>
    <row r="663" spans="12:14" x14ac:dyDescent="0.3">
      <c r="L663">
        <v>201</v>
      </c>
      <c r="M663">
        <f t="shared" si="48"/>
        <v>201</v>
      </c>
      <c r="N663">
        <f t="shared" si="49"/>
        <v>0</v>
      </c>
    </row>
    <row r="664" spans="12:14" x14ac:dyDescent="0.3">
      <c r="L664">
        <v>200</v>
      </c>
      <c r="M664">
        <f t="shared" si="48"/>
        <v>200</v>
      </c>
      <c r="N664">
        <f t="shared" si="49"/>
        <v>0</v>
      </c>
    </row>
    <row r="665" spans="12:14" x14ac:dyDescent="0.3">
      <c r="L665">
        <v>199</v>
      </c>
      <c r="M665">
        <f t="shared" si="48"/>
        <v>199</v>
      </c>
      <c r="N665">
        <f t="shared" si="49"/>
        <v>0</v>
      </c>
    </row>
    <row r="666" spans="12:14" x14ac:dyDescent="0.3">
      <c r="L666">
        <v>198</v>
      </c>
      <c r="M666">
        <f t="shared" si="48"/>
        <v>198</v>
      </c>
      <c r="N666">
        <f t="shared" si="49"/>
        <v>0</v>
      </c>
    </row>
    <row r="667" spans="12:14" x14ac:dyDescent="0.3">
      <c r="L667">
        <v>197</v>
      </c>
      <c r="M667">
        <f t="shared" si="48"/>
        <v>197</v>
      </c>
      <c r="N667">
        <f t="shared" si="49"/>
        <v>0</v>
      </c>
    </row>
    <row r="668" spans="12:14" x14ac:dyDescent="0.3">
      <c r="L668">
        <v>196</v>
      </c>
      <c r="M668">
        <f t="shared" si="48"/>
        <v>196</v>
      </c>
      <c r="N668">
        <f t="shared" si="49"/>
        <v>0</v>
      </c>
    </row>
    <row r="669" spans="12:14" x14ac:dyDescent="0.3">
      <c r="L669">
        <v>195</v>
      </c>
      <c r="M669">
        <f t="shared" si="48"/>
        <v>195</v>
      </c>
      <c r="N669">
        <f t="shared" si="49"/>
        <v>0</v>
      </c>
    </row>
    <row r="670" spans="12:14" x14ac:dyDescent="0.3">
      <c r="L670">
        <v>194</v>
      </c>
      <c r="M670">
        <f t="shared" si="48"/>
        <v>194</v>
      </c>
      <c r="N670">
        <f t="shared" si="49"/>
        <v>0</v>
      </c>
    </row>
    <row r="671" spans="12:14" x14ac:dyDescent="0.3">
      <c r="L671">
        <v>193</v>
      </c>
      <c r="M671">
        <f t="shared" si="48"/>
        <v>193</v>
      </c>
      <c r="N671">
        <f t="shared" si="49"/>
        <v>0</v>
      </c>
    </row>
    <row r="672" spans="12:14" x14ac:dyDescent="0.3">
      <c r="L672">
        <v>192</v>
      </c>
      <c r="M672">
        <f t="shared" si="48"/>
        <v>192</v>
      </c>
      <c r="N672">
        <f t="shared" si="49"/>
        <v>0</v>
      </c>
    </row>
    <row r="673" spans="12:14" x14ac:dyDescent="0.3">
      <c r="L673">
        <v>191</v>
      </c>
      <c r="M673">
        <f t="shared" si="48"/>
        <v>191</v>
      </c>
      <c r="N673">
        <f t="shared" si="49"/>
        <v>0</v>
      </c>
    </row>
    <row r="674" spans="12:14" x14ac:dyDescent="0.3">
      <c r="L674">
        <v>190</v>
      </c>
      <c r="M674">
        <f t="shared" si="48"/>
        <v>190</v>
      </c>
      <c r="N674">
        <f t="shared" si="49"/>
        <v>0</v>
      </c>
    </row>
    <row r="675" spans="12:14" x14ac:dyDescent="0.3">
      <c r="L675">
        <v>189</v>
      </c>
      <c r="M675">
        <f t="shared" si="48"/>
        <v>189</v>
      </c>
      <c r="N675">
        <f t="shared" si="49"/>
        <v>0</v>
      </c>
    </row>
    <row r="676" spans="12:14" x14ac:dyDescent="0.3">
      <c r="L676">
        <v>188</v>
      </c>
      <c r="M676">
        <f t="shared" si="48"/>
        <v>188</v>
      </c>
      <c r="N676">
        <f t="shared" si="49"/>
        <v>0</v>
      </c>
    </row>
    <row r="677" spans="12:14" x14ac:dyDescent="0.3">
      <c r="L677">
        <v>187</v>
      </c>
      <c r="M677">
        <f t="shared" si="48"/>
        <v>187</v>
      </c>
      <c r="N677">
        <f t="shared" si="49"/>
        <v>0</v>
      </c>
    </row>
    <row r="678" spans="12:14" x14ac:dyDescent="0.3">
      <c r="L678">
        <v>186</v>
      </c>
      <c r="M678">
        <f t="shared" si="48"/>
        <v>186</v>
      </c>
      <c r="N678">
        <f t="shared" si="49"/>
        <v>0</v>
      </c>
    </row>
    <row r="679" spans="12:14" x14ac:dyDescent="0.3">
      <c r="L679">
        <v>185</v>
      </c>
      <c r="M679">
        <f t="shared" si="48"/>
        <v>185</v>
      </c>
      <c r="N679">
        <f t="shared" si="49"/>
        <v>0</v>
      </c>
    </row>
    <row r="680" spans="12:14" x14ac:dyDescent="0.3">
      <c r="L680">
        <v>184</v>
      </c>
      <c r="M680">
        <f t="shared" si="48"/>
        <v>184</v>
      </c>
      <c r="N680">
        <f t="shared" si="49"/>
        <v>0</v>
      </c>
    </row>
    <row r="681" spans="12:14" x14ac:dyDescent="0.3">
      <c r="L681">
        <v>183</v>
      </c>
      <c r="M681">
        <f t="shared" si="48"/>
        <v>183</v>
      </c>
      <c r="N681">
        <f t="shared" si="49"/>
        <v>0</v>
      </c>
    </row>
    <row r="682" spans="12:14" x14ac:dyDescent="0.3">
      <c r="L682">
        <v>182</v>
      </c>
      <c r="M682">
        <f t="shared" si="48"/>
        <v>182</v>
      </c>
      <c r="N682">
        <f t="shared" si="49"/>
        <v>0</v>
      </c>
    </row>
    <row r="683" spans="12:14" x14ac:dyDescent="0.3">
      <c r="L683">
        <v>181</v>
      </c>
      <c r="M683">
        <f t="shared" si="48"/>
        <v>181</v>
      </c>
      <c r="N683">
        <f t="shared" si="49"/>
        <v>0</v>
      </c>
    </row>
    <row r="684" spans="12:14" x14ac:dyDescent="0.3">
      <c r="L684">
        <v>180</v>
      </c>
      <c r="M684">
        <f t="shared" si="48"/>
        <v>180</v>
      </c>
      <c r="N684">
        <f t="shared" si="49"/>
        <v>0</v>
      </c>
    </row>
    <row r="685" spans="12:14" x14ac:dyDescent="0.3">
      <c r="L685">
        <v>179</v>
      </c>
      <c r="M685">
        <f t="shared" si="48"/>
        <v>179</v>
      </c>
      <c r="N685">
        <f t="shared" si="49"/>
        <v>0</v>
      </c>
    </row>
    <row r="686" spans="12:14" x14ac:dyDescent="0.3">
      <c r="L686">
        <v>178</v>
      </c>
      <c r="M686">
        <f t="shared" si="48"/>
        <v>178</v>
      </c>
      <c r="N686">
        <f t="shared" si="49"/>
        <v>0</v>
      </c>
    </row>
    <row r="687" spans="12:14" x14ac:dyDescent="0.3">
      <c r="L687">
        <v>177</v>
      </c>
      <c r="M687">
        <f t="shared" si="48"/>
        <v>177</v>
      </c>
      <c r="N687">
        <f t="shared" si="49"/>
        <v>0</v>
      </c>
    </row>
    <row r="688" spans="12:14" x14ac:dyDescent="0.3">
      <c r="L688">
        <v>176</v>
      </c>
      <c r="M688">
        <f t="shared" si="48"/>
        <v>176</v>
      </c>
      <c r="N688">
        <f t="shared" si="49"/>
        <v>0</v>
      </c>
    </row>
    <row r="689" spans="12:14" x14ac:dyDescent="0.3">
      <c r="L689">
        <v>175</v>
      </c>
      <c r="M689">
        <f t="shared" si="48"/>
        <v>175</v>
      </c>
      <c r="N689">
        <f t="shared" si="49"/>
        <v>0</v>
      </c>
    </row>
    <row r="690" spans="12:14" x14ac:dyDescent="0.3">
      <c r="L690">
        <v>174</v>
      </c>
      <c r="M690">
        <f t="shared" si="48"/>
        <v>174</v>
      </c>
      <c r="N690">
        <f t="shared" si="49"/>
        <v>0</v>
      </c>
    </row>
    <row r="691" spans="12:14" x14ac:dyDescent="0.3">
      <c r="L691">
        <v>173</v>
      </c>
      <c r="M691">
        <f t="shared" si="48"/>
        <v>173</v>
      </c>
      <c r="N691">
        <f t="shared" si="49"/>
        <v>0</v>
      </c>
    </row>
    <row r="692" spans="12:14" x14ac:dyDescent="0.3">
      <c r="L692">
        <v>172</v>
      </c>
      <c r="M692">
        <f t="shared" si="48"/>
        <v>172</v>
      </c>
      <c r="N692">
        <f t="shared" si="49"/>
        <v>0</v>
      </c>
    </row>
    <row r="693" spans="12:14" x14ac:dyDescent="0.3">
      <c r="L693">
        <v>171</v>
      </c>
      <c r="M693">
        <f t="shared" si="48"/>
        <v>171</v>
      </c>
      <c r="N693">
        <f t="shared" si="49"/>
        <v>0</v>
      </c>
    </row>
    <row r="694" spans="12:14" x14ac:dyDescent="0.3">
      <c r="L694">
        <v>170</v>
      </c>
      <c r="M694">
        <f t="shared" si="48"/>
        <v>170</v>
      </c>
      <c r="N694">
        <f t="shared" si="49"/>
        <v>0</v>
      </c>
    </row>
    <row r="695" spans="12:14" x14ac:dyDescent="0.3">
      <c r="L695">
        <v>169</v>
      </c>
      <c r="M695">
        <f t="shared" si="48"/>
        <v>169</v>
      </c>
      <c r="N695">
        <f t="shared" si="49"/>
        <v>0</v>
      </c>
    </row>
    <row r="696" spans="12:14" x14ac:dyDescent="0.3">
      <c r="L696">
        <v>168</v>
      </c>
      <c r="M696">
        <f t="shared" si="48"/>
        <v>168</v>
      </c>
      <c r="N696">
        <f t="shared" si="49"/>
        <v>0</v>
      </c>
    </row>
    <row r="697" spans="12:14" x14ac:dyDescent="0.3">
      <c r="L697">
        <v>167</v>
      </c>
      <c r="M697">
        <f t="shared" si="48"/>
        <v>167</v>
      </c>
      <c r="N697">
        <f t="shared" si="49"/>
        <v>0</v>
      </c>
    </row>
    <row r="698" spans="12:14" x14ac:dyDescent="0.3">
      <c r="L698">
        <v>166</v>
      </c>
      <c r="M698">
        <f t="shared" si="48"/>
        <v>166</v>
      </c>
      <c r="N698">
        <f t="shared" si="49"/>
        <v>0</v>
      </c>
    </row>
    <row r="699" spans="12:14" x14ac:dyDescent="0.3">
      <c r="L699">
        <v>165</v>
      </c>
      <c r="M699">
        <f t="shared" si="48"/>
        <v>165</v>
      </c>
      <c r="N699">
        <f t="shared" si="49"/>
        <v>0</v>
      </c>
    </row>
    <row r="700" spans="12:14" x14ac:dyDescent="0.3">
      <c r="L700">
        <v>164</v>
      </c>
      <c r="M700">
        <f t="shared" si="48"/>
        <v>164</v>
      </c>
      <c r="N700">
        <f t="shared" si="49"/>
        <v>0</v>
      </c>
    </row>
    <row r="701" spans="12:14" x14ac:dyDescent="0.3">
      <c r="L701">
        <v>163</v>
      </c>
      <c r="M701">
        <f t="shared" si="48"/>
        <v>163</v>
      </c>
      <c r="N701">
        <f t="shared" si="49"/>
        <v>0</v>
      </c>
    </row>
    <row r="702" spans="12:14" x14ac:dyDescent="0.3">
      <c r="L702">
        <v>162</v>
      </c>
      <c r="M702">
        <f t="shared" si="48"/>
        <v>162</v>
      </c>
      <c r="N702">
        <f t="shared" si="49"/>
        <v>0</v>
      </c>
    </row>
    <row r="703" spans="12:14" x14ac:dyDescent="0.3">
      <c r="L703">
        <v>161</v>
      </c>
      <c r="M703">
        <f t="shared" si="48"/>
        <v>161</v>
      </c>
      <c r="N703">
        <f t="shared" si="49"/>
        <v>0</v>
      </c>
    </row>
    <row r="704" spans="12:14" x14ac:dyDescent="0.3">
      <c r="L704">
        <v>160</v>
      </c>
      <c r="M704">
        <f t="shared" ref="M704:M767" si="50">+M703-1</f>
        <v>160</v>
      </c>
      <c r="N704">
        <f t="shared" ref="N704:N767" si="51">L704-M704</f>
        <v>0</v>
      </c>
    </row>
    <row r="705" spans="12:14" x14ac:dyDescent="0.3">
      <c r="L705">
        <v>159</v>
      </c>
      <c r="M705">
        <f t="shared" si="50"/>
        <v>159</v>
      </c>
      <c r="N705">
        <f t="shared" si="51"/>
        <v>0</v>
      </c>
    </row>
    <row r="706" spans="12:14" x14ac:dyDescent="0.3">
      <c r="L706">
        <v>158</v>
      </c>
      <c r="M706">
        <f t="shared" si="50"/>
        <v>158</v>
      </c>
      <c r="N706">
        <f t="shared" si="51"/>
        <v>0</v>
      </c>
    </row>
    <row r="707" spans="12:14" x14ac:dyDescent="0.3">
      <c r="L707">
        <v>157</v>
      </c>
      <c r="M707">
        <f t="shared" si="50"/>
        <v>157</v>
      </c>
      <c r="N707">
        <f t="shared" si="51"/>
        <v>0</v>
      </c>
    </row>
    <row r="708" spans="12:14" x14ac:dyDescent="0.3">
      <c r="L708">
        <v>156</v>
      </c>
      <c r="M708">
        <f t="shared" si="50"/>
        <v>156</v>
      </c>
      <c r="N708">
        <f t="shared" si="51"/>
        <v>0</v>
      </c>
    </row>
    <row r="709" spans="12:14" x14ac:dyDescent="0.3">
      <c r="L709">
        <v>155</v>
      </c>
      <c r="M709">
        <f t="shared" si="50"/>
        <v>155</v>
      </c>
      <c r="N709">
        <f t="shared" si="51"/>
        <v>0</v>
      </c>
    </row>
    <row r="710" spans="12:14" x14ac:dyDescent="0.3">
      <c r="L710">
        <v>154</v>
      </c>
      <c r="M710">
        <f t="shared" si="50"/>
        <v>154</v>
      </c>
      <c r="N710">
        <f t="shared" si="51"/>
        <v>0</v>
      </c>
    </row>
    <row r="711" spans="12:14" x14ac:dyDescent="0.3">
      <c r="L711">
        <v>153</v>
      </c>
      <c r="M711">
        <f t="shared" si="50"/>
        <v>153</v>
      </c>
      <c r="N711">
        <f t="shared" si="51"/>
        <v>0</v>
      </c>
    </row>
    <row r="712" spans="12:14" x14ac:dyDescent="0.3">
      <c r="L712">
        <v>152</v>
      </c>
      <c r="M712">
        <f t="shared" si="50"/>
        <v>152</v>
      </c>
      <c r="N712">
        <f t="shared" si="51"/>
        <v>0</v>
      </c>
    </row>
    <row r="713" spans="12:14" x14ac:dyDescent="0.3">
      <c r="L713">
        <v>151</v>
      </c>
      <c r="M713">
        <f t="shared" si="50"/>
        <v>151</v>
      </c>
      <c r="N713">
        <f t="shared" si="51"/>
        <v>0</v>
      </c>
    </row>
    <row r="714" spans="12:14" x14ac:dyDescent="0.3">
      <c r="L714">
        <v>150</v>
      </c>
      <c r="M714">
        <f t="shared" si="50"/>
        <v>150</v>
      </c>
      <c r="N714">
        <f t="shared" si="51"/>
        <v>0</v>
      </c>
    </row>
    <row r="715" spans="12:14" x14ac:dyDescent="0.3">
      <c r="L715">
        <v>149</v>
      </c>
      <c r="M715">
        <f t="shared" si="50"/>
        <v>149</v>
      </c>
      <c r="N715">
        <f t="shared" si="51"/>
        <v>0</v>
      </c>
    </row>
    <row r="716" spans="12:14" x14ac:dyDescent="0.3">
      <c r="L716">
        <v>148</v>
      </c>
      <c r="M716">
        <f t="shared" si="50"/>
        <v>148</v>
      </c>
      <c r="N716">
        <f t="shared" si="51"/>
        <v>0</v>
      </c>
    </row>
    <row r="717" spans="12:14" x14ac:dyDescent="0.3">
      <c r="L717">
        <v>147</v>
      </c>
      <c r="M717">
        <f t="shared" si="50"/>
        <v>147</v>
      </c>
      <c r="N717">
        <f t="shared" si="51"/>
        <v>0</v>
      </c>
    </row>
    <row r="718" spans="12:14" x14ac:dyDescent="0.3">
      <c r="L718">
        <v>146</v>
      </c>
      <c r="M718">
        <f t="shared" si="50"/>
        <v>146</v>
      </c>
      <c r="N718">
        <f t="shared" si="51"/>
        <v>0</v>
      </c>
    </row>
    <row r="719" spans="12:14" x14ac:dyDescent="0.3">
      <c r="L719">
        <v>145</v>
      </c>
      <c r="M719">
        <f t="shared" si="50"/>
        <v>145</v>
      </c>
      <c r="N719">
        <f t="shared" si="51"/>
        <v>0</v>
      </c>
    </row>
    <row r="720" spans="12:14" x14ac:dyDescent="0.3">
      <c r="L720">
        <v>144</v>
      </c>
      <c r="M720">
        <f t="shared" si="50"/>
        <v>144</v>
      </c>
      <c r="N720">
        <f t="shared" si="51"/>
        <v>0</v>
      </c>
    </row>
    <row r="721" spans="12:14" x14ac:dyDescent="0.3">
      <c r="L721">
        <v>143</v>
      </c>
      <c r="M721">
        <f t="shared" si="50"/>
        <v>143</v>
      </c>
      <c r="N721">
        <f t="shared" si="51"/>
        <v>0</v>
      </c>
    </row>
    <row r="722" spans="12:14" x14ac:dyDescent="0.3">
      <c r="L722">
        <v>142</v>
      </c>
      <c r="M722">
        <f t="shared" si="50"/>
        <v>142</v>
      </c>
      <c r="N722">
        <f t="shared" si="51"/>
        <v>0</v>
      </c>
    </row>
    <row r="723" spans="12:14" x14ac:dyDescent="0.3">
      <c r="L723">
        <v>141</v>
      </c>
      <c r="M723">
        <f t="shared" si="50"/>
        <v>141</v>
      </c>
      <c r="N723">
        <f t="shared" si="51"/>
        <v>0</v>
      </c>
    </row>
    <row r="724" spans="12:14" x14ac:dyDescent="0.3">
      <c r="L724">
        <v>140</v>
      </c>
      <c r="M724">
        <f t="shared" si="50"/>
        <v>140</v>
      </c>
      <c r="N724">
        <f t="shared" si="51"/>
        <v>0</v>
      </c>
    </row>
    <row r="725" spans="12:14" x14ac:dyDescent="0.3">
      <c r="L725">
        <v>139</v>
      </c>
      <c r="M725">
        <f t="shared" si="50"/>
        <v>139</v>
      </c>
      <c r="N725">
        <f t="shared" si="51"/>
        <v>0</v>
      </c>
    </row>
    <row r="726" spans="12:14" x14ac:dyDescent="0.3">
      <c r="L726">
        <v>138</v>
      </c>
      <c r="M726">
        <f t="shared" si="50"/>
        <v>138</v>
      </c>
      <c r="N726">
        <f t="shared" si="51"/>
        <v>0</v>
      </c>
    </row>
    <row r="727" spans="12:14" x14ac:dyDescent="0.3">
      <c r="L727">
        <v>137</v>
      </c>
      <c r="M727">
        <f t="shared" si="50"/>
        <v>137</v>
      </c>
      <c r="N727">
        <f t="shared" si="51"/>
        <v>0</v>
      </c>
    </row>
    <row r="728" spans="12:14" x14ac:dyDescent="0.3">
      <c r="L728">
        <v>136</v>
      </c>
      <c r="M728">
        <f t="shared" si="50"/>
        <v>136</v>
      </c>
      <c r="N728">
        <f t="shared" si="51"/>
        <v>0</v>
      </c>
    </row>
    <row r="729" spans="12:14" x14ac:dyDescent="0.3">
      <c r="L729">
        <v>135</v>
      </c>
      <c r="M729">
        <f t="shared" si="50"/>
        <v>135</v>
      </c>
      <c r="N729">
        <f t="shared" si="51"/>
        <v>0</v>
      </c>
    </row>
    <row r="730" spans="12:14" x14ac:dyDescent="0.3">
      <c r="L730">
        <v>134</v>
      </c>
      <c r="M730">
        <f t="shared" si="50"/>
        <v>134</v>
      </c>
      <c r="N730">
        <f t="shared" si="51"/>
        <v>0</v>
      </c>
    </row>
    <row r="731" spans="12:14" x14ac:dyDescent="0.3">
      <c r="L731">
        <v>133</v>
      </c>
      <c r="M731">
        <f t="shared" si="50"/>
        <v>133</v>
      </c>
      <c r="N731">
        <f t="shared" si="51"/>
        <v>0</v>
      </c>
    </row>
    <row r="732" spans="12:14" x14ac:dyDescent="0.3">
      <c r="L732">
        <v>132</v>
      </c>
      <c r="M732">
        <f t="shared" si="50"/>
        <v>132</v>
      </c>
      <c r="N732">
        <f t="shared" si="51"/>
        <v>0</v>
      </c>
    </row>
    <row r="733" spans="12:14" x14ac:dyDescent="0.3">
      <c r="L733">
        <v>131</v>
      </c>
      <c r="M733">
        <f t="shared" si="50"/>
        <v>131</v>
      </c>
      <c r="N733">
        <f t="shared" si="51"/>
        <v>0</v>
      </c>
    </row>
    <row r="734" spans="12:14" x14ac:dyDescent="0.3">
      <c r="L734">
        <v>130</v>
      </c>
      <c r="M734">
        <f t="shared" si="50"/>
        <v>130</v>
      </c>
      <c r="N734">
        <f t="shared" si="51"/>
        <v>0</v>
      </c>
    </row>
    <row r="735" spans="12:14" x14ac:dyDescent="0.3">
      <c r="L735">
        <v>129</v>
      </c>
      <c r="M735">
        <f t="shared" si="50"/>
        <v>129</v>
      </c>
      <c r="N735">
        <f t="shared" si="51"/>
        <v>0</v>
      </c>
    </row>
    <row r="736" spans="12:14" x14ac:dyDescent="0.3">
      <c r="L736">
        <v>128</v>
      </c>
      <c r="M736">
        <f t="shared" si="50"/>
        <v>128</v>
      </c>
      <c r="N736">
        <f t="shared" si="51"/>
        <v>0</v>
      </c>
    </row>
    <row r="737" spans="12:14" x14ac:dyDescent="0.3">
      <c r="L737">
        <v>127</v>
      </c>
      <c r="M737">
        <f t="shared" si="50"/>
        <v>127</v>
      </c>
      <c r="N737">
        <f t="shared" si="51"/>
        <v>0</v>
      </c>
    </row>
    <row r="738" spans="12:14" x14ac:dyDescent="0.3">
      <c r="L738">
        <v>126</v>
      </c>
      <c r="M738">
        <f t="shared" si="50"/>
        <v>126</v>
      </c>
      <c r="N738">
        <f t="shared" si="51"/>
        <v>0</v>
      </c>
    </row>
    <row r="739" spans="12:14" x14ac:dyDescent="0.3">
      <c r="L739">
        <v>125</v>
      </c>
      <c r="M739">
        <f t="shared" si="50"/>
        <v>125</v>
      </c>
      <c r="N739">
        <f t="shared" si="51"/>
        <v>0</v>
      </c>
    </row>
    <row r="740" spans="12:14" x14ac:dyDescent="0.3">
      <c r="L740">
        <v>124</v>
      </c>
      <c r="M740">
        <f t="shared" si="50"/>
        <v>124</v>
      </c>
      <c r="N740">
        <f t="shared" si="51"/>
        <v>0</v>
      </c>
    </row>
    <row r="741" spans="12:14" x14ac:dyDescent="0.3">
      <c r="L741">
        <v>123</v>
      </c>
      <c r="M741">
        <f t="shared" si="50"/>
        <v>123</v>
      </c>
      <c r="N741">
        <f t="shared" si="51"/>
        <v>0</v>
      </c>
    </row>
    <row r="742" spans="12:14" x14ac:dyDescent="0.3">
      <c r="L742">
        <v>122</v>
      </c>
      <c r="M742">
        <f t="shared" si="50"/>
        <v>122</v>
      </c>
      <c r="N742">
        <f t="shared" si="51"/>
        <v>0</v>
      </c>
    </row>
    <row r="743" spans="12:14" x14ac:dyDescent="0.3">
      <c r="L743">
        <v>121</v>
      </c>
      <c r="M743">
        <f t="shared" si="50"/>
        <v>121</v>
      </c>
      <c r="N743">
        <f t="shared" si="51"/>
        <v>0</v>
      </c>
    </row>
    <row r="744" spans="12:14" x14ac:dyDescent="0.3">
      <c r="L744">
        <v>120</v>
      </c>
      <c r="M744">
        <f t="shared" si="50"/>
        <v>120</v>
      </c>
      <c r="N744">
        <f t="shared" si="51"/>
        <v>0</v>
      </c>
    </row>
    <row r="745" spans="12:14" x14ac:dyDescent="0.3">
      <c r="L745">
        <v>119</v>
      </c>
      <c r="M745">
        <f t="shared" si="50"/>
        <v>119</v>
      </c>
      <c r="N745">
        <f t="shared" si="51"/>
        <v>0</v>
      </c>
    </row>
    <row r="746" spans="12:14" x14ac:dyDescent="0.3">
      <c r="L746">
        <v>118</v>
      </c>
      <c r="M746">
        <f t="shared" si="50"/>
        <v>118</v>
      </c>
      <c r="N746">
        <f t="shared" si="51"/>
        <v>0</v>
      </c>
    </row>
    <row r="747" spans="12:14" x14ac:dyDescent="0.3">
      <c r="L747">
        <v>117</v>
      </c>
      <c r="M747">
        <f t="shared" si="50"/>
        <v>117</v>
      </c>
      <c r="N747">
        <f t="shared" si="51"/>
        <v>0</v>
      </c>
    </row>
    <row r="748" spans="12:14" x14ac:dyDescent="0.3">
      <c r="L748">
        <v>116</v>
      </c>
      <c r="M748">
        <f t="shared" si="50"/>
        <v>116</v>
      </c>
      <c r="N748">
        <f t="shared" si="51"/>
        <v>0</v>
      </c>
    </row>
    <row r="749" spans="12:14" x14ac:dyDescent="0.3">
      <c r="L749">
        <v>115</v>
      </c>
      <c r="M749">
        <f t="shared" si="50"/>
        <v>115</v>
      </c>
      <c r="N749">
        <f t="shared" si="51"/>
        <v>0</v>
      </c>
    </row>
    <row r="750" spans="12:14" x14ac:dyDescent="0.3">
      <c r="L750">
        <v>114</v>
      </c>
      <c r="M750">
        <f t="shared" si="50"/>
        <v>114</v>
      </c>
      <c r="N750">
        <f t="shared" si="51"/>
        <v>0</v>
      </c>
    </row>
    <row r="751" spans="12:14" x14ac:dyDescent="0.3">
      <c r="L751">
        <v>113</v>
      </c>
      <c r="M751">
        <f t="shared" si="50"/>
        <v>113</v>
      </c>
      <c r="N751">
        <f t="shared" si="51"/>
        <v>0</v>
      </c>
    </row>
    <row r="752" spans="12:14" x14ac:dyDescent="0.3">
      <c r="L752">
        <v>112</v>
      </c>
      <c r="M752">
        <f t="shared" si="50"/>
        <v>112</v>
      </c>
      <c r="N752">
        <f t="shared" si="51"/>
        <v>0</v>
      </c>
    </row>
    <row r="753" spans="12:14" x14ac:dyDescent="0.3">
      <c r="L753">
        <v>111</v>
      </c>
      <c r="M753">
        <f t="shared" si="50"/>
        <v>111</v>
      </c>
      <c r="N753">
        <f t="shared" si="51"/>
        <v>0</v>
      </c>
    </row>
    <row r="754" spans="12:14" x14ac:dyDescent="0.3">
      <c r="L754">
        <v>110</v>
      </c>
      <c r="M754">
        <f t="shared" si="50"/>
        <v>110</v>
      </c>
      <c r="N754">
        <f t="shared" si="51"/>
        <v>0</v>
      </c>
    </row>
    <row r="755" spans="12:14" x14ac:dyDescent="0.3">
      <c r="L755">
        <v>109</v>
      </c>
      <c r="M755">
        <f t="shared" si="50"/>
        <v>109</v>
      </c>
      <c r="N755">
        <f t="shared" si="51"/>
        <v>0</v>
      </c>
    </row>
    <row r="756" spans="12:14" x14ac:dyDescent="0.3">
      <c r="L756">
        <v>108</v>
      </c>
      <c r="M756">
        <f t="shared" si="50"/>
        <v>108</v>
      </c>
      <c r="N756">
        <f t="shared" si="51"/>
        <v>0</v>
      </c>
    </row>
    <row r="757" spans="12:14" x14ac:dyDescent="0.3">
      <c r="L757">
        <v>107</v>
      </c>
      <c r="M757">
        <f t="shared" si="50"/>
        <v>107</v>
      </c>
      <c r="N757">
        <f t="shared" si="51"/>
        <v>0</v>
      </c>
    </row>
    <row r="758" spans="12:14" x14ac:dyDescent="0.3">
      <c r="L758">
        <v>106</v>
      </c>
      <c r="M758">
        <f t="shared" si="50"/>
        <v>106</v>
      </c>
      <c r="N758">
        <f t="shared" si="51"/>
        <v>0</v>
      </c>
    </row>
    <row r="759" spans="12:14" x14ac:dyDescent="0.3">
      <c r="L759">
        <v>105</v>
      </c>
      <c r="M759">
        <f t="shared" si="50"/>
        <v>105</v>
      </c>
      <c r="N759">
        <f t="shared" si="51"/>
        <v>0</v>
      </c>
    </row>
    <row r="760" spans="12:14" x14ac:dyDescent="0.3">
      <c r="L760">
        <v>104</v>
      </c>
      <c r="M760">
        <f t="shared" si="50"/>
        <v>104</v>
      </c>
      <c r="N760">
        <f t="shared" si="51"/>
        <v>0</v>
      </c>
    </row>
    <row r="761" spans="12:14" x14ac:dyDescent="0.3">
      <c r="L761">
        <v>103</v>
      </c>
      <c r="M761">
        <f t="shared" si="50"/>
        <v>103</v>
      </c>
      <c r="N761">
        <f t="shared" si="51"/>
        <v>0</v>
      </c>
    </row>
    <row r="762" spans="12:14" x14ac:dyDescent="0.3">
      <c r="L762">
        <v>102</v>
      </c>
      <c r="M762">
        <f t="shared" si="50"/>
        <v>102</v>
      </c>
      <c r="N762">
        <f t="shared" si="51"/>
        <v>0</v>
      </c>
    </row>
    <row r="763" spans="12:14" x14ac:dyDescent="0.3">
      <c r="L763">
        <v>101</v>
      </c>
      <c r="M763">
        <f t="shared" si="50"/>
        <v>101</v>
      </c>
      <c r="N763">
        <f t="shared" si="51"/>
        <v>0</v>
      </c>
    </row>
    <row r="764" spans="12:14" x14ac:dyDescent="0.3">
      <c r="L764">
        <v>100</v>
      </c>
      <c r="M764">
        <f t="shared" si="50"/>
        <v>100</v>
      </c>
      <c r="N764">
        <f t="shared" si="51"/>
        <v>0</v>
      </c>
    </row>
    <row r="765" spans="12:14" x14ac:dyDescent="0.3">
      <c r="L765">
        <v>99</v>
      </c>
      <c r="M765">
        <f t="shared" si="50"/>
        <v>99</v>
      </c>
      <c r="N765">
        <f t="shared" si="51"/>
        <v>0</v>
      </c>
    </row>
    <row r="766" spans="12:14" x14ac:dyDescent="0.3">
      <c r="L766">
        <v>98</v>
      </c>
      <c r="M766">
        <f t="shared" si="50"/>
        <v>98</v>
      </c>
      <c r="N766">
        <f t="shared" si="51"/>
        <v>0</v>
      </c>
    </row>
    <row r="767" spans="12:14" x14ac:dyDescent="0.3">
      <c r="L767">
        <v>97</v>
      </c>
      <c r="M767">
        <f t="shared" si="50"/>
        <v>97</v>
      </c>
      <c r="N767">
        <f t="shared" si="51"/>
        <v>0</v>
      </c>
    </row>
    <row r="768" spans="12:14" x14ac:dyDescent="0.3">
      <c r="L768">
        <v>96</v>
      </c>
      <c r="M768">
        <f t="shared" ref="M768:M831" si="52">+M767-1</f>
        <v>96</v>
      </c>
      <c r="N768">
        <f t="shared" ref="N768:N831" si="53">L768-M768</f>
        <v>0</v>
      </c>
    </row>
    <row r="769" spans="12:14" x14ac:dyDescent="0.3">
      <c r="L769">
        <v>95</v>
      </c>
      <c r="M769">
        <f t="shared" si="52"/>
        <v>95</v>
      </c>
      <c r="N769">
        <f t="shared" si="53"/>
        <v>0</v>
      </c>
    </row>
    <row r="770" spans="12:14" x14ac:dyDescent="0.3">
      <c r="L770">
        <v>94</v>
      </c>
      <c r="M770">
        <f t="shared" si="52"/>
        <v>94</v>
      </c>
      <c r="N770">
        <f t="shared" si="53"/>
        <v>0</v>
      </c>
    </row>
    <row r="771" spans="12:14" x14ac:dyDescent="0.3">
      <c r="L771">
        <v>93</v>
      </c>
      <c r="M771">
        <f t="shared" si="52"/>
        <v>93</v>
      </c>
      <c r="N771">
        <f t="shared" si="53"/>
        <v>0</v>
      </c>
    </row>
    <row r="772" spans="12:14" x14ac:dyDescent="0.3">
      <c r="L772">
        <v>92</v>
      </c>
      <c r="M772">
        <f t="shared" si="52"/>
        <v>92</v>
      </c>
      <c r="N772">
        <f t="shared" si="53"/>
        <v>0</v>
      </c>
    </row>
    <row r="773" spans="12:14" x14ac:dyDescent="0.3">
      <c r="L773">
        <v>91</v>
      </c>
      <c r="M773">
        <f t="shared" si="52"/>
        <v>91</v>
      </c>
      <c r="N773">
        <f t="shared" si="53"/>
        <v>0</v>
      </c>
    </row>
    <row r="774" spans="12:14" x14ac:dyDescent="0.3">
      <c r="L774">
        <v>90</v>
      </c>
      <c r="M774">
        <f t="shared" si="52"/>
        <v>90</v>
      </c>
      <c r="N774">
        <f t="shared" si="53"/>
        <v>0</v>
      </c>
    </row>
    <row r="775" spans="12:14" x14ac:dyDescent="0.3">
      <c r="L775">
        <v>89</v>
      </c>
      <c r="M775">
        <f t="shared" si="52"/>
        <v>89</v>
      </c>
      <c r="N775">
        <f t="shared" si="53"/>
        <v>0</v>
      </c>
    </row>
    <row r="776" spans="12:14" x14ac:dyDescent="0.3">
      <c r="L776">
        <v>88</v>
      </c>
      <c r="M776">
        <f t="shared" si="52"/>
        <v>88</v>
      </c>
      <c r="N776">
        <f t="shared" si="53"/>
        <v>0</v>
      </c>
    </row>
    <row r="777" spans="12:14" x14ac:dyDescent="0.3">
      <c r="L777">
        <v>87</v>
      </c>
      <c r="M777">
        <f t="shared" si="52"/>
        <v>87</v>
      </c>
      <c r="N777">
        <f t="shared" si="53"/>
        <v>0</v>
      </c>
    </row>
    <row r="778" spans="12:14" x14ac:dyDescent="0.3">
      <c r="L778">
        <v>86</v>
      </c>
      <c r="M778">
        <f t="shared" si="52"/>
        <v>86</v>
      </c>
      <c r="N778">
        <f t="shared" si="53"/>
        <v>0</v>
      </c>
    </row>
    <row r="779" spans="12:14" x14ac:dyDescent="0.3">
      <c r="L779">
        <v>85</v>
      </c>
      <c r="M779">
        <f t="shared" si="52"/>
        <v>85</v>
      </c>
      <c r="N779">
        <f t="shared" si="53"/>
        <v>0</v>
      </c>
    </row>
    <row r="780" spans="12:14" x14ac:dyDescent="0.3">
      <c r="L780">
        <v>84</v>
      </c>
      <c r="M780">
        <f t="shared" si="52"/>
        <v>84</v>
      </c>
      <c r="N780">
        <f t="shared" si="53"/>
        <v>0</v>
      </c>
    </row>
    <row r="781" spans="12:14" x14ac:dyDescent="0.3">
      <c r="L781">
        <v>83</v>
      </c>
      <c r="M781">
        <f t="shared" si="52"/>
        <v>83</v>
      </c>
      <c r="N781">
        <f t="shared" si="53"/>
        <v>0</v>
      </c>
    </row>
    <row r="782" spans="12:14" x14ac:dyDescent="0.3">
      <c r="L782">
        <v>82</v>
      </c>
      <c r="M782">
        <f t="shared" si="52"/>
        <v>82</v>
      </c>
      <c r="N782">
        <f t="shared" si="53"/>
        <v>0</v>
      </c>
    </row>
    <row r="783" spans="12:14" x14ac:dyDescent="0.3">
      <c r="L783">
        <v>81</v>
      </c>
      <c r="M783">
        <f t="shared" si="52"/>
        <v>81</v>
      </c>
      <c r="N783">
        <f t="shared" si="53"/>
        <v>0</v>
      </c>
    </row>
    <row r="784" spans="12:14" x14ac:dyDescent="0.3">
      <c r="L784">
        <v>80</v>
      </c>
      <c r="M784">
        <f t="shared" si="52"/>
        <v>80</v>
      </c>
      <c r="N784">
        <f t="shared" si="53"/>
        <v>0</v>
      </c>
    </row>
    <row r="785" spans="12:14" x14ac:dyDescent="0.3">
      <c r="L785">
        <v>79</v>
      </c>
      <c r="M785">
        <f t="shared" si="52"/>
        <v>79</v>
      </c>
      <c r="N785">
        <f t="shared" si="53"/>
        <v>0</v>
      </c>
    </row>
    <row r="786" spans="12:14" x14ac:dyDescent="0.3">
      <c r="L786">
        <v>78</v>
      </c>
      <c r="M786">
        <f t="shared" si="52"/>
        <v>78</v>
      </c>
      <c r="N786">
        <f t="shared" si="53"/>
        <v>0</v>
      </c>
    </row>
    <row r="787" spans="12:14" x14ac:dyDescent="0.3">
      <c r="L787">
        <v>77</v>
      </c>
      <c r="M787">
        <f t="shared" si="52"/>
        <v>77</v>
      </c>
      <c r="N787">
        <f t="shared" si="53"/>
        <v>0</v>
      </c>
    </row>
    <row r="788" spans="12:14" x14ac:dyDescent="0.3">
      <c r="L788">
        <v>76</v>
      </c>
      <c r="M788">
        <f t="shared" si="52"/>
        <v>76</v>
      </c>
      <c r="N788">
        <f t="shared" si="53"/>
        <v>0</v>
      </c>
    </row>
    <row r="789" spans="12:14" x14ac:dyDescent="0.3">
      <c r="L789">
        <v>75</v>
      </c>
      <c r="M789">
        <f t="shared" si="52"/>
        <v>75</v>
      </c>
      <c r="N789">
        <f t="shared" si="53"/>
        <v>0</v>
      </c>
    </row>
    <row r="790" spans="12:14" x14ac:dyDescent="0.3">
      <c r="L790">
        <v>74</v>
      </c>
      <c r="M790">
        <f t="shared" si="52"/>
        <v>74</v>
      </c>
      <c r="N790">
        <f t="shared" si="53"/>
        <v>0</v>
      </c>
    </row>
    <row r="791" spans="12:14" x14ac:dyDescent="0.3">
      <c r="L791">
        <v>73</v>
      </c>
      <c r="M791">
        <f t="shared" si="52"/>
        <v>73</v>
      </c>
      <c r="N791">
        <f t="shared" si="53"/>
        <v>0</v>
      </c>
    </row>
    <row r="792" spans="12:14" x14ac:dyDescent="0.3">
      <c r="L792">
        <v>72</v>
      </c>
      <c r="M792">
        <f t="shared" si="52"/>
        <v>72</v>
      </c>
      <c r="N792">
        <f t="shared" si="53"/>
        <v>0</v>
      </c>
    </row>
    <row r="793" spans="12:14" x14ac:dyDescent="0.3">
      <c r="L793">
        <v>71</v>
      </c>
      <c r="M793">
        <f t="shared" si="52"/>
        <v>71</v>
      </c>
      <c r="N793">
        <f t="shared" si="53"/>
        <v>0</v>
      </c>
    </row>
    <row r="794" spans="12:14" x14ac:dyDescent="0.3">
      <c r="L794">
        <v>70</v>
      </c>
      <c r="M794">
        <f t="shared" si="52"/>
        <v>70</v>
      </c>
      <c r="N794">
        <f t="shared" si="53"/>
        <v>0</v>
      </c>
    </row>
    <row r="795" spans="12:14" x14ac:dyDescent="0.3">
      <c r="L795">
        <v>69</v>
      </c>
      <c r="M795">
        <f t="shared" si="52"/>
        <v>69</v>
      </c>
      <c r="N795">
        <f t="shared" si="53"/>
        <v>0</v>
      </c>
    </row>
    <row r="796" spans="12:14" x14ac:dyDescent="0.3">
      <c r="L796">
        <v>68</v>
      </c>
      <c r="M796">
        <f t="shared" si="52"/>
        <v>68</v>
      </c>
      <c r="N796">
        <f t="shared" si="53"/>
        <v>0</v>
      </c>
    </row>
    <row r="797" spans="12:14" x14ac:dyDescent="0.3">
      <c r="L797">
        <v>67</v>
      </c>
      <c r="M797">
        <f t="shared" si="52"/>
        <v>67</v>
      </c>
      <c r="N797">
        <f t="shared" si="53"/>
        <v>0</v>
      </c>
    </row>
    <row r="798" spans="12:14" x14ac:dyDescent="0.3">
      <c r="L798">
        <v>66</v>
      </c>
      <c r="M798">
        <f t="shared" si="52"/>
        <v>66</v>
      </c>
      <c r="N798">
        <f t="shared" si="53"/>
        <v>0</v>
      </c>
    </row>
    <row r="799" spans="12:14" x14ac:dyDescent="0.3">
      <c r="L799">
        <v>65</v>
      </c>
      <c r="M799">
        <f t="shared" si="52"/>
        <v>65</v>
      </c>
      <c r="N799">
        <f t="shared" si="53"/>
        <v>0</v>
      </c>
    </row>
    <row r="800" spans="12:14" x14ac:dyDescent="0.3">
      <c r="L800">
        <v>64</v>
      </c>
      <c r="M800">
        <f t="shared" si="52"/>
        <v>64</v>
      </c>
      <c r="N800">
        <f t="shared" si="53"/>
        <v>0</v>
      </c>
    </row>
    <row r="801" spans="12:14" x14ac:dyDescent="0.3">
      <c r="L801">
        <v>63</v>
      </c>
      <c r="M801">
        <f t="shared" si="52"/>
        <v>63</v>
      </c>
      <c r="N801">
        <f t="shared" si="53"/>
        <v>0</v>
      </c>
    </row>
    <row r="802" spans="12:14" x14ac:dyDescent="0.3">
      <c r="L802">
        <v>62</v>
      </c>
      <c r="M802">
        <f t="shared" si="52"/>
        <v>62</v>
      </c>
      <c r="N802">
        <f t="shared" si="53"/>
        <v>0</v>
      </c>
    </row>
    <row r="803" spans="12:14" x14ac:dyDescent="0.3">
      <c r="L803">
        <v>61</v>
      </c>
      <c r="M803">
        <f t="shared" si="52"/>
        <v>61</v>
      </c>
      <c r="N803">
        <f t="shared" si="53"/>
        <v>0</v>
      </c>
    </row>
    <row r="804" spans="12:14" x14ac:dyDescent="0.3">
      <c r="L804">
        <v>60</v>
      </c>
      <c r="M804">
        <f t="shared" si="52"/>
        <v>60</v>
      </c>
      <c r="N804">
        <f t="shared" si="53"/>
        <v>0</v>
      </c>
    </row>
    <row r="805" spans="12:14" x14ac:dyDescent="0.3">
      <c r="L805">
        <v>59</v>
      </c>
      <c r="M805">
        <f t="shared" si="52"/>
        <v>59</v>
      </c>
      <c r="N805">
        <f t="shared" si="53"/>
        <v>0</v>
      </c>
    </row>
    <row r="806" spans="12:14" x14ac:dyDescent="0.3">
      <c r="L806">
        <v>58</v>
      </c>
      <c r="M806">
        <f t="shared" si="52"/>
        <v>58</v>
      </c>
      <c r="N806">
        <f t="shared" si="53"/>
        <v>0</v>
      </c>
    </row>
    <row r="807" spans="12:14" x14ac:dyDescent="0.3">
      <c r="L807">
        <v>57</v>
      </c>
      <c r="M807">
        <f t="shared" si="52"/>
        <v>57</v>
      </c>
      <c r="N807">
        <f t="shared" si="53"/>
        <v>0</v>
      </c>
    </row>
    <row r="808" spans="12:14" x14ac:dyDescent="0.3">
      <c r="L808">
        <v>56</v>
      </c>
      <c r="M808">
        <f t="shared" si="52"/>
        <v>56</v>
      </c>
      <c r="N808">
        <f t="shared" si="53"/>
        <v>0</v>
      </c>
    </row>
    <row r="809" spans="12:14" x14ac:dyDescent="0.3">
      <c r="L809">
        <v>55</v>
      </c>
      <c r="M809">
        <f t="shared" si="52"/>
        <v>55</v>
      </c>
      <c r="N809">
        <f t="shared" si="53"/>
        <v>0</v>
      </c>
    </row>
    <row r="810" spans="12:14" x14ac:dyDescent="0.3">
      <c r="L810">
        <v>54</v>
      </c>
      <c r="M810">
        <f t="shared" si="52"/>
        <v>54</v>
      </c>
      <c r="N810">
        <f t="shared" si="53"/>
        <v>0</v>
      </c>
    </row>
    <row r="811" spans="12:14" x14ac:dyDescent="0.3">
      <c r="L811">
        <v>53</v>
      </c>
      <c r="M811">
        <f t="shared" si="52"/>
        <v>53</v>
      </c>
      <c r="N811">
        <f t="shared" si="53"/>
        <v>0</v>
      </c>
    </row>
    <row r="812" spans="12:14" x14ac:dyDescent="0.3">
      <c r="L812">
        <v>52</v>
      </c>
      <c r="M812">
        <f t="shared" si="52"/>
        <v>52</v>
      </c>
      <c r="N812">
        <f t="shared" si="53"/>
        <v>0</v>
      </c>
    </row>
    <row r="813" spans="12:14" x14ac:dyDescent="0.3">
      <c r="L813">
        <v>51</v>
      </c>
      <c r="M813">
        <f t="shared" si="52"/>
        <v>51</v>
      </c>
      <c r="N813">
        <f t="shared" si="53"/>
        <v>0</v>
      </c>
    </row>
    <row r="814" spans="12:14" x14ac:dyDescent="0.3">
      <c r="L814">
        <v>50</v>
      </c>
      <c r="M814">
        <f t="shared" si="52"/>
        <v>50</v>
      </c>
      <c r="N814">
        <f t="shared" si="53"/>
        <v>0</v>
      </c>
    </row>
    <row r="815" spans="12:14" x14ac:dyDescent="0.3">
      <c r="L815">
        <v>49</v>
      </c>
      <c r="M815">
        <f t="shared" si="52"/>
        <v>49</v>
      </c>
      <c r="N815">
        <f t="shared" si="53"/>
        <v>0</v>
      </c>
    </row>
    <row r="816" spans="12:14" x14ac:dyDescent="0.3">
      <c r="L816">
        <v>48</v>
      </c>
      <c r="M816">
        <f t="shared" si="52"/>
        <v>48</v>
      </c>
      <c r="N816">
        <f t="shared" si="53"/>
        <v>0</v>
      </c>
    </row>
    <row r="817" spans="12:14" x14ac:dyDescent="0.3">
      <c r="L817">
        <v>47</v>
      </c>
      <c r="M817">
        <f t="shared" si="52"/>
        <v>47</v>
      </c>
      <c r="N817">
        <f t="shared" si="53"/>
        <v>0</v>
      </c>
    </row>
    <row r="818" spans="12:14" x14ac:dyDescent="0.3">
      <c r="L818">
        <v>46</v>
      </c>
      <c r="M818">
        <f t="shared" si="52"/>
        <v>46</v>
      </c>
      <c r="N818">
        <f t="shared" si="53"/>
        <v>0</v>
      </c>
    </row>
    <row r="819" spans="12:14" x14ac:dyDescent="0.3">
      <c r="L819">
        <v>45</v>
      </c>
      <c r="M819">
        <f t="shared" si="52"/>
        <v>45</v>
      </c>
      <c r="N819">
        <f t="shared" si="53"/>
        <v>0</v>
      </c>
    </row>
    <row r="820" spans="12:14" x14ac:dyDescent="0.3">
      <c r="L820">
        <v>44</v>
      </c>
      <c r="M820">
        <f t="shared" si="52"/>
        <v>44</v>
      </c>
      <c r="N820">
        <f t="shared" si="53"/>
        <v>0</v>
      </c>
    </row>
    <row r="821" spans="12:14" x14ac:dyDescent="0.3">
      <c r="L821">
        <v>43</v>
      </c>
      <c r="M821">
        <f t="shared" si="52"/>
        <v>43</v>
      </c>
      <c r="N821">
        <f t="shared" si="53"/>
        <v>0</v>
      </c>
    </row>
    <row r="822" spans="12:14" x14ac:dyDescent="0.3">
      <c r="L822">
        <v>42</v>
      </c>
      <c r="M822">
        <f t="shared" si="52"/>
        <v>42</v>
      </c>
      <c r="N822">
        <f t="shared" si="53"/>
        <v>0</v>
      </c>
    </row>
    <row r="823" spans="12:14" x14ac:dyDescent="0.3">
      <c r="L823">
        <v>41</v>
      </c>
      <c r="M823">
        <f t="shared" si="52"/>
        <v>41</v>
      </c>
      <c r="N823">
        <f t="shared" si="53"/>
        <v>0</v>
      </c>
    </row>
    <row r="824" spans="12:14" x14ac:dyDescent="0.3">
      <c r="L824">
        <v>40</v>
      </c>
      <c r="M824">
        <f t="shared" si="52"/>
        <v>40</v>
      </c>
      <c r="N824">
        <f t="shared" si="53"/>
        <v>0</v>
      </c>
    </row>
    <row r="825" spans="12:14" x14ac:dyDescent="0.3">
      <c r="L825">
        <v>39</v>
      </c>
      <c r="M825">
        <f t="shared" si="52"/>
        <v>39</v>
      </c>
      <c r="N825">
        <f t="shared" si="53"/>
        <v>0</v>
      </c>
    </row>
    <row r="826" spans="12:14" x14ac:dyDescent="0.3">
      <c r="L826">
        <v>38</v>
      </c>
      <c r="M826">
        <f t="shared" si="52"/>
        <v>38</v>
      </c>
      <c r="N826">
        <f t="shared" si="53"/>
        <v>0</v>
      </c>
    </row>
    <row r="827" spans="12:14" x14ac:dyDescent="0.3">
      <c r="L827">
        <v>37</v>
      </c>
      <c r="M827">
        <f t="shared" si="52"/>
        <v>37</v>
      </c>
      <c r="N827">
        <f t="shared" si="53"/>
        <v>0</v>
      </c>
    </row>
    <row r="828" spans="12:14" x14ac:dyDescent="0.3">
      <c r="L828">
        <v>36</v>
      </c>
      <c r="M828">
        <f t="shared" si="52"/>
        <v>36</v>
      </c>
      <c r="N828">
        <f t="shared" si="53"/>
        <v>0</v>
      </c>
    </row>
    <row r="829" spans="12:14" x14ac:dyDescent="0.3">
      <c r="L829">
        <v>35</v>
      </c>
      <c r="M829">
        <f t="shared" si="52"/>
        <v>35</v>
      </c>
      <c r="N829">
        <f t="shared" si="53"/>
        <v>0</v>
      </c>
    </row>
    <row r="830" spans="12:14" x14ac:dyDescent="0.3">
      <c r="L830">
        <v>34</v>
      </c>
      <c r="M830">
        <f t="shared" si="52"/>
        <v>34</v>
      </c>
      <c r="N830">
        <f t="shared" si="53"/>
        <v>0</v>
      </c>
    </row>
    <row r="831" spans="12:14" x14ac:dyDescent="0.3">
      <c r="L831">
        <v>33</v>
      </c>
      <c r="M831">
        <f t="shared" si="52"/>
        <v>33</v>
      </c>
      <c r="N831">
        <f t="shared" si="53"/>
        <v>0</v>
      </c>
    </row>
    <row r="832" spans="12:14" x14ac:dyDescent="0.3">
      <c r="L832">
        <v>32</v>
      </c>
      <c r="M832">
        <f t="shared" ref="M832:M862" si="54">+M831-1</f>
        <v>32</v>
      </c>
      <c r="N832">
        <f t="shared" ref="N832:N862" si="55">L832-M832</f>
        <v>0</v>
      </c>
    </row>
    <row r="833" spans="12:14" x14ac:dyDescent="0.3">
      <c r="L833">
        <v>31</v>
      </c>
      <c r="M833">
        <f t="shared" si="54"/>
        <v>31</v>
      </c>
      <c r="N833">
        <f t="shared" si="55"/>
        <v>0</v>
      </c>
    </row>
    <row r="834" spans="12:14" x14ac:dyDescent="0.3">
      <c r="L834">
        <v>30</v>
      </c>
      <c r="M834">
        <f t="shared" si="54"/>
        <v>30</v>
      </c>
      <c r="N834">
        <f t="shared" si="55"/>
        <v>0</v>
      </c>
    </row>
    <row r="835" spans="12:14" x14ac:dyDescent="0.3">
      <c r="L835">
        <v>29</v>
      </c>
      <c r="M835">
        <f t="shared" si="54"/>
        <v>29</v>
      </c>
      <c r="N835">
        <f t="shared" si="55"/>
        <v>0</v>
      </c>
    </row>
    <row r="836" spans="12:14" x14ac:dyDescent="0.3">
      <c r="L836">
        <v>28</v>
      </c>
      <c r="M836">
        <f t="shared" si="54"/>
        <v>28</v>
      </c>
      <c r="N836">
        <f t="shared" si="55"/>
        <v>0</v>
      </c>
    </row>
    <row r="837" spans="12:14" x14ac:dyDescent="0.3">
      <c r="L837">
        <v>27</v>
      </c>
      <c r="M837">
        <f t="shared" si="54"/>
        <v>27</v>
      </c>
      <c r="N837">
        <f t="shared" si="55"/>
        <v>0</v>
      </c>
    </row>
    <row r="838" spans="12:14" x14ac:dyDescent="0.3">
      <c r="L838">
        <v>26</v>
      </c>
      <c r="M838">
        <f t="shared" si="54"/>
        <v>26</v>
      </c>
      <c r="N838">
        <f t="shared" si="55"/>
        <v>0</v>
      </c>
    </row>
    <row r="839" spans="12:14" x14ac:dyDescent="0.3">
      <c r="L839">
        <v>25</v>
      </c>
      <c r="M839">
        <f t="shared" si="54"/>
        <v>25</v>
      </c>
      <c r="N839">
        <f t="shared" si="55"/>
        <v>0</v>
      </c>
    </row>
    <row r="840" spans="12:14" x14ac:dyDescent="0.3">
      <c r="L840">
        <v>24</v>
      </c>
      <c r="M840">
        <f t="shared" si="54"/>
        <v>24</v>
      </c>
      <c r="N840">
        <f t="shared" si="55"/>
        <v>0</v>
      </c>
    </row>
    <row r="841" spans="12:14" x14ac:dyDescent="0.3">
      <c r="L841">
        <v>23</v>
      </c>
      <c r="M841">
        <f t="shared" si="54"/>
        <v>23</v>
      </c>
      <c r="N841">
        <f t="shared" si="55"/>
        <v>0</v>
      </c>
    </row>
    <row r="842" spans="12:14" x14ac:dyDescent="0.3">
      <c r="L842">
        <v>22</v>
      </c>
      <c r="M842">
        <f t="shared" si="54"/>
        <v>22</v>
      </c>
      <c r="N842">
        <f t="shared" si="55"/>
        <v>0</v>
      </c>
    </row>
    <row r="843" spans="12:14" x14ac:dyDescent="0.3">
      <c r="L843">
        <v>21</v>
      </c>
      <c r="M843">
        <f t="shared" si="54"/>
        <v>21</v>
      </c>
      <c r="N843">
        <f t="shared" si="55"/>
        <v>0</v>
      </c>
    </row>
    <row r="844" spans="12:14" x14ac:dyDescent="0.3">
      <c r="L844">
        <v>20</v>
      </c>
      <c r="M844">
        <f t="shared" si="54"/>
        <v>20</v>
      </c>
      <c r="N844">
        <f t="shared" si="55"/>
        <v>0</v>
      </c>
    </row>
    <row r="845" spans="12:14" x14ac:dyDescent="0.3">
      <c r="L845">
        <v>19</v>
      </c>
      <c r="M845">
        <f t="shared" si="54"/>
        <v>19</v>
      </c>
      <c r="N845">
        <f t="shared" si="55"/>
        <v>0</v>
      </c>
    </row>
    <row r="846" spans="12:14" x14ac:dyDescent="0.3">
      <c r="L846">
        <v>18</v>
      </c>
      <c r="M846">
        <f t="shared" si="54"/>
        <v>18</v>
      </c>
      <c r="N846">
        <f t="shared" si="55"/>
        <v>0</v>
      </c>
    </row>
    <row r="847" spans="12:14" x14ac:dyDescent="0.3">
      <c r="L847">
        <v>17</v>
      </c>
      <c r="M847">
        <f t="shared" si="54"/>
        <v>17</v>
      </c>
      <c r="N847">
        <f t="shared" si="55"/>
        <v>0</v>
      </c>
    </row>
    <row r="848" spans="12:14" x14ac:dyDescent="0.3">
      <c r="L848">
        <v>16</v>
      </c>
      <c r="M848">
        <f t="shared" si="54"/>
        <v>16</v>
      </c>
      <c r="N848">
        <f t="shared" si="55"/>
        <v>0</v>
      </c>
    </row>
    <row r="849" spans="12:14" x14ac:dyDescent="0.3">
      <c r="L849">
        <v>15</v>
      </c>
      <c r="M849">
        <f t="shared" si="54"/>
        <v>15</v>
      </c>
      <c r="N849">
        <f t="shared" si="55"/>
        <v>0</v>
      </c>
    </row>
    <row r="850" spans="12:14" x14ac:dyDescent="0.3">
      <c r="L850">
        <v>14</v>
      </c>
      <c r="M850">
        <f t="shared" si="54"/>
        <v>14</v>
      </c>
      <c r="N850">
        <f t="shared" si="55"/>
        <v>0</v>
      </c>
    </row>
    <row r="851" spans="12:14" x14ac:dyDescent="0.3">
      <c r="L851">
        <v>13</v>
      </c>
      <c r="M851">
        <f t="shared" si="54"/>
        <v>13</v>
      </c>
      <c r="N851">
        <f t="shared" si="55"/>
        <v>0</v>
      </c>
    </row>
    <row r="852" spans="12:14" x14ac:dyDescent="0.3">
      <c r="L852">
        <v>12</v>
      </c>
      <c r="M852">
        <f t="shared" si="54"/>
        <v>12</v>
      </c>
      <c r="N852">
        <f t="shared" si="55"/>
        <v>0</v>
      </c>
    </row>
    <row r="853" spans="12:14" x14ac:dyDescent="0.3">
      <c r="L853">
        <v>11</v>
      </c>
      <c r="M853">
        <f t="shared" si="54"/>
        <v>11</v>
      </c>
      <c r="N853">
        <f t="shared" si="55"/>
        <v>0</v>
      </c>
    </row>
    <row r="854" spans="12:14" x14ac:dyDescent="0.3">
      <c r="L854">
        <v>10</v>
      </c>
      <c r="M854">
        <f t="shared" si="54"/>
        <v>10</v>
      </c>
      <c r="N854">
        <f t="shared" si="55"/>
        <v>0</v>
      </c>
    </row>
    <row r="855" spans="12:14" x14ac:dyDescent="0.3">
      <c r="L855">
        <v>9</v>
      </c>
      <c r="M855">
        <f t="shared" si="54"/>
        <v>9</v>
      </c>
      <c r="N855">
        <f t="shared" si="55"/>
        <v>0</v>
      </c>
    </row>
    <row r="856" spans="12:14" x14ac:dyDescent="0.3">
      <c r="L856">
        <v>8</v>
      </c>
      <c r="M856">
        <f t="shared" si="54"/>
        <v>8</v>
      </c>
      <c r="N856">
        <f t="shared" si="55"/>
        <v>0</v>
      </c>
    </row>
    <row r="857" spans="12:14" x14ac:dyDescent="0.3">
      <c r="L857">
        <v>7</v>
      </c>
      <c r="M857">
        <f t="shared" si="54"/>
        <v>7</v>
      </c>
      <c r="N857">
        <f t="shared" si="55"/>
        <v>0</v>
      </c>
    </row>
    <row r="858" spans="12:14" x14ac:dyDescent="0.3">
      <c r="L858">
        <v>6</v>
      </c>
      <c r="M858">
        <f t="shared" si="54"/>
        <v>6</v>
      </c>
      <c r="N858">
        <f t="shared" si="55"/>
        <v>0</v>
      </c>
    </row>
    <row r="859" spans="12:14" x14ac:dyDescent="0.3">
      <c r="L859">
        <v>5</v>
      </c>
      <c r="M859">
        <f t="shared" si="54"/>
        <v>5</v>
      </c>
      <c r="N859">
        <f t="shared" si="55"/>
        <v>0</v>
      </c>
    </row>
    <row r="860" spans="12:14" x14ac:dyDescent="0.3">
      <c r="L860">
        <v>4</v>
      </c>
      <c r="M860">
        <f t="shared" si="54"/>
        <v>4</v>
      </c>
      <c r="N860">
        <f t="shared" si="55"/>
        <v>0</v>
      </c>
    </row>
    <row r="861" spans="12:14" x14ac:dyDescent="0.3">
      <c r="L861">
        <v>3</v>
      </c>
      <c r="M861">
        <f t="shared" si="54"/>
        <v>3</v>
      </c>
      <c r="N861">
        <f t="shared" si="55"/>
        <v>0</v>
      </c>
    </row>
    <row r="862" spans="12:14" x14ac:dyDescent="0.3">
      <c r="L862">
        <v>2</v>
      </c>
      <c r="M862">
        <f t="shared" si="54"/>
        <v>2</v>
      </c>
      <c r="N862">
        <f t="shared" si="55"/>
        <v>0</v>
      </c>
    </row>
    <row r="863" spans="12:14" x14ac:dyDescent="0.3">
      <c r="L863">
        <v>1</v>
      </c>
    </row>
  </sheetData>
  <autoFilter ref="B3:Y248" xr:uid="{6BECB428-A3AE-48DF-8BEF-EB9C1EA24A43}"/>
  <conditionalFormatting sqref="K1:K1048576">
    <cfRule type="duplicateValues" dxfId="48" priority="1"/>
  </conditionalFormatting>
  <hyperlinks>
    <hyperlink ref="L9" r:id="rId2" xr:uid="{AF2A847F-8200-4F45-BA94-D19BB078A40A}"/>
    <hyperlink ref="L8" r:id="rId3" xr:uid="{1F7716BF-CDE5-4849-84C9-8277A65F9DF2}"/>
    <hyperlink ref="L10" r:id="rId4" xr:uid="{75404CCB-5D0D-4732-86DA-07884AA31F21}"/>
    <hyperlink ref="L11" r:id="rId5" xr:uid="{1B8AD198-1006-4541-9FA8-D416AF4D2EA3}"/>
    <hyperlink ref="L12" r:id="rId6" xr:uid="{AA436D2F-CED7-42DF-9FB4-F207536314A4}"/>
    <hyperlink ref="L13" r:id="rId7" xr:uid="{6B2FF608-1B38-486F-AD93-4659F6EBAF99}"/>
    <hyperlink ref="L14" r:id="rId8" xr:uid="{9615F2B2-D093-4A7B-9505-D8FD2E1FEEAF}"/>
    <hyperlink ref="L15" r:id="rId9" xr:uid="{D6D2432A-F922-4674-AE8D-0E2E0B0CDB2A}"/>
    <hyperlink ref="L16" r:id="rId10" xr:uid="{92A16502-823E-4C0A-88A3-F1A3BC464D80}"/>
    <hyperlink ref="L17" r:id="rId11" xr:uid="{651D75DA-7F9D-4832-86D4-5673574232B4}"/>
    <hyperlink ref="L18" r:id="rId12" xr:uid="{352EFE1A-68D1-4915-ADC7-662153220A10}"/>
    <hyperlink ref="L5" r:id="rId13" xr:uid="{39BDF229-E393-4A09-9A8F-908D8F3CD7AB}"/>
    <hyperlink ref="L6" r:id="rId14" xr:uid="{D4F2F782-A875-49E6-BDD3-E3C71D3D8326}"/>
    <hyperlink ref="L7" r:id="rId15" xr:uid="{0D25C3FD-655D-418A-883F-558DC931F063}"/>
    <hyperlink ref="L4" r:id="rId16" xr:uid="{EC49121E-3E31-4879-8AD9-82A8483D603E}"/>
    <hyperlink ref="L22" r:id="rId17" xr:uid="{8408C4B7-E12B-40E2-A092-FAC2C787B40C}"/>
    <hyperlink ref="L23" r:id="rId18" xr:uid="{A56C8689-FBF5-4E30-84D7-E4579B37C81C}"/>
    <hyperlink ref="L21" r:id="rId19" xr:uid="{C554CB5B-D3DD-4985-9413-E8D96459883A}"/>
    <hyperlink ref="L20" r:id="rId20" xr:uid="{66AE474D-97C9-4BAE-9686-E0117D37476F}"/>
    <hyperlink ref="L19" r:id="rId21" xr:uid="{8EAE60C3-4658-4965-B51D-E2583C49B8A5}"/>
    <hyperlink ref="L24" r:id="rId22" xr:uid="{E0DFC2D1-BC5F-460B-A813-6A1D73A00023}"/>
    <hyperlink ref="L25" r:id="rId23" xr:uid="{E2C35188-4235-42B9-822F-DD341E9CFE20}"/>
    <hyperlink ref="L26" r:id="rId24" xr:uid="{E31DBE44-99EB-418D-9929-162AB7901E30}"/>
    <hyperlink ref="L27" r:id="rId25" xr:uid="{B8B66C15-2F9B-460B-A788-9BF3859C9D5D}"/>
    <hyperlink ref="L28" r:id="rId26" xr:uid="{4CBAE987-6E8C-4A78-BE92-FAA5E2599294}"/>
    <hyperlink ref="L29" r:id="rId27" xr:uid="{EB4163F3-0E68-4E7B-A796-413A2E3A9A2F}"/>
    <hyperlink ref="L30" r:id="rId28" xr:uid="{D4D355CA-CFB5-4FC9-938A-D12CCB41CF1A}"/>
    <hyperlink ref="L31" r:id="rId29" xr:uid="{7302FB32-E686-4C95-B068-EC85870F1D06}"/>
    <hyperlink ref="L32" r:id="rId30" xr:uid="{0289E168-485C-4B52-A502-5A80BFDD8A81}"/>
    <hyperlink ref="L36" r:id="rId31" xr:uid="{D7A2BEC7-71B3-44FB-B911-98F9C01DF763}"/>
    <hyperlink ref="L45" r:id="rId32" xr:uid="{7AFA0495-23AB-488D-BE07-083CC3788FDF}"/>
    <hyperlink ref="L51" r:id="rId33" xr:uid="{D54311ED-A137-4878-B4A8-435A04D8AC65}"/>
    <hyperlink ref="L52" r:id="rId34" xr:uid="{80EF52FB-C6BD-42BB-854D-E7FCA6BF9CAE}"/>
    <hyperlink ref="L53" r:id="rId35" xr:uid="{470F32C9-5680-4169-9B8D-B28764771749}"/>
    <hyperlink ref="L54" r:id="rId36" xr:uid="{676A9B70-16A5-4341-A705-71F3A51FCF63}"/>
    <hyperlink ref="L55" r:id="rId37" xr:uid="{C65FBE33-0FB6-4483-B6BA-6E0A60044189}"/>
    <hyperlink ref="L56" r:id="rId38" xr:uid="{35FC69F9-6FA8-4805-B139-8DB27C06131A}"/>
    <hyperlink ref="L57" r:id="rId39" xr:uid="{77031B57-3A26-4212-8E95-02F7AD645D6A}"/>
    <hyperlink ref="L58" r:id="rId40" xr:uid="{0DDE52AE-7CCC-4FEA-AF5D-DD2B910B9581}"/>
    <hyperlink ref="L59" r:id="rId41" xr:uid="{13AD96B6-B69F-4BB2-BF37-809E4B9F37FD}"/>
    <hyperlink ref="L60" r:id="rId42" xr:uid="{8C077FEB-2105-445D-9649-F022CE3C486F}"/>
    <hyperlink ref="L61" r:id="rId43" xr:uid="{3314A9C3-2332-47F0-9C2B-D3A71CBDE89C}"/>
    <hyperlink ref="L62" r:id="rId44" xr:uid="{97F78AF8-396E-417F-AAC9-2D50EDB55607}"/>
    <hyperlink ref="L72" r:id="rId45" xr:uid="{5E970B64-789B-4DEC-B25A-FF44330C6A8B}"/>
    <hyperlink ref="L33" r:id="rId46" xr:uid="{8EFD7AEE-BAB8-4441-A00B-A291514C49BB}"/>
    <hyperlink ref="L34" r:id="rId47" xr:uid="{296AB139-2D28-49B3-9A0E-EA79AE207DEC}"/>
    <hyperlink ref="L35" r:id="rId48" xr:uid="{BD99A460-6493-4FD9-BEDB-35587F0C53E9}"/>
    <hyperlink ref="L37" r:id="rId49" xr:uid="{52F19328-0B3C-40A9-813B-98C6C7D95169}"/>
    <hyperlink ref="L38" r:id="rId50" xr:uid="{D71FE20C-B357-43A6-BCF5-C4D861175109}"/>
    <hyperlink ref="L39" r:id="rId51" xr:uid="{DBD95FE9-ECE2-44D0-AE2D-413ECA6B20DA}"/>
    <hyperlink ref="L40" r:id="rId52" xr:uid="{7C1F5C54-C022-4443-AD5A-BA08B8D76881}"/>
    <hyperlink ref="L41" r:id="rId53" xr:uid="{F626242D-48AE-45A2-B0B8-6B3663224868}"/>
    <hyperlink ref="L42" r:id="rId54" xr:uid="{83995886-AC4C-414B-987F-D17CA19D6FBA}"/>
    <hyperlink ref="L43" r:id="rId55" xr:uid="{E1D67EB4-26DD-46C6-9995-4EBC722DADAE}"/>
    <hyperlink ref="L44" r:id="rId56" xr:uid="{64C13CC0-0418-4402-A656-215256C4EB32}"/>
    <hyperlink ref="L46" r:id="rId57" xr:uid="{02808BC9-FB0C-4BAE-A2C5-23018A86F5CC}"/>
    <hyperlink ref="L47" r:id="rId58" xr:uid="{462F858E-382F-439A-A48E-0F2139BE5CBE}"/>
    <hyperlink ref="L48" r:id="rId59" xr:uid="{E10BB636-F42E-4A59-AC64-BC49EF4B0C59}"/>
    <hyperlink ref="L49" r:id="rId60" xr:uid="{912D53EB-CD19-480A-92ED-E4559B994006}"/>
    <hyperlink ref="L50" r:id="rId61" xr:uid="{6422FDA6-D85A-4D91-8FE4-C2EB55C34855}"/>
    <hyperlink ref="L73" r:id="rId62" xr:uid="{E1CA4F1C-323C-4E09-9037-2422DF373224}"/>
    <hyperlink ref="L74" r:id="rId63" xr:uid="{B2C4AFF4-7291-4120-8B4D-D5A16A8D9DDA}"/>
    <hyperlink ref="L75" r:id="rId64" xr:uid="{4317A5F0-E216-4609-9C17-FBAC58452204}"/>
    <hyperlink ref="L83" r:id="rId65" xr:uid="{6B65E6F1-B748-4DBA-8672-3FE47D91A602}"/>
    <hyperlink ref="L84" r:id="rId66" xr:uid="{63AFDA0E-8C91-4190-8494-4760E9F347AA}"/>
    <hyperlink ref="L85" r:id="rId67" xr:uid="{BDC5B301-B81C-4050-998A-7244BF5A1FC6}"/>
    <hyperlink ref="L86" r:id="rId68" xr:uid="{63380729-DE67-476D-85C5-1146049EA181}"/>
    <hyperlink ref="L87" r:id="rId69" xr:uid="{EF42521F-C11F-436B-85CC-B65451696B1A}"/>
    <hyperlink ref="L88" r:id="rId70" xr:uid="{4C06AE6E-6201-4AAD-8F0F-180271718B9F}"/>
    <hyperlink ref="L89" r:id="rId71" xr:uid="{EFC2B810-ADC3-4669-89D8-EFB7D2845398}"/>
    <hyperlink ref="L90" r:id="rId72" xr:uid="{7C9D0445-0421-4B12-AC4E-AEAC8E452251}"/>
    <hyperlink ref="L91" r:id="rId73" xr:uid="{8A89D87F-915E-45B1-91BA-CC265EF55CC6}"/>
    <hyperlink ref="L63" r:id="rId74" xr:uid="{BC0C28C8-A7E1-4553-8670-924D976F7CA8}"/>
    <hyperlink ref="L92" r:id="rId75" xr:uid="{5556AAC5-7CDD-4404-8501-F7327FA36232}"/>
    <hyperlink ref="L76" r:id="rId76" xr:uid="{960B8AF2-3367-4451-AF0A-BF32C1015550}"/>
    <hyperlink ref="L77" r:id="rId77" xr:uid="{30C14B0C-F43C-4FB0-B55D-25FB56B6877A}"/>
    <hyperlink ref="L78" r:id="rId78" xr:uid="{BE79075F-BF9C-41C5-8183-B2C4A6876C1D}"/>
    <hyperlink ref="L79" r:id="rId79" xr:uid="{DFDD0B35-2604-43FA-BC6A-B3C77328705F}"/>
    <hyperlink ref="L80" r:id="rId80" xr:uid="{A86A75A8-0188-4BAF-B34C-DA520DCF3249}"/>
    <hyperlink ref="L81" r:id="rId81" xr:uid="{5058CC7E-E413-460C-9527-778F269098C6}"/>
    <hyperlink ref="L82" r:id="rId82" xr:uid="{54053849-4056-406A-A716-A7580B14D408}"/>
    <hyperlink ref="L93" r:id="rId83" xr:uid="{FB25D27B-AAB1-48F8-B202-82585681F431}"/>
    <hyperlink ref="L94" r:id="rId84" xr:uid="{C16486E1-371A-43A4-BE1D-AB75525330BB}"/>
    <hyperlink ref="L95" r:id="rId85" xr:uid="{9D2A8AB4-7BB7-4C83-BC9C-958722666BCF}"/>
    <hyperlink ref="L96" r:id="rId86" xr:uid="{24E89678-51A3-4942-828D-0FD5AD5158B6}"/>
    <hyperlink ref="L97" r:id="rId87" xr:uid="{F91AE613-0F42-4D03-B04B-FB3BD338F756}"/>
    <hyperlink ref="L98" r:id="rId88" xr:uid="{0A28203C-A8DD-4AF7-8A72-56F7C15EEF1A}"/>
    <hyperlink ref="L99" r:id="rId89" xr:uid="{AFFF9E82-588C-4550-9994-F7CE44C141E7}"/>
    <hyperlink ref="L100" r:id="rId90" xr:uid="{37F12256-3A11-4D5A-AD3D-2A68BA16BFCD}"/>
    <hyperlink ref="L101" r:id="rId91" xr:uid="{9B5BC4B3-914C-41B0-A61D-34B775458716}"/>
    <hyperlink ref="L102" r:id="rId92" xr:uid="{F64EEEE6-2775-42E5-9273-D705CFF911A2}"/>
    <hyperlink ref="L103" r:id="rId93" xr:uid="{805972D7-FA7B-4559-A1D7-EF3BEC01696D}"/>
    <hyperlink ref="L104" r:id="rId94" xr:uid="{EB70EDD5-FB02-48C1-B632-AAAFBEF1640E}"/>
    <hyperlink ref="L105" r:id="rId95" xr:uid="{3B112DF4-FDB2-4112-96B6-C9C487D1EBC9}"/>
    <hyperlink ref="L106" r:id="rId96" xr:uid="{0F7D5DF7-83AF-43C6-BC58-6ED561BFFF1F}"/>
    <hyperlink ref="L107" r:id="rId97" xr:uid="{FD211FA8-6198-45C3-A201-9D9121F04716}"/>
    <hyperlink ref="L108" r:id="rId98" xr:uid="{AD9E1E5D-792B-4299-9E83-BA9D3E940AA9}"/>
    <hyperlink ref="L110" r:id="rId99" xr:uid="{DD7AB899-A1B9-4BAE-B4B5-9BFC70382B80}"/>
    <hyperlink ref="L111" r:id="rId100" xr:uid="{A9480026-82AC-4C8C-ADB0-BB5E6463B6F5}"/>
    <hyperlink ref="L112" r:id="rId101" xr:uid="{28976B40-C8CD-4A48-B1F8-B1EAD43F19DE}"/>
    <hyperlink ref="L118" r:id="rId102" xr:uid="{C975CA3F-ACAA-4B76-BD12-C67A5FFBACD2}"/>
    <hyperlink ref="L119" r:id="rId103" xr:uid="{BBEDA0C2-FF55-4A5A-B132-B898F5544BE0}"/>
    <hyperlink ref="L120" r:id="rId104" xr:uid="{FC3D87AE-0EC0-4121-BCDA-CF560775CB2A}"/>
    <hyperlink ref="L122" r:id="rId105" xr:uid="{A2A315ED-AF44-4F5A-B869-FCAAE733C8D0}"/>
    <hyperlink ref="L121" r:id="rId106" xr:uid="{3528D416-A24D-472E-AA44-DD52BF960695}"/>
    <hyperlink ref="L113" r:id="rId107" xr:uid="{677E82B3-1D8B-4F54-8C76-1C94F993C5FA}"/>
    <hyperlink ref="L114" r:id="rId108" xr:uid="{1E624CAD-86AE-4D86-8552-36F40F197B4B}"/>
    <hyperlink ref="L115" r:id="rId109" xr:uid="{36FF5564-3989-4346-806D-11C1918F9A39}"/>
    <hyperlink ref="L116" r:id="rId110" xr:uid="{361C3666-58A7-4AA6-871E-1B1EAD63D79A}"/>
    <hyperlink ref="L117" r:id="rId111" xr:uid="{1D00BB11-5D12-4A76-A4D7-917B24B421CA}"/>
    <hyperlink ref="L136" r:id="rId112" xr:uid="{91DA3938-9A93-4D2B-A0F3-CCA32D5EAE0B}"/>
    <hyperlink ref="L137" r:id="rId113" xr:uid="{A6E68E96-0663-4A66-8A37-3A6D33713492}"/>
    <hyperlink ref="L138" r:id="rId114" xr:uid="{27D5BCA7-534D-47CA-94F8-CF950446FCC0}"/>
    <hyperlink ref="L139" r:id="rId115" xr:uid="{142FB61B-4A74-42E5-8DA0-7DD2BEAFFB79}"/>
    <hyperlink ref="L141:L142" r:id="rId116" display="https://www.whatnot.com/order/BxpSgRamxcouLJ5UoJeEaP" xr:uid="{8B6D7791-246A-44DD-BB01-8B25143CCE5F}"/>
    <hyperlink ref="L143" r:id="rId117" xr:uid="{64980266-8AB7-49DF-BE7B-C31EA35B1A24}"/>
    <hyperlink ref="L140" r:id="rId118" xr:uid="{1AFF5F53-5B71-4318-8775-A3C99A092E28}"/>
    <hyperlink ref="L144" r:id="rId119" xr:uid="{2762F9E7-C04A-4BFE-9FC6-B3693E7C0354}"/>
    <hyperlink ref="L145" r:id="rId120" xr:uid="{BC957660-8977-4754-BA2D-C1E073CD3102}"/>
    <hyperlink ref="L146" r:id="rId121" xr:uid="{70D4E06F-3F9F-4BB4-ADE8-49997CA5561F}"/>
    <hyperlink ref="L147" r:id="rId122" xr:uid="{222B1894-D468-4E91-8CDE-0EEF9AAB1EA5}"/>
    <hyperlink ref="L148" r:id="rId123" xr:uid="{FF426BF3-CB20-4B4B-9F09-9D3704C45EBB}"/>
    <hyperlink ref="L149" r:id="rId124" xr:uid="{5C9C3906-5904-44AF-9EEF-1A9A7EEA1EAA}"/>
    <hyperlink ref="L132" r:id="rId125" xr:uid="{384D427D-CCCA-4E2B-8BCE-7FD786EC2C81}"/>
    <hyperlink ref="L133" r:id="rId126" xr:uid="{FD8D5EAD-C07B-4A26-8C93-312B77E0D228}"/>
    <hyperlink ref="L134" r:id="rId127" xr:uid="{D7397FCA-EF11-441D-8930-86AED397374C}"/>
    <hyperlink ref="L135" r:id="rId128" xr:uid="{537C305D-5CEF-4A3D-B2A2-6221A40A5C36}"/>
    <hyperlink ref="L123" r:id="rId129" xr:uid="{7BDB2F1B-023B-4E1C-9292-2C7933C7CCE2}"/>
    <hyperlink ref="L124" r:id="rId130" xr:uid="{A398F2F8-DA02-41FE-A78A-EE5C00C98EBE}"/>
    <hyperlink ref="L125" r:id="rId131" xr:uid="{DFFB3ACA-7B84-4B4E-BEAA-C83426006C72}"/>
    <hyperlink ref="L126" r:id="rId132" xr:uid="{94DA3545-8047-4DD9-B8E5-A7AE1B13E58B}"/>
    <hyperlink ref="L127" r:id="rId133" xr:uid="{A02E6DE5-30BD-487C-B295-053F89989B6B}"/>
    <hyperlink ref="L128" r:id="rId134" xr:uid="{8DAFE16E-F326-47B7-8FA7-6B507C5E3703}"/>
    <hyperlink ref="L129" r:id="rId135" xr:uid="{F08AB0AC-1AEE-40DF-9E28-E0AD3F3FD9B1}"/>
    <hyperlink ref="L130" r:id="rId136" xr:uid="{65509897-AE85-47EF-B221-7A38E4D4757A}"/>
    <hyperlink ref="L131" r:id="rId137" xr:uid="{9FE17569-BAFD-4105-970C-6D9F09CFCF86}"/>
    <hyperlink ref="L155" r:id="rId138" xr:uid="{7B578A39-35B6-4C95-85ED-7E63CE64E9F4}"/>
    <hyperlink ref="L151" r:id="rId139" xr:uid="{E73C9289-616D-42A0-A689-C5B76DBDFC45}"/>
    <hyperlink ref="L153" r:id="rId140" display="https://www.whatnot.com/order/Mqc2Uuzq8b8WstsiTribsF" xr:uid="{E26ED7D5-B2B2-4B4A-A612-E0A8A5541882}"/>
    <hyperlink ref="L150" r:id="rId141" xr:uid="{A87BFEA8-3368-4465-928A-78C6F72FBC56}"/>
    <hyperlink ref="L152" r:id="rId142" xr:uid="{5D24D33F-5603-4E61-8D46-BA4CE8714350}"/>
    <hyperlink ref="L154" r:id="rId143" display="https://www.whatnot.com/order/Mqc2Uuzq8b8WstsiTribsF" xr:uid="{B25816C0-4719-43DB-8E62-DCFC574A585D}"/>
    <hyperlink ref="L156" r:id="rId144" xr:uid="{C2CB1F6A-C699-4A05-A007-F77C657152E4}"/>
    <hyperlink ref="L157" r:id="rId145" xr:uid="{A313B746-4A92-4C80-8BD6-9557D9989046}"/>
    <hyperlink ref="L158" r:id="rId146" xr:uid="{E9CBE1A7-6932-498D-A67C-A06749D0A787}"/>
    <hyperlink ref="L181" r:id="rId147" location="/" xr:uid="{9D2AD44D-48D0-476C-9456-A37253472F45}"/>
    <hyperlink ref="L159" r:id="rId148" xr:uid="{77BFF68D-2D06-467A-AE0A-AD84FFF595CD}"/>
    <hyperlink ref="L160" r:id="rId149" xr:uid="{BA8BDF60-19B2-4788-85F0-C4DAE3FB3C96}"/>
    <hyperlink ref="L161" r:id="rId150" xr:uid="{5A3F8A8D-E963-411D-9022-12B6B4CA424A}"/>
    <hyperlink ref="L162" r:id="rId151" xr:uid="{436F771B-616B-4E41-9E7A-8EC65CDE15BB}"/>
    <hyperlink ref="L164" r:id="rId152" xr:uid="{1840CCFD-9B31-4AF8-B65F-2BF8F5EF9E98}"/>
    <hyperlink ref="L175" r:id="rId153" xr:uid="{6DA495B8-ABD8-4619-B9E7-5C509EF5C9BD}"/>
    <hyperlink ref="L176" r:id="rId154" xr:uid="{50231897-7E33-487F-9EFF-1BDA1088784C}"/>
    <hyperlink ref="L180" r:id="rId155" xr:uid="{94B1F349-2FD8-411B-87CC-90BFCD92A92A}"/>
    <hyperlink ref="L165" r:id="rId156" xr:uid="{41952B8B-2F8A-4CD5-8149-94C65EFD41B5}"/>
    <hyperlink ref="L166" r:id="rId157" xr:uid="{5D2C9D1B-7A11-4869-8E0F-18EFE2986CBA}"/>
    <hyperlink ref="L167" r:id="rId158" xr:uid="{7737B26C-8246-4C5B-9DC9-933C47BAEE5F}"/>
    <hyperlink ref="L168" r:id="rId159" xr:uid="{4F63A7C5-B0B3-4973-A253-7D05E6F6F7BB}"/>
    <hyperlink ref="L169" r:id="rId160" xr:uid="{E84AA8CB-243B-4EA2-9D97-CAA738B916D2}"/>
    <hyperlink ref="L170" r:id="rId161" xr:uid="{EE9443D5-7B30-4165-91CB-9065C6C73FED}"/>
    <hyperlink ref="L174" r:id="rId162" xr:uid="{3BF605B4-FA17-4616-AA33-5FC03951B6F1}"/>
    <hyperlink ref="L184" r:id="rId163" xr:uid="{6ED0B1F1-7405-4A31-8455-D7FAD20584DA}"/>
    <hyperlink ref="L182" r:id="rId164" xr:uid="{068711CF-1FB1-45D2-BF3C-A11D45EB5665}"/>
    <hyperlink ref="L183" r:id="rId165" xr:uid="{D35C5DBF-9F6C-480F-9DA8-057A0481AE4E}"/>
    <hyperlink ref="L185" r:id="rId166" xr:uid="{D16F473F-51D7-4AC2-9134-C1729D340C3B}"/>
    <hyperlink ref="L109" r:id="rId167" xr:uid="{1E40E388-D05D-4DD3-9BFC-4D87AAE01C75}"/>
    <hyperlink ref="L187" r:id="rId168" xr:uid="{34E07294-5B52-4D02-AFD8-52A244BCB034}"/>
    <hyperlink ref="L188" r:id="rId169" xr:uid="{31BFE4FF-4097-4805-8222-AEC62A41D24D}"/>
    <hyperlink ref="L189" r:id="rId170" xr:uid="{273BE4D2-86D2-494B-B7E0-C0A49332D375}"/>
    <hyperlink ref="L190" r:id="rId171" xr:uid="{68D7FDED-6BF9-4D16-863B-CAEEDBA03DBB}"/>
    <hyperlink ref="L197" r:id="rId172" xr:uid="{510E3561-92D1-4728-8261-A0032E638C0C}"/>
    <hyperlink ref="L198:L203" r:id="rId173" display="https://www.whatnot.com/order/GhBCHwczCmrh6F7iQjEyTX" xr:uid="{7688136A-2619-4267-9322-532E77071626}"/>
    <hyperlink ref="L204" r:id="rId174" xr:uid="{22B4216E-616B-43B1-8772-C4FAF6138373}"/>
    <hyperlink ref="L205" r:id="rId175" xr:uid="{9F2B660D-7FA5-4459-8790-532BF74B84AA}"/>
    <hyperlink ref="L206" r:id="rId176" xr:uid="{B6A97280-EDC1-46D5-A3F2-68E4D24613B6}"/>
    <hyperlink ref="L207" r:id="rId177" xr:uid="{575C423A-AD56-43B7-9F42-E2820BC94A53}"/>
    <hyperlink ref="L208" r:id="rId178" xr:uid="{BD2CF05E-4EE9-4491-A64B-908477253362}"/>
    <hyperlink ref="L209" r:id="rId179" xr:uid="{BC34BD84-C1E3-470B-BDB3-7A030CA80DFB}"/>
    <hyperlink ref="L210" r:id="rId180" xr:uid="{38C691F0-ECA7-45FC-AC15-7D88578B66C4}"/>
    <hyperlink ref="L211" r:id="rId181" xr:uid="{06D6C524-39FB-4CBB-B08A-76EFE4D87328}"/>
    <hyperlink ref="L212" r:id="rId182" xr:uid="{8D92B641-3486-4D35-9A44-13027986CE23}"/>
    <hyperlink ref="L214" r:id="rId183" xr:uid="{0773C105-19F1-4B1B-8011-D8F758EF2642}"/>
    <hyperlink ref="L215" r:id="rId184" xr:uid="{B3EB0C8B-5AC0-4DE7-8ADD-4F565C3A130A}"/>
    <hyperlink ref="L216" r:id="rId185" xr:uid="{5828B7E7-5B15-4427-B019-489A4AB82176}"/>
    <hyperlink ref="L217" r:id="rId186" xr:uid="{62C9228E-2F08-4376-9A25-537B96CB0B31}"/>
    <hyperlink ref="L218" r:id="rId187" xr:uid="{03512B0C-4D8A-4435-85DA-24FFA3D2F184}"/>
    <hyperlink ref="L219" r:id="rId188" xr:uid="{94AEC2A9-29A2-4478-BFA2-9E969F57F6B1}"/>
    <hyperlink ref="L220" r:id="rId189" xr:uid="{9F5D10D0-1DC1-440D-90C6-9A31E20671FF}"/>
    <hyperlink ref="L222" r:id="rId190" xr:uid="{0DBDC79E-6650-4D7A-AEAC-3F0003F9BF3A}"/>
    <hyperlink ref="L224" r:id="rId191" xr:uid="{1154F7B2-0CDE-40B3-913D-F70648BD8094}"/>
    <hyperlink ref="L233" r:id="rId192" xr:uid="{BE48EFF4-21F6-4AED-9AB1-A23C6B31105D}"/>
    <hyperlink ref="L226" r:id="rId193" xr:uid="{6E31BB5D-2DF0-4072-A13D-9962C9D10F20}"/>
    <hyperlink ref="L228" r:id="rId194" xr:uid="{9159617D-2291-4BDA-85B0-56F2E5784B23}"/>
    <hyperlink ref="L230" r:id="rId195" xr:uid="{6E91A5E6-7CDE-45D9-8009-D7D0626813E0}"/>
    <hyperlink ref="L231" r:id="rId196" xr:uid="{FB40AFA7-C33B-41B9-A68D-4F4181D9BB47}"/>
    <hyperlink ref="L221" r:id="rId197" xr:uid="{8E920AC1-BF1C-4141-BEF5-355CB42278AF}"/>
    <hyperlink ref="L223" r:id="rId198" xr:uid="{714407C9-AF4C-4A19-B0B4-4C9FFA2C0954}"/>
    <hyperlink ref="L225" r:id="rId199" xr:uid="{7F794D7C-8DA8-4B3E-8A19-7A397990781C}"/>
    <hyperlink ref="L227" r:id="rId200" xr:uid="{BC89D7B4-A06D-48AA-B08B-AEA89E38B4CB}"/>
    <hyperlink ref="L229" r:id="rId201" xr:uid="{0BDAEE43-613A-4AF4-A98B-B0F806D90189}"/>
    <hyperlink ref="L232" r:id="rId202" xr:uid="{77FA1DED-C47C-4529-A087-E67943C6B77E}"/>
    <hyperlink ref="L234" r:id="rId203" xr:uid="{7163E8E1-BA55-4CDF-98C8-00E77FAE63CE}"/>
    <hyperlink ref="L186" r:id="rId204" xr:uid="{7063CEA6-56C5-4E5D-B7A7-2AD531829FF5}"/>
    <hyperlink ref="L235" r:id="rId205" xr:uid="{99933170-2919-4ED4-8ECC-7E853D0849C3}"/>
    <hyperlink ref="L236" r:id="rId206" xr:uid="{D27B06CE-E968-4CC2-A5F4-74FAA09A7C27}"/>
    <hyperlink ref="L237" r:id="rId207" xr:uid="{960C8921-7B13-4546-B702-AF35F947256D}"/>
    <hyperlink ref="L238" r:id="rId208" xr:uid="{CB471C5D-7CF2-40D7-8C9C-2DCFD9FCE8A7}"/>
    <hyperlink ref="L239" r:id="rId209" xr:uid="{BA0CD164-AFCF-4B9E-8FD3-045E767FC42A}"/>
    <hyperlink ref="L241" r:id="rId210" xr:uid="{4395997A-C3F7-41B2-AAE0-E0CD62CF5EA4}"/>
    <hyperlink ref="L242" r:id="rId211" xr:uid="{CD5BAD9D-3840-47A5-8099-1BA633202438}"/>
    <hyperlink ref="L246" r:id="rId212" xr:uid="{224C382C-CD3B-4427-BCE9-3E1DFB4E3C94}"/>
    <hyperlink ref="L245" r:id="rId213" xr:uid="{E05A1FCC-3E07-4FC6-BBA0-68E76D9BDF32}"/>
    <hyperlink ref="L247" r:id="rId214" xr:uid="{C56D1178-3CBC-4C81-B724-4F64A6DAF1BB}"/>
    <hyperlink ref="L248" r:id="rId215" display="https://www.ebay.com/itm/327090226621" xr:uid="{F83ACA93-0C2B-43BC-8E2D-1543391D0D20}"/>
  </hyperlinks>
  <pageMargins left="0.7" right="0.7" top="0.75" bottom="0.75" header="0.3" footer="0.3"/>
  <pageSetup scale="71" orientation="portrait" verticalDpi="0" r:id="rId216"/>
  <colBreaks count="3" manualBreakCount="3">
    <brk id="14" max="1048575" man="1"/>
    <brk id="19" max="1048575" man="1"/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4D23-09A8-4A56-8027-D38FDA17A543}">
  <sheetPr codeName="Sheet2"/>
  <dimension ref="A1:AM651"/>
  <sheetViews>
    <sheetView tabSelected="1" topLeftCell="D1" zoomScale="85" zoomScaleNormal="85" workbookViewId="0">
      <pane ySplit="1" topLeftCell="A2" activePane="bottomLeft" state="frozen"/>
      <selection pane="bottomLeft" activeCell="S2" sqref="S2"/>
    </sheetView>
  </sheetViews>
  <sheetFormatPr defaultColWidth="9.109375" defaultRowHeight="13.8" x14ac:dyDescent="0.3"/>
  <cols>
    <col min="1" max="1" width="9.33203125" style="13" bestFit="1" customWidth="1"/>
    <col min="2" max="2" width="39.5546875" style="13" bestFit="1" customWidth="1"/>
    <col min="3" max="3" width="61.6640625" style="13" bestFit="1" customWidth="1"/>
    <col min="4" max="4" width="17" style="13" bestFit="1" customWidth="1"/>
    <col min="5" max="5" width="14.6640625" style="13" bestFit="1" customWidth="1"/>
    <col min="6" max="6" width="16.5546875" style="13" bestFit="1" customWidth="1"/>
    <col min="7" max="7" width="6.5546875" style="13" bestFit="1" customWidth="1"/>
    <col min="8" max="8" width="14.88671875" style="13" customWidth="1"/>
    <col min="9" max="9" width="21" style="13" bestFit="1" customWidth="1"/>
    <col min="10" max="10" width="10.44140625" style="13" bestFit="1" customWidth="1"/>
    <col min="11" max="11" width="14.33203125" style="14" bestFit="1" customWidth="1"/>
    <col min="12" max="12" width="16.33203125" style="14" bestFit="1" customWidth="1"/>
    <col min="13" max="13" width="17.33203125" style="13" bestFit="1" customWidth="1"/>
    <col min="14" max="14" width="15.33203125" style="13" bestFit="1" customWidth="1"/>
    <col min="15" max="15" width="8.5546875" style="13" bestFit="1" customWidth="1"/>
    <col min="16" max="16" width="24.33203125" style="58" bestFit="1" customWidth="1"/>
    <col min="17" max="17" width="50.6640625" style="58" bestFit="1" customWidth="1"/>
    <col min="18" max="18" width="23.109375" style="58" bestFit="1" customWidth="1"/>
    <col min="19" max="19" width="10.33203125" style="58" bestFit="1" customWidth="1"/>
    <col min="20" max="20" width="10.33203125" style="60" customWidth="1"/>
    <col min="21" max="21" width="24.33203125" style="54" customWidth="1"/>
    <col min="22" max="22" width="8.88671875" style="54" bestFit="1" customWidth="1"/>
    <col min="23" max="23" width="8.6640625" style="58" bestFit="1" customWidth="1"/>
    <col min="24" max="24" width="8.6640625" style="58" customWidth="1"/>
    <col min="25" max="25" width="15.44140625" style="60" bestFit="1" customWidth="1"/>
    <col min="26" max="26" width="16.6640625" style="60" bestFit="1" customWidth="1"/>
    <col min="27" max="27" width="2.6640625" style="13" customWidth="1"/>
    <col min="28" max="28" width="13.88671875" style="13" customWidth="1"/>
    <col min="29" max="29" width="9.109375" style="13"/>
    <col min="30" max="30" width="2.6640625" style="13" customWidth="1"/>
    <col min="31" max="31" width="71.6640625" style="13" bestFit="1" customWidth="1"/>
    <col min="32" max="32" width="5.109375" style="13" bestFit="1" customWidth="1"/>
    <col min="33" max="33" width="24.44140625" style="13" bestFit="1" customWidth="1"/>
    <col min="34" max="34" width="2.6640625" style="13" customWidth="1"/>
    <col min="35" max="35" width="64.77734375" style="13" bestFit="1" customWidth="1"/>
    <col min="36" max="36" width="14.33203125" style="13" bestFit="1" customWidth="1"/>
    <col min="37" max="37" width="2.6640625" style="13" customWidth="1"/>
    <col min="38" max="38" width="19.109375" style="13" bestFit="1" customWidth="1"/>
    <col min="39" max="39" width="19.33203125" style="13" bestFit="1" customWidth="1"/>
    <col min="40" max="16384" width="9.109375" style="13"/>
  </cols>
  <sheetData>
    <row r="1" spans="1:39" s="12" customFormat="1" ht="14.4" x14ac:dyDescent="0.3">
      <c r="A1" s="12" t="s">
        <v>1819</v>
      </c>
      <c r="B1" s="12" t="s">
        <v>155</v>
      </c>
      <c r="C1" s="12" t="s">
        <v>156</v>
      </c>
      <c r="D1" s="12" t="s">
        <v>157</v>
      </c>
      <c r="E1" s="12" t="s">
        <v>158</v>
      </c>
      <c r="F1" s="12" t="s">
        <v>159</v>
      </c>
      <c r="G1" s="12" t="s">
        <v>160</v>
      </c>
      <c r="H1" s="12" t="s">
        <v>161</v>
      </c>
      <c r="I1" s="12" t="s">
        <v>162</v>
      </c>
      <c r="J1" s="12" t="s">
        <v>163</v>
      </c>
      <c r="K1" s="57" t="s">
        <v>164</v>
      </c>
      <c r="L1" s="57" t="s">
        <v>165</v>
      </c>
      <c r="M1" s="12" t="s">
        <v>166</v>
      </c>
      <c r="N1" s="12" t="s">
        <v>167</v>
      </c>
      <c r="O1" s="12" t="s">
        <v>168</v>
      </c>
      <c r="P1" s="58" t="s">
        <v>1131</v>
      </c>
      <c r="Q1" s="58" t="s">
        <v>1713</v>
      </c>
      <c r="R1" s="58" t="s">
        <v>1714</v>
      </c>
      <c r="S1" s="58" t="s">
        <v>1715</v>
      </c>
      <c r="T1" s="60" t="s">
        <v>51</v>
      </c>
      <c r="U1" s="54" t="s">
        <v>1553</v>
      </c>
      <c r="V1" s="58" t="s">
        <v>118</v>
      </c>
      <c r="W1" s="58" t="s">
        <v>1551</v>
      </c>
      <c r="X1" s="58" t="s">
        <v>1704</v>
      </c>
      <c r="Y1" s="60" t="s">
        <v>1132</v>
      </c>
      <c r="Z1" s="60" t="s">
        <v>1133</v>
      </c>
      <c r="AB1" s="12" t="s">
        <v>1547</v>
      </c>
      <c r="AC1" s="12">
        <f>COUNTBLANK(N1:N558)</f>
        <v>0</v>
      </c>
      <c r="AE1" s="12" t="s">
        <v>1706</v>
      </c>
      <c r="AH1"/>
      <c r="AL1" s="12" t="s">
        <v>1815</v>
      </c>
      <c r="AM1" s="12" t="s">
        <v>1816</v>
      </c>
    </row>
    <row r="2" spans="1:39" ht="14.4" x14ac:dyDescent="0.3">
      <c r="A2" s="13">
        <v>11484449</v>
      </c>
      <c r="B2" s="13" t="s">
        <v>185</v>
      </c>
      <c r="C2" s="13" t="s">
        <v>186</v>
      </c>
      <c r="D2" s="13">
        <v>2104</v>
      </c>
      <c r="E2" s="13" t="s">
        <v>171</v>
      </c>
      <c r="F2" s="13" t="s">
        <v>172</v>
      </c>
      <c r="H2" s="13" t="s">
        <v>1824</v>
      </c>
      <c r="I2" s="13">
        <v>2944</v>
      </c>
      <c r="J2" s="13">
        <v>1</v>
      </c>
      <c r="K2" s="14">
        <v>46133</v>
      </c>
      <c r="L2" s="14">
        <v>46132</v>
      </c>
      <c r="N2" s="13">
        <v>13</v>
      </c>
      <c r="P2" s="58" t="str">
        <f t="shared" ref="P2:P65" si="0">TRIM(LEFT(B2, MIN(IFERROR(FIND("[", B2), LEN(B2)+1), IFERROR(FIND("#", B2), LEN(B2)+1)) - 1))</f>
        <v>Cooper Flagg</v>
      </c>
      <c r="Q2" s="58" t="str">
        <f>IFERROR(_xlfn.TEXTAFTER(_xlfn.XLOOKUP(A2,Collection!A:A,Collection!C:C,),"Cards "),C2)</f>
        <v>2025 Topps Chrome</v>
      </c>
      <c r="R2" s="58" t="str">
        <f t="shared" ref="R2:R65" si="1">IFERROR(_xlfn.TEXTBEFORE(_xlfn.TEXTAFTER(B2, "["), "]"), "-")</f>
        <v>-</v>
      </c>
      <c r="S2" s="58" t="str">
        <f>IFERROR(_xlfn.TEXTAFTER(_xlfn.XLOOKUP(A2,Collection!A:A,Collection!B:B,),"#"),"")</f>
        <v>251</v>
      </c>
      <c r="T2" s="60">
        <f t="shared" ref="T2:T65" si="2">D2/100</f>
        <v>21.04</v>
      </c>
      <c r="U2" s="54" t="s">
        <v>1567</v>
      </c>
      <c r="V2" s="58" t="str">
        <f>IF(ISNUMBER(MATCH(N2,Catalog!$B$4:$B$16, 0)), "Keep", "For Sale")</f>
        <v>Keep</v>
      </c>
      <c r="W2" s="58">
        <f t="shared" ref="W2:W65" si="3">COUNTIFS(V:V,"For Sale",A:A,A2)</f>
        <v>1</v>
      </c>
      <c r="X2" s="58">
        <f t="shared" ref="X2:X65" si="4">_xlfn.LET(
_xlpm.val,_xlfn.XLOOKUP(U2,AE:AE,AG:AG,)/100,
_xlpm.tier,IF(_xlpm.val&lt;1,5,IF(_xlpm.val&lt;2,4,IF(_xlpm.val&lt;5,3,IF(_xlpm.val&lt;10,2,1)))),
_xlpm.tier)</f>
        <v>1</v>
      </c>
      <c r="Y2" s="60">
        <f t="shared" ref="Y2:Y65" si="5">_xlfn.LET(
    _xlpm.price, (MAX(I2,D2,25)/100)*(1+$AC$3),
    _xlpm.rounder, IF(_xlpm.price &lt; 1.5, FLOOR(_xlpm.price, 0.25),
           IF(_xlpm.price &lt; 2.5, MROUND(_xlpm.price, 0.5),
               MROUND(_xlpm.price, 1))),
    MAX(0.25, _xlpm.rounder))</f>
        <v>35</v>
      </c>
      <c r="Z2" s="60">
        <f t="shared" ref="Z2:Z65" si="6">_xlfn.LET(
    _xlpm.price, IF(I2=0, IF(W2&gt;1,1-$AC$2,1)*(D2/100), MIN(IF(W2&gt;1,1-$AC$2,1)*(D2/100), IF(W2&gt;1,1-$AC$2,1)*(I2/100))),
    _xlpm.rounder, IF(_xlpm.price &lt; 1.5, FLOOR(_xlpm.price, 0.25),
           IF(_xlpm.price &lt; 2.5, MROUND(_xlpm.price, 0.5),
               MROUND(_xlpm.price, 1))),
    MAX(0.25, _xlpm.rounder))</f>
        <v>21</v>
      </c>
      <c r="AB2" s="13" t="s">
        <v>1548</v>
      </c>
      <c r="AC2" s="59">
        <v>0.15</v>
      </c>
      <c r="AH2"/>
      <c r="AL2" s="13" t="s">
        <v>1803</v>
      </c>
      <c r="AM2" s="13" t="s">
        <v>1550</v>
      </c>
    </row>
    <row r="3" spans="1:39" ht="14.4" x14ac:dyDescent="0.3">
      <c r="A3" s="13">
        <v>11484449</v>
      </c>
      <c r="B3" s="13" t="s">
        <v>185</v>
      </c>
      <c r="C3" s="13" t="s">
        <v>186</v>
      </c>
      <c r="D3" s="13">
        <v>2104</v>
      </c>
      <c r="E3" s="13" t="s">
        <v>171</v>
      </c>
      <c r="F3" s="13" t="s">
        <v>172</v>
      </c>
      <c r="H3" s="13" t="s">
        <v>1541</v>
      </c>
      <c r="I3" s="13">
        <v>1770</v>
      </c>
      <c r="J3" s="13">
        <v>1</v>
      </c>
      <c r="K3" s="14">
        <v>46183</v>
      </c>
      <c r="L3" s="14">
        <v>46182</v>
      </c>
      <c r="N3" s="13">
        <v>14</v>
      </c>
      <c r="P3" s="58" t="str">
        <f t="shared" si="0"/>
        <v>Cooper Flagg</v>
      </c>
      <c r="Q3" s="58" t="str">
        <f>IFERROR(_xlfn.TEXTAFTER(_xlfn.XLOOKUP(A3,Collection!A:A,Collection!C:C,),"Cards "),C3)</f>
        <v>2025 Topps Chrome</v>
      </c>
      <c r="R3" s="58" t="str">
        <f t="shared" si="1"/>
        <v>-</v>
      </c>
      <c r="S3" s="58" t="str">
        <f>IFERROR(_xlfn.TEXTAFTER(_xlfn.XLOOKUP(A3,Collection!A:A,Collection!B:B,),"#"),"")</f>
        <v>251</v>
      </c>
      <c r="T3" s="60">
        <f t="shared" si="2"/>
        <v>21.04</v>
      </c>
      <c r="U3" s="54" t="s">
        <v>1567</v>
      </c>
      <c r="V3" s="58" t="str">
        <f>IF(ISNUMBER(MATCH(N3,Catalog!$B$4:$B$16, 0)), "Keep", "For Sale")</f>
        <v>For Sale</v>
      </c>
      <c r="W3" s="58">
        <f t="shared" si="3"/>
        <v>1</v>
      </c>
      <c r="X3" s="58">
        <f t="shared" si="4"/>
        <v>1</v>
      </c>
      <c r="Y3" s="60">
        <f t="shared" si="5"/>
        <v>25</v>
      </c>
      <c r="Z3" s="60">
        <f t="shared" si="6"/>
        <v>18</v>
      </c>
      <c r="AB3" s="13" t="s">
        <v>1552</v>
      </c>
      <c r="AC3" s="59">
        <v>0.2</v>
      </c>
      <c r="AE3" s="56" t="s">
        <v>1553</v>
      </c>
      <c r="AF3" s="56" t="s">
        <v>1819</v>
      </c>
      <c r="AG3" t="s">
        <v>1705</v>
      </c>
      <c r="AH3"/>
      <c r="AI3" s="56" t="s">
        <v>1148</v>
      </c>
      <c r="AJ3" t="s">
        <v>1727</v>
      </c>
      <c r="AK3"/>
      <c r="AL3" s="13" t="s">
        <v>1799</v>
      </c>
      <c r="AM3" s="13" t="s">
        <v>1709</v>
      </c>
    </row>
    <row r="4" spans="1:39" ht="14.4" x14ac:dyDescent="0.3">
      <c r="A4" s="13">
        <v>11498132</v>
      </c>
      <c r="B4" s="13" t="s">
        <v>1320</v>
      </c>
      <c r="C4" s="13" t="s">
        <v>1321</v>
      </c>
      <c r="D4" s="13">
        <v>1311</v>
      </c>
      <c r="E4" s="13" t="s">
        <v>171</v>
      </c>
      <c r="F4" s="13" t="s">
        <v>172</v>
      </c>
      <c r="H4" s="13" t="s">
        <v>1322</v>
      </c>
      <c r="I4" s="13">
        <v>100</v>
      </c>
      <c r="J4" s="13">
        <v>1</v>
      </c>
      <c r="K4" s="14">
        <v>46174</v>
      </c>
      <c r="L4" s="14">
        <v>46173</v>
      </c>
      <c r="N4" s="13">
        <v>26</v>
      </c>
      <c r="P4" s="58" t="str">
        <f t="shared" si="0"/>
        <v>Cooper Flagg</v>
      </c>
      <c r="Q4" s="58" t="str">
        <f>IFERROR(_xlfn.TEXTAFTER(_xlfn.XLOOKUP(A4,Collection!A:A,Collection!C:C,),"Cards "),C4)</f>
        <v>2025 Topps Chrome Serenity</v>
      </c>
      <c r="R4" s="58" t="str">
        <f t="shared" si="1"/>
        <v>-</v>
      </c>
      <c r="S4" s="58" t="str">
        <f>IFERROR(_xlfn.TEXTAFTER(_xlfn.XLOOKUP(A4,Collection!A:A,Collection!B:B,),"#"),"")</f>
        <v>SY-11</v>
      </c>
      <c r="T4" s="60">
        <f t="shared" si="2"/>
        <v>13.11</v>
      </c>
      <c r="U4" s="54" t="s">
        <v>1567</v>
      </c>
      <c r="V4" s="58" t="str">
        <f>IF(ISNUMBER(MATCH(N4,Catalog!$B$4:$B$16, 0)), "Keep", "For Sale")</f>
        <v>For Sale</v>
      </c>
      <c r="W4" s="58">
        <f t="shared" si="3"/>
        <v>1</v>
      </c>
      <c r="X4" s="58">
        <f t="shared" si="4"/>
        <v>1</v>
      </c>
      <c r="Y4" s="60">
        <f t="shared" si="5"/>
        <v>16</v>
      </c>
      <c r="Z4" s="60">
        <f t="shared" si="6"/>
        <v>1</v>
      </c>
      <c r="AE4" t="s">
        <v>1550</v>
      </c>
      <c r="AF4"/>
      <c r="AG4" s="61">
        <v>11091.333333333334</v>
      </c>
      <c r="AH4"/>
      <c r="AI4" s="8" t="s">
        <v>1550</v>
      </c>
      <c r="AJ4" s="73">
        <v>73</v>
      </c>
      <c r="AK4"/>
      <c r="AL4" s="13" t="s">
        <v>1805</v>
      </c>
      <c r="AM4" s="13" t="s">
        <v>1637</v>
      </c>
    </row>
    <row r="5" spans="1:39" ht="14.4" x14ac:dyDescent="0.3">
      <c r="A5" s="13">
        <v>10819468</v>
      </c>
      <c r="B5" s="13" t="s">
        <v>619</v>
      </c>
      <c r="C5" s="13" t="s">
        <v>307</v>
      </c>
      <c r="D5" s="13">
        <v>488</v>
      </c>
      <c r="E5" s="13" t="s">
        <v>171</v>
      </c>
      <c r="F5" s="13" t="s">
        <v>172</v>
      </c>
      <c r="H5" s="13" t="s">
        <v>620</v>
      </c>
      <c r="I5" s="13">
        <v>501</v>
      </c>
      <c r="J5" s="13">
        <v>1</v>
      </c>
      <c r="K5" s="14">
        <v>46154</v>
      </c>
      <c r="L5" s="14">
        <v>46152</v>
      </c>
      <c r="N5" s="13">
        <v>129</v>
      </c>
      <c r="P5" s="58" t="str">
        <f t="shared" si="0"/>
        <v>Cooper Flagg</v>
      </c>
      <c r="Q5" s="58" t="str">
        <f>IFERROR(_xlfn.TEXTAFTER(_xlfn.XLOOKUP(A5,Collection!A:A,Collection!C:C,),"Cards "),C5)</f>
        <v>2025 Topps</v>
      </c>
      <c r="R5" s="58" t="str">
        <f t="shared" si="1"/>
        <v>-</v>
      </c>
      <c r="S5" s="58" t="str">
        <f>IFERROR(_xlfn.TEXTAFTER(_xlfn.XLOOKUP(A5,Collection!A:A,Collection!B:B,),"#"),"")</f>
        <v>201</v>
      </c>
      <c r="T5" s="60">
        <f t="shared" si="2"/>
        <v>4.88</v>
      </c>
      <c r="U5" s="54" t="s">
        <v>1567</v>
      </c>
      <c r="V5" s="58" t="str">
        <f>IF(ISNUMBER(MATCH(N5,Catalog!$B$4:$B$16, 0)), "Keep", "For Sale")</f>
        <v>For Sale</v>
      </c>
      <c r="W5" s="58">
        <f t="shared" si="3"/>
        <v>1</v>
      </c>
      <c r="X5" s="58">
        <f t="shared" si="4"/>
        <v>1</v>
      </c>
      <c r="Y5" s="60">
        <f t="shared" si="5"/>
        <v>6</v>
      </c>
      <c r="Z5" s="60">
        <f t="shared" si="6"/>
        <v>5</v>
      </c>
      <c r="AE5" t="s">
        <v>1561</v>
      </c>
      <c r="AF5"/>
      <c r="AG5" s="61">
        <v>10340</v>
      </c>
      <c r="AH5"/>
      <c r="AI5" s="64" t="s">
        <v>1561</v>
      </c>
      <c r="AJ5" s="73">
        <v>35</v>
      </c>
      <c r="AK5"/>
      <c r="AL5" s="13" t="s">
        <v>1574</v>
      </c>
      <c r="AM5" s="13" t="s">
        <v>1589</v>
      </c>
    </row>
    <row r="6" spans="1:39" ht="14.4" x14ac:dyDescent="0.3">
      <c r="A6" s="13">
        <v>12613839</v>
      </c>
      <c r="B6" s="13" t="s">
        <v>559</v>
      </c>
      <c r="C6" s="13" t="s">
        <v>560</v>
      </c>
      <c r="D6" s="13">
        <v>371</v>
      </c>
      <c r="E6" s="13" t="s">
        <v>171</v>
      </c>
      <c r="F6" s="13" t="s">
        <v>172</v>
      </c>
      <c r="H6" s="13" t="s">
        <v>886</v>
      </c>
      <c r="I6" s="13">
        <v>722</v>
      </c>
      <c r="J6" s="13">
        <v>1</v>
      </c>
      <c r="K6" s="14">
        <v>46161</v>
      </c>
      <c r="L6" s="14">
        <v>46161</v>
      </c>
      <c r="N6" s="13">
        <v>149</v>
      </c>
      <c r="P6" s="58" t="str">
        <f t="shared" si="0"/>
        <v>Cooper Flagg</v>
      </c>
      <c r="Q6" s="58" t="str">
        <f>IFERROR(_xlfn.TEXTAFTER(_xlfn.XLOOKUP(A6,Collection!A:A,Collection!C:C,),"Cards "),C6)</f>
        <v>2025 Bowman</v>
      </c>
      <c r="R6" s="58" t="str">
        <f t="shared" si="1"/>
        <v>-</v>
      </c>
      <c r="S6" s="58" t="str">
        <f>IFERROR(_xlfn.TEXTAFTER(_xlfn.XLOOKUP(A6,Collection!A:A,Collection!B:B,),"#"),"")</f>
        <v>1</v>
      </c>
      <c r="T6" s="60">
        <f t="shared" si="2"/>
        <v>3.71</v>
      </c>
      <c r="U6" s="54" t="s">
        <v>1567</v>
      </c>
      <c r="V6" s="58" t="str">
        <f>IF(ISNUMBER(MATCH(N6,Catalog!$B$4:$B$16, 0)), "Keep", "For Sale")</f>
        <v>For Sale</v>
      </c>
      <c r="W6" s="58">
        <f t="shared" si="3"/>
        <v>1</v>
      </c>
      <c r="X6" s="58">
        <f t="shared" si="4"/>
        <v>1</v>
      </c>
      <c r="Y6" s="60">
        <f t="shared" si="5"/>
        <v>9</v>
      </c>
      <c r="Z6" s="60">
        <f t="shared" si="6"/>
        <v>4</v>
      </c>
      <c r="AE6" t="s">
        <v>1576</v>
      </c>
      <c r="AF6"/>
      <c r="AG6" s="61">
        <v>4574</v>
      </c>
      <c r="AH6"/>
      <c r="AI6" s="64" t="s">
        <v>1568</v>
      </c>
      <c r="AJ6" s="73">
        <v>33</v>
      </c>
      <c r="AK6"/>
    </row>
    <row r="7" spans="1:39" ht="14.4" x14ac:dyDescent="0.3">
      <c r="A7" s="13">
        <v>12530822</v>
      </c>
      <c r="B7" s="13" t="s">
        <v>1258</v>
      </c>
      <c r="C7" s="13" t="s">
        <v>953</v>
      </c>
      <c r="D7" s="13">
        <v>1231</v>
      </c>
      <c r="E7" s="13" t="s">
        <v>171</v>
      </c>
      <c r="F7" s="13" t="s">
        <v>172</v>
      </c>
      <c r="I7" s="13">
        <v>0</v>
      </c>
      <c r="J7" s="13">
        <v>1</v>
      </c>
      <c r="K7" s="14">
        <v>46172</v>
      </c>
      <c r="N7" s="13">
        <v>526</v>
      </c>
      <c r="P7" s="58" t="str">
        <f t="shared" si="0"/>
        <v>Deommodore Lenoir</v>
      </c>
      <c r="Q7" s="58" t="str">
        <f>IFERROR(_xlfn.TEXTAFTER(_xlfn.XLOOKUP(A7,Collection!A:A,Collection!C:C,),"Cards "),C7)</f>
        <v>2025 Topps Chrome</v>
      </c>
      <c r="R7" s="58" t="str">
        <f t="shared" si="1"/>
        <v>-</v>
      </c>
      <c r="S7" s="58" t="str">
        <f>IFERROR(_xlfn.TEXTAFTER(_xlfn.XLOOKUP(A7,Collection!A:A,Collection!B:B,),"#"),"")</f>
        <v>269</v>
      </c>
      <c r="T7" s="60">
        <f t="shared" si="2"/>
        <v>12.31</v>
      </c>
      <c r="U7" s="54" t="s">
        <v>1669</v>
      </c>
      <c r="V7" s="58" t="str">
        <f>IF(ISNUMBER(MATCH(N7,Catalog!$B$4:$B$16, 0)), "Keep", "For Sale")</f>
        <v>For Sale</v>
      </c>
      <c r="W7" s="58">
        <f t="shared" si="3"/>
        <v>1</v>
      </c>
      <c r="X7" s="58">
        <f t="shared" si="4"/>
        <v>1</v>
      </c>
      <c r="Y7" s="60">
        <f t="shared" si="5"/>
        <v>15</v>
      </c>
      <c r="Z7" s="60">
        <f t="shared" si="6"/>
        <v>12</v>
      </c>
      <c r="AE7" t="s">
        <v>1571</v>
      </c>
      <c r="AF7"/>
      <c r="AG7" s="61">
        <v>2032.6666666666667</v>
      </c>
      <c r="AH7"/>
      <c r="AI7" s="8" t="s">
        <v>1580</v>
      </c>
      <c r="AJ7" s="73">
        <v>28</v>
      </c>
      <c r="AK7"/>
    </row>
    <row r="8" spans="1:39" ht="14.4" x14ac:dyDescent="0.3">
      <c r="A8" s="13">
        <v>87362</v>
      </c>
      <c r="B8" s="13" t="s">
        <v>236</v>
      </c>
      <c r="C8" s="13" t="s">
        <v>237</v>
      </c>
      <c r="D8" s="13">
        <v>5550</v>
      </c>
      <c r="E8" s="13" t="s">
        <v>171</v>
      </c>
      <c r="F8" s="13" t="s">
        <v>172</v>
      </c>
      <c r="I8" s="13">
        <v>0</v>
      </c>
      <c r="J8" s="13">
        <v>1</v>
      </c>
      <c r="K8" s="14">
        <v>46127</v>
      </c>
      <c r="N8" s="13">
        <v>2</v>
      </c>
      <c r="P8" s="58" t="str">
        <f t="shared" si="0"/>
        <v>Kobe Bryant</v>
      </c>
      <c r="Q8" s="58" t="str">
        <f>IFERROR(_xlfn.TEXTAFTER(_xlfn.XLOOKUP(A8,Collection!A:A,Collection!C:C,),"Cards "),C8)</f>
        <v>1996 Upper Deck Rookie Exclusives</v>
      </c>
      <c r="R8" s="58" t="str">
        <f t="shared" si="1"/>
        <v>-</v>
      </c>
      <c r="S8" s="58" t="str">
        <f>IFERROR(_xlfn.TEXTAFTER(_xlfn.XLOOKUP(A8,Collection!A:A,Collection!B:B,),"#"),"")</f>
        <v>R10</v>
      </c>
      <c r="T8" s="60">
        <f t="shared" si="2"/>
        <v>55.5</v>
      </c>
      <c r="U8" s="54" t="s">
        <v>1576</v>
      </c>
      <c r="V8" s="58" t="str">
        <f>IF(ISNUMBER(MATCH(N8,Catalog!$B$4:$B$16, 0)), "Keep", "For Sale")</f>
        <v>Keep</v>
      </c>
      <c r="W8" s="58">
        <f t="shared" si="3"/>
        <v>0</v>
      </c>
      <c r="X8" s="58">
        <f t="shared" si="4"/>
        <v>1</v>
      </c>
      <c r="Y8" s="60">
        <f t="shared" si="5"/>
        <v>67</v>
      </c>
      <c r="Z8" s="60">
        <f t="shared" si="6"/>
        <v>56</v>
      </c>
      <c r="AE8" t="s">
        <v>1605</v>
      </c>
      <c r="AF8"/>
      <c r="AG8" s="61">
        <v>1649</v>
      </c>
      <c r="AH8"/>
      <c r="AI8" s="64" t="s">
        <v>1565</v>
      </c>
      <c r="AJ8" s="73">
        <v>23</v>
      </c>
      <c r="AK8"/>
    </row>
    <row r="9" spans="1:39" ht="14.4" x14ac:dyDescent="0.3">
      <c r="A9" s="13">
        <v>87296</v>
      </c>
      <c r="B9" s="13" t="s">
        <v>197</v>
      </c>
      <c r="C9" s="13" t="s">
        <v>198</v>
      </c>
      <c r="D9" s="13">
        <v>4475</v>
      </c>
      <c r="E9" s="13" t="s">
        <v>171</v>
      </c>
      <c r="F9" s="13" t="s">
        <v>172</v>
      </c>
      <c r="I9" s="13">
        <v>0</v>
      </c>
      <c r="J9" s="13">
        <v>1</v>
      </c>
      <c r="K9" s="14">
        <v>46127</v>
      </c>
      <c r="N9" s="13">
        <v>4</v>
      </c>
      <c r="P9" s="58" t="str">
        <f t="shared" si="0"/>
        <v>Kobe Bryant</v>
      </c>
      <c r="Q9" s="58" t="str">
        <f>IFERROR(_xlfn.TEXTAFTER(_xlfn.XLOOKUP(A9,Collection!A:A,Collection!C:C,),"Cards "),C9)</f>
        <v>1996 Ultra</v>
      </c>
      <c r="R9" s="58" t="str">
        <f t="shared" si="1"/>
        <v>-</v>
      </c>
      <c r="S9" s="58" t="str">
        <f>IFERROR(_xlfn.TEXTAFTER(_xlfn.XLOOKUP(A9,Collection!A:A,Collection!B:B,),"#"),"")</f>
        <v>52</v>
      </c>
      <c r="T9" s="60">
        <f t="shared" si="2"/>
        <v>44.75</v>
      </c>
      <c r="U9" s="54" t="s">
        <v>1576</v>
      </c>
      <c r="V9" s="58" t="str">
        <f>IF(ISNUMBER(MATCH(N9,Catalog!$B$4:$B$16, 0)), "Keep", "For Sale")</f>
        <v>For Sale</v>
      </c>
      <c r="W9" s="58">
        <f t="shared" si="3"/>
        <v>1</v>
      </c>
      <c r="X9" s="58">
        <f t="shared" si="4"/>
        <v>1</v>
      </c>
      <c r="Y9" s="60">
        <f t="shared" si="5"/>
        <v>54</v>
      </c>
      <c r="Z9" s="60">
        <f t="shared" si="6"/>
        <v>45</v>
      </c>
      <c r="AE9" t="s">
        <v>1567</v>
      </c>
      <c r="AF9"/>
      <c r="AG9" s="61">
        <v>1501.75</v>
      </c>
      <c r="AH9"/>
      <c r="AI9" s="64" t="s">
        <v>1559</v>
      </c>
      <c r="AJ9" s="73">
        <v>19</v>
      </c>
      <c r="AK9"/>
    </row>
    <row r="10" spans="1:39" ht="14.4" x14ac:dyDescent="0.3">
      <c r="A10" s="13">
        <v>85652</v>
      </c>
      <c r="B10" s="13" t="s">
        <v>217</v>
      </c>
      <c r="C10" s="13" t="s">
        <v>195</v>
      </c>
      <c r="D10" s="13">
        <v>3697</v>
      </c>
      <c r="E10" s="13" t="s">
        <v>171</v>
      </c>
      <c r="F10" s="13" t="s">
        <v>172</v>
      </c>
      <c r="I10" s="13">
        <v>0</v>
      </c>
      <c r="J10" s="13">
        <v>1</v>
      </c>
      <c r="K10" s="14">
        <v>46127</v>
      </c>
      <c r="N10" s="13">
        <v>5</v>
      </c>
      <c r="P10" s="58" t="str">
        <f t="shared" si="0"/>
        <v>Kobe Bryant</v>
      </c>
      <c r="Q10" s="58" t="str">
        <f>IFERROR(_xlfn.TEXTAFTER(_xlfn.XLOOKUP(A10,Collection!A:A,Collection!C:C,),"Cards "),C10)</f>
        <v>1996 Skybox Premium</v>
      </c>
      <c r="R10" s="58" t="str">
        <f t="shared" si="1"/>
        <v>-</v>
      </c>
      <c r="S10" s="58" t="str">
        <f>IFERROR(_xlfn.TEXTAFTER(_xlfn.XLOOKUP(A10,Collection!A:A,Collection!B:B,),"#"),"")</f>
        <v>55</v>
      </c>
      <c r="T10" s="60">
        <f t="shared" si="2"/>
        <v>36.97</v>
      </c>
      <c r="U10" s="54" t="s">
        <v>1576</v>
      </c>
      <c r="V10" s="58" t="str">
        <f>IF(ISNUMBER(MATCH(N10,Catalog!$B$4:$B$16, 0)), "Keep", "For Sale")</f>
        <v>For Sale</v>
      </c>
      <c r="W10" s="58">
        <f t="shared" si="3"/>
        <v>1</v>
      </c>
      <c r="X10" s="58">
        <f t="shared" si="4"/>
        <v>1</v>
      </c>
      <c r="Y10" s="60">
        <f t="shared" si="5"/>
        <v>44</v>
      </c>
      <c r="Z10" s="60">
        <f t="shared" si="6"/>
        <v>37</v>
      </c>
      <c r="AE10" t="s">
        <v>1669</v>
      </c>
      <c r="AF10"/>
      <c r="AG10" s="61">
        <v>1231</v>
      </c>
      <c r="AH10"/>
      <c r="AI10" s="64" t="s">
        <v>1589</v>
      </c>
      <c r="AJ10" s="73">
        <v>15</v>
      </c>
      <c r="AK10"/>
    </row>
    <row r="11" spans="1:39" ht="14.4" x14ac:dyDescent="0.3">
      <c r="A11" s="13">
        <v>3225482</v>
      </c>
      <c r="B11" s="13" t="s">
        <v>1794</v>
      </c>
      <c r="C11" s="13" t="s">
        <v>1795</v>
      </c>
      <c r="D11" s="13">
        <v>299</v>
      </c>
      <c r="E11" s="13" t="s">
        <v>171</v>
      </c>
      <c r="F11" s="13" t="s">
        <v>172</v>
      </c>
      <c r="I11" s="13">
        <v>0</v>
      </c>
      <c r="J11" s="13">
        <v>1</v>
      </c>
      <c r="K11" s="14">
        <v>46186</v>
      </c>
      <c r="N11" s="13">
        <v>192</v>
      </c>
      <c r="P11" s="58" t="str">
        <f t="shared" si="0"/>
        <v>Kobe Bryant</v>
      </c>
      <c r="Q11" s="58" t="str">
        <f>IFERROR(_xlfn.TEXTAFTER(_xlfn.XLOOKUP(A11,Collection!A:A,Collection!C:C,),"Cards "),C11)</f>
        <v>1997 Fleer Million Dollar Moments</v>
      </c>
      <c r="R11" s="58" t="str">
        <f t="shared" si="1"/>
        <v>-</v>
      </c>
      <c r="S11" s="58" t="str">
        <f>IFERROR(_xlfn.TEXTAFTER(_xlfn.XLOOKUP(A11,Collection!A:A,Collection!B:B,),"#"),"")</f>
        <v>31</v>
      </c>
      <c r="T11" s="60">
        <f t="shared" si="2"/>
        <v>2.99</v>
      </c>
      <c r="U11" s="54" t="s">
        <v>1576</v>
      </c>
      <c r="V11" s="58" t="str">
        <f>IF(ISNUMBER(MATCH(N11,Catalog!$B$4:$B$16, 0)), "Keep", "For Sale")</f>
        <v>For Sale</v>
      </c>
      <c r="W11" s="58">
        <f t="shared" si="3"/>
        <v>1</v>
      </c>
      <c r="X11" s="58">
        <f t="shared" si="4"/>
        <v>1</v>
      </c>
      <c r="Y11" s="60">
        <f t="shared" si="5"/>
        <v>4</v>
      </c>
      <c r="Z11" s="60">
        <f t="shared" si="6"/>
        <v>3</v>
      </c>
      <c r="AE11" t="s">
        <v>1595</v>
      </c>
      <c r="AF11"/>
      <c r="AG11" s="61">
        <v>1106</v>
      </c>
      <c r="AH11"/>
      <c r="AI11" s="64" t="s">
        <v>1571</v>
      </c>
      <c r="AJ11" s="73">
        <v>12</v>
      </c>
      <c r="AK11"/>
    </row>
    <row r="12" spans="1:39" ht="14.4" x14ac:dyDescent="0.3">
      <c r="A12" s="13">
        <v>114784</v>
      </c>
      <c r="B12" s="13" t="s">
        <v>947</v>
      </c>
      <c r="C12" s="13" t="s">
        <v>948</v>
      </c>
      <c r="D12" s="13">
        <v>19425</v>
      </c>
      <c r="E12" s="13" t="s">
        <v>738</v>
      </c>
      <c r="F12" s="13" t="s">
        <v>172</v>
      </c>
      <c r="H12" s="13" t="s">
        <v>949</v>
      </c>
      <c r="I12" s="13">
        <v>21609</v>
      </c>
      <c r="J12" s="13">
        <v>1</v>
      </c>
      <c r="K12" s="14">
        <v>46162</v>
      </c>
      <c r="L12" s="14">
        <v>46161</v>
      </c>
      <c r="M12" s="13" t="s">
        <v>446</v>
      </c>
      <c r="N12" s="13">
        <v>44578691</v>
      </c>
      <c r="P12" s="58" t="str">
        <f t="shared" si="0"/>
        <v>Luka Doncic</v>
      </c>
      <c r="Q12" s="58" t="str">
        <f>IFERROR(_xlfn.TEXTAFTER(_xlfn.XLOOKUP(A12,Collection!A:A,Collection!C:C,),"Cards "),C12)</f>
        <v>2018 Panini Prizm</v>
      </c>
      <c r="R12" s="58" t="str">
        <f t="shared" si="1"/>
        <v>-</v>
      </c>
      <c r="S12" s="58" t="str">
        <f>IFERROR(_xlfn.TEXTAFTER(_xlfn.XLOOKUP(A12,Collection!A:A,Collection!B:B,),"#"),"")</f>
        <v>280</v>
      </c>
      <c r="T12" s="60">
        <f t="shared" si="2"/>
        <v>194.25</v>
      </c>
      <c r="U12" s="54" t="s">
        <v>1550</v>
      </c>
      <c r="V12" s="58" t="str">
        <f>IF(ISNUMBER(MATCH(N12,Catalog!$B$4:$B$16, 0)), "Keep", "For Sale")</f>
        <v>Keep</v>
      </c>
      <c r="W12" s="58">
        <f t="shared" si="3"/>
        <v>0</v>
      </c>
      <c r="X12" s="58">
        <f t="shared" si="4"/>
        <v>1</v>
      </c>
      <c r="Y12" s="60">
        <f t="shared" si="5"/>
        <v>259</v>
      </c>
      <c r="Z12" s="60">
        <f t="shared" si="6"/>
        <v>194</v>
      </c>
      <c r="AE12" t="s">
        <v>1615</v>
      </c>
      <c r="AF12"/>
      <c r="AG12" s="61">
        <v>977</v>
      </c>
      <c r="AH12"/>
      <c r="AI12" s="64" t="s">
        <v>1554</v>
      </c>
      <c r="AJ12" s="73">
        <v>11</v>
      </c>
      <c r="AK12"/>
    </row>
    <row r="13" spans="1:39" ht="14.4" x14ac:dyDescent="0.3">
      <c r="A13" s="13">
        <v>116892</v>
      </c>
      <c r="B13" s="13" t="s">
        <v>1763</v>
      </c>
      <c r="C13" s="13" t="s">
        <v>1764</v>
      </c>
      <c r="D13" s="13">
        <v>12000</v>
      </c>
      <c r="E13" s="13" t="s">
        <v>738</v>
      </c>
      <c r="F13" s="13" t="s">
        <v>172</v>
      </c>
      <c r="H13" s="13" t="s">
        <v>1765</v>
      </c>
      <c r="I13" s="13">
        <v>10005</v>
      </c>
      <c r="J13" s="13">
        <v>1</v>
      </c>
      <c r="K13" s="14">
        <v>46192</v>
      </c>
      <c r="L13" s="14">
        <v>46186</v>
      </c>
      <c r="M13" s="13" t="s">
        <v>446</v>
      </c>
      <c r="N13" s="13">
        <v>78077713</v>
      </c>
      <c r="P13" s="58" t="str">
        <f t="shared" si="0"/>
        <v>Luka Doncic</v>
      </c>
      <c r="Q13" s="58" t="str">
        <f>IFERROR(_xlfn.TEXTAFTER(_xlfn.XLOOKUP(A13,Collection!A:A,Collection!C:C,),"Cards "),C13)</f>
        <v>2018 Panini Status</v>
      </c>
      <c r="R13" s="58" t="str">
        <f t="shared" si="1"/>
        <v>-</v>
      </c>
      <c r="S13" s="58" t="str">
        <f>IFERROR(_xlfn.TEXTAFTER(_xlfn.XLOOKUP(A13,Collection!A:A,Collection!B:B,),"#"),"")</f>
        <v>122</v>
      </c>
      <c r="T13" s="60">
        <f t="shared" si="2"/>
        <v>120</v>
      </c>
      <c r="U13" s="54" t="s">
        <v>1550</v>
      </c>
      <c r="V13" s="58" t="str">
        <f>IF(ISNUMBER(MATCH(N13,Catalog!$B$4:$B$16, 0)), "Keep", "For Sale")</f>
        <v>For Sale</v>
      </c>
      <c r="W13" s="58">
        <f t="shared" si="3"/>
        <v>1</v>
      </c>
      <c r="X13" s="58">
        <f t="shared" si="4"/>
        <v>1</v>
      </c>
      <c r="Y13" s="60">
        <f t="shared" si="5"/>
        <v>144</v>
      </c>
      <c r="Z13" s="60">
        <f t="shared" si="6"/>
        <v>100</v>
      </c>
      <c r="AE13" t="s">
        <v>1589</v>
      </c>
      <c r="AF13"/>
      <c r="AG13" s="61">
        <v>885</v>
      </c>
      <c r="AH13"/>
      <c r="AI13" s="64" t="s">
        <v>1588</v>
      </c>
      <c r="AJ13" s="73">
        <v>11</v>
      </c>
      <c r="AK13"/>
    </row>
    <row r="14" spans="1:39" ht="14.4" x14ac:dyDescent="0.3">
      <c r="A14" s="13">
        <v>158107</v>
      </c>
      <c r="B14" s="13" t="s">
        <v>646</v>
      </c>
      <c r="C14" s="13" t="s">
        <v>1768</v>
      </c>
      <c r="D14" s="13">
        <v>1849</v>
      </c>
      <c r="E14" s="13" t="s">
        <v>171</v>
      </c>
      <c r="F14" s="13" t="s">
        <v>172</v>
      </c>
      <c r="H14" s="13" t="s">
        <v>1769</v>
      </c>
      <c r="I14" s="13">
        <v>734</v>
      </c>
      <c r="J14" s="13">
        <v>1</v>
      </c>
      <c r="K14" s="14">
        <v>46189</v>
      </c>
      <c r="L14" s="14">
        <v>46186</v>
      </c>
      <c r="N14" s="13">
        <v>16</v>
      </c>
      <c r="P14" s="58" t="str">
        <f t="shared" si="0"/>
        <v>Luka Doncic</v>
      </c>
      <c r="Q14" s="58" t="str">
        <f>IFERROR(_xlfn.TEXTAFTER(_xlfn.XLOOKUP(A14,Collection!A:A,Collection!C:C,),"Cards "),C14)</f>
        <v>2018 Panini Hoops Class of 2018</v>
      </c>
      <c r="R14" s="58" t="str">
        <f t="shared" si="1"/>
        <v>-</v>
      </c>
      <c r="S14" s="58" t="str">
        <f>IFERROR(_xlfn.TEXTAFTER(_xlfn.XLOOKUP(A14,Collection!A:A,Collection!B:B,),"#"),"")</f>
        <v>3</v>
      </c>
      <c r="T14" s="60">
        <f t="shared" si="2"/>
        <v>18.489999999999998</v>
      </c>
      <c r="U14" s="54" t="s">
        <v>1550</v>
      </c>
      <c r="V14" s="58" t="str">
        <f>IF(ISNUMBER(MATCH(N14,Catalog!$B$4:$B$16, 0)), "Keep", "For Sale")</f>
        <v>For Sale</v>
      </c>
      <c r="W14" s="58">
        <f t="shared" si="3"/>
        <v>1</v>
      </c>
      <c r="X14" s="58">
        <f t="shared" si="4"/>
        <v>1</v>
      </c>
      <c r="Y14" s="60">
        <f t="shared" si="5"/>
        <v>22</v>
      </c>
      <c r="Z14" s="60">
        <f t="shared" si="6"/>
        <v>7</v>
      </c>
      <c r="AE14" t="s">
        <v>1668</v>
      </c>
      <c r="AF14"/>
      <c r="AG14" s="61">
        <v>865.5</v>
      </c>
      <c r="AH14"/>
      <c r="AI14" s="64" t="s">
        <v>1615</v>
      </c>
      <c r="AJ14" s="73">
        <v>10</v>
      </c>
      <c r="AK14"/>
    </row>
    <row r="15" spans="1:39" ht="14.4" x14ac:dyDescent="0.3">
      <c r="A15" s="13">
        <v>9267400</v>
      </c>
      <c r="B15" s="13" t="s">
        <v>1530</v>
      </c>
      <c r="C15" s="13" t="s">
        <v>1531</v>
      </c>
      <c r="D15" s="13">
        <v>1400</v>
      </c>
      <c r="E15" s="13" t="s">
        <v>171</v>
      </c>
      <c r="F15" s="13" t="s">
        <v>172</v>
      </c>
      <c r="H15" s="13" t="s">
        <v>1532</v>
      </c>
      <c r="I15" s="13">
        <v>1329</v>
      </c>
      <c r="J15" s="13">
        <v>1</v>
      </c>
      <c r="K15" s="14">
        <v>46183</v>
      </c>
      <c r="L15" s="14">
        <v>46182</v>
      </c>
      <c r="N15" s="13">
        <v>23</v>
      </c>
      <c r="P15" s="58" t="str">
        <f t="shared" si="0"/>
        <v>Luka Doncic</v>
      </c>
      <c r="Q15" s="58" t="str">
        <f>IFERROR(_xlfn.TEXTAFTER(_xlfn.XLOOKUP(A15,Collection!A:A,Collection!C:C,),"Cards "),C15)</f>
        <v>2024 Panini Revolution Star Gazing</v>
      </c>
      <c r="R15" s="58" t="str">
        <f t="shared" si="1"/>
        <v>Blue Astro</v>
      </c>
      <c r="S15" s="58" t="str">
        <f>IFERROR(_xlfn.TEXTAFTER(_xlfn.XLOOKUP(A15,Collection!A:A,Collection!B:B,),"#"),"")</f>
        <v>9</v>
      </c>
      <c r="T15" s="60">
        <f t="shared" si="2"/>
        <v>14</v>
      </c>
      <c r="U15" s="54" t="s">
        <v>1550</v>
      </c>
      <c r="V15" s="58" t="str">
        <f>IF(ISNUMBER(MATCH(N15,Catalog!$B$4:$B$16, 0)), "Keep", "For Sale")</f>
        <v>For Sale</v>
      </c>
      <c r="W15" s="58">
        <f t="shared" si="3"/>
        <v>1</v>
      </c>
      <c r="X15" s="58">
        <f t="shared" si="4"/>
        <v>1</v>
      </c>
      <c r="Y15" s="60">
        <f t="shared" si="5"/>
        <v>17</v>
      </c>
      <c r="Z15" s="60">
        <f t="shared" si="6"/>
        <v>13</v>
      </c>
      <c r="AE15" t="s">
        <v>1626</v>
      </c>
      <c r="AF15"/>
      <c r="AG15" s="61">
        <v>865</v>
      </c>
      <c r="AH15"/>
      <c r="AI15" s="64" t="s">
        <v>1556</v>
      </c>
      <c r="AJ15" s="73">
        <v>10</v>
      </c>
      <c r="AK15"/>
    </row>
    <row r="16" spans="1:39" ht="14.4" x14ac:dyDescent="0.3">
      <c r="A16" s="13">
        <v>3607580</v>
      </c>
      <c r="B16" s="13" t="s">
        <v>1072</v>
      </c>
      <c r="C16" s="13" t="s">
        <v>1073</v>
      </c>
      <c r="D16" s="13">
        <v>1151</v>
      </c>
      <c r="E16" s="13" t="s">
        <v>171</v>
      </c>
      <c r="F16" s="13" t="s">
        <v>172</v>
      </c>
      <c r="H16" s="13" t="s">
        <v>1074</v>
      </c>
      <c r="I16" s="13">
        <v>1083</v>
      </c>
      <c r="J16" s="13">
        <v>1</v>
      </c>
      <c r="K16" s="14">
        <v>46171</v>
      </c>
      <c r="L16" s="14">
        <v>46170</v>
      </c>
      <c r="N16" s="13">
        <v>29</v>
      </c>
      <c r="P16" s="58" t="str">
        <f t="shared" si="0"/>
        <v>Luka Doncic</v>
      </c>
      <c r="Q16" s="58" t="str">
        <f>IFERROR(_xlfn.TEXTAFTER(_xlfn.XLOOKUP(A16,Collection!A:A,Collection!C:C,),"Cards "),C16)</f>
        <v>2020 Panini Hoops SLAM</v>
      </c>
      <c r="R16" s="58" t="str">
        <f t="shared" si="1"/>
        <v>-</v>
      </c>
      <c r="S16" s="58" t="str">
        <f>IFERROR(_xlfn.TEXTAFTER(_xlfn.XLOOKUP(A16,Collection!A:A,Collection!B:B,),"#"),"")</f>
        <v>5</v>
      </c>
      <c r="T16" s="60">
        <f t="shared" si="2"/>
        <v>11.51</v>
      </c>
      <c r="U16" s="54" t="s">
        <v>1550</v>
      </c>
      <c r="V16" s="58" t="str">
        <f>IF(ISNUMBER(MATCH(N16,Catalog!$B$4:$B$16, 0)), "Keep", "For Sale")</f>
        <v>Keep</v>
      </c>
      <c r="W16" s="58">
        <f t="shared" si="3"/>
        <v>0</v>
      </c>
      <c r="X16" s="58">
        <f t="shared" si="4"/>
        <v>1</v>
      </c>
      <c r="Y16" s="60">
        <f t="shared" si="5"/>
        <v>14</v>
      </c>
      <c r="Z16" s="60">
        <f t="shared" si="6"/>
        <v>11</v>
      </c>
      <c r="AE16" t="s">
        <v>1580</v>
      </c>
      <c r="AF16"/>
      <c r="AG16" s="61">
        <v>802</v>
      </c>
      <c r="AH16"/>
      <c r="AI16" s="64" t="s">
        <v>1557</v>
      </c>
      <c r="AJ16" s="73">
        <v>8</v>
      </c>
      <c r="AK16"/>
    </row>
    <row r="17" spans="1:37" ht="14.4" x14ac:dyDescent="0.3">
      <c r="A17" s="13">
        <v>2857292</v>
      </c>
      <c r="B17" s="13" t="s">
        <v>654</v>
      </c>
      <c r="C17" s="13" t="s">
        <v>655</v>
      </c>
      <c r="D17" s="13">
        <v>587</v>
      </c>
      <c r="E17" s="13" t="s">
        <v>171</v>
      </c>
      <c r="F17" s="13" t="s">
        <v>172</v>
      </c>
      <c r="H17" s="13" t="s">
        <v>656</v>
      </c>
      <c r="I17" s="13">
        <v>221</v>
      </c>
      <c r="J17" s="13">
        <v>1</v>
      </c>
      <c r="K17" s="14">
        <v>46154</v>
      </c>
      <c r="L17" s="14">
        <v>46150</v>
      </c>
      <c r="N17" s="13">
        <v>110</v>
      </c>
      <c r="P17" s="58" t="str">
        <f t="shared" si="0"/>
        <v>Luka Doncic</v>
      </c>
      <c r="Q17" s="58" t="str">
        <f>IFERROR(_xlfn.TEXTAFTER(_xlfn.XLOOKUP(A17,Collection!A:A,Collection!C:C,),"Cards "),C17)</f>
        <v>2019 Panini Chronicles</v>
      </c>
      <c r="R17" s="58" t="str">
        <f t="shared" si="1"/>
        <v>Teal</v>
      </c>
      <c r="S17" s="58" t="str">
        <f>IFERROR(_xlfn.TEXTAFTER(_xlfn.XLOOKUP(A17,Collection!A:A,Collection!B:B,),"#"),"")</f>
        <v>15</v>
      </c>
      <c r="T17" s="60">
        <f t="shared" si="2"/>
        <v>5.87</v>
      </c>
      <c r="U17" s="54" t="s">
        <v>1550</v>
      </c>
      <c r="V17" s="58" t="str">
        <f>IF(ISNUMBER(MATCH(N17,Catalog!$B$4:$B$16, 0)), "Keep", "For Sale")</f>
        <v>For Sale</v>
      </c>
      <c r="W17" s="58">
        <f t="shared" si="3"/>
        <v>1</v>
      </c>
      <c r="X17" s="58">
        <f t="shared" si="4"/>
        <v>1</v>
      </c>
      <c r="Y17" s="60">
        <f t="shared" si="5"/>
        <v>7</v>
      </c>
      <c r="Z17" s="60">
        <f t="shared" si="6"/>
        <v>2</v>
      </c>
      <c r="AE17" t="s">
        <v>1606</v>
      </c>
      <c r="AF17"/>
      <c r="AG17" s="61">
        <v>788.66666666666663</v>
      </c>
      <c r="AH17"/>
      <c r="AI17" s="64" t="s">
        <v>1562</v>
      </c>
      <c r="AJ17" s="73">
        <v>6</v>
      </c>
      <c r="AK17"/>
    </row>
    <row r="18" spans="1:37" ht="14.4" x14ac:dyDescent="0.3">
      <c r="A18" s="13">
        <v>4536815</v>
      </c>
      <c r="B18" s="13" t="s">
        <v>1234</v>
      </c>
      <c r="C18" s="13" t="s">
        <v>1235</v>
      </c>
      <c r="D18" s="13">
        <v>418</v>
      </c>
      <c r="E18" s="13" t="s">
        <v>171</v>
      </c>
      <c r="F18" s="13" t="s">
        <v>172</v>
      </c>
      <c r="H18" s="13" t="s">
        <v>1236</v>
      </c>
      <c r="I18" s="13">
        <v>374</v>
      </c>
      <c r="J18" s="13">
        <v>1</v>
      </c>
      <c r="K18" s="14">
        <v>46174</v>
      </c>
      <c r="L18" s="14">
        <v>46173</v>
      </c>
      <c r="N18" s="13">
        <v>132</v>
      </c>
      <c r="P18" s="58" t="str">
        <f t="shared" si="0"/>
        <v>Luka Doncic</v>
      </c>
      <c r="Q18" s="58" t="str">
        <f>IFERROR(_xlfn.TEXTAFTER(_xlfn.XLOOKUP(A18,Collection!A:A,Collection!C:C,),"Cards "),C18)</f>
        <v>2020 Panini Donruss Optic Splash</v>
      </c>
      <c r="R18" s="58" t="str">
        <f t="shared" si="1"/>
        <v>Holo</v>
      </c>
      <c r="S18" s="58" t="str">
        <f>IFERROR(_xlfn.TEXTAFTER(_xlfn.XLOOKUP(A18,Collection!A:A,Collection!B:B,),"#"),"")</f>
        <v>15</v>
      </c>
      <c r="T18" s="60">
        <f t="shared" si="2"/>
        <v>4.18</v>
      </c>
      <c r="U18" s="54" t="s">
        <v>1550</v>
      </c>
      <c r="V18" s="58" t="str">
        <f>IF(ISNUMBER(MATCH(N18,Catalog!$B$4:$B$16, 0)), "Keep", "For Sale")</f>
        <v>For Sale</v>
      </c>
      <c r="W18" s="58">
        <f t="shared" si="3"/>
        <v>1</v>
      </c>
      <c r="X18" s="58">
        <f t="shared" si="4"/>
        <v>1</v>
      </c>
      <c r="Y18" s="60">
        <f t="shared" si="5"/>
        <v>5</v>
      </c>
      <c r="Z18" s="60">
        <f t="shared" si="6"/>
        <v>4</v>
      </c>
      <c r="AE18" t="s">
        <v>1601</v>
      </c>
      <c r="AF18"/>
      <c r="AG18" s="61">
        <v>680.75</v>
      </c>
      <c r="AH18"/>
      <c r="AI18" s="64" t="s">
        <v>1647</v>
      </c>
      <c r="AJ18" s="73">
        <v>6</v>
      </c>
      <c r="AK18"/>
    </row>
    <row r="19" spans="1:37" ht="14.4" x14ac:dyDescent="0.3">
      <c r="A19" s="13">
        <v>9960699</v>
      </c>
      <c r="B19" s="13" t="s">
        <v>554</v>
      </c>
      <c r="C19" s="13" t="s">
        <v>555</v>
      </c>
      <c r="D19" s="13">
        <v>311</v>
      </c>
      <c r="E19" s="13" t="s">
        <v>171</v>
      </c>
      <c r="F19" s="13" t="s">
        <v>172</v>
      </c>
      <c r="H19" s="13" t="s">
        <v>1515</v>
      </c>
      <c r="I19" s="13">
        <v>290</v>
      </c>
      <c r="J19" s="13">
        <v>1</v>
      </c>
      <c r="K19" s="14">
        <v>46154</v>
      </c>
      <c r="L19" s="14">
        <v>46155</v>
      </c>
      <c r="N19" s="13">
        <v>155</v>
      </c>
      <c r="P19" s="58" t="str">
        <f t="shared" si="0"/>
        <v>Luka Doncic</v>
      </c>
      <c r="Q19" s="58" t="str">
        <f>IFERROR(_xlfn.TEXTAFTER(_xlfn.XLOOKUP(A19,Collection!A:A,Collection!C:C,),"Cards "),C19)</f>
        <v>2024 Panini Mosaic Epic Performers</v>
      </c>
      <c r="R19" s="58" t="str">
        <f t="shared" si="1"/>
        <v>Green</v>
      </c>
      <c r="S19" s="58" t="str">
        <f>IFERROR(_xlfn.TEXTAFTER(_xlfn.XLOOKUP(A19,Collection!A:A,Collection!B:B,),"#"),"")</f>
        <v>10</v>
      </c>
      <c r="T19" s="60">
        <f t="shared" si="2"/>
        <v>3.11</v>
      </c>
      <c r="U19" s="54" t="s">
        <v>1550</v>
      </c>
      <c r="V19" s="58" t="str">
        <f>IF(ISNUMBER(MATCH(N19,Catalog!$B$4:$B$16, 0)), "Keep", "For Sale")</f>
        <v>For Sale</v>
      </c>
      <c r="W19" s="58">
        <f t="shared" si="3"/>
        <v>2</v>
      </c>
      <c r="X19" s="58">
        <f t="shared" si="4"/>
        <v>1</v>
      </c>
      <c r="Y19" s="60">
        <f t="shared" si="5"/>
        <v>4</v>
      </c>
      <c r="Z19" s="60">
        <f t="shared" si="6"/>
        <v>2.5</v>
      </c>
      <c r="AE19" t="s">
        <v>1618</v>
      </c>
      <c r="AF19"/>
      <c r="AG19" s="61">
        <v>644.66666666666663</v>
      </c>
      <c r="AH19"/>
      <c r="AI19" s="8" t="s">
        <v>1597</v>
      </c>
      <c r="AJ19" s="73">
        <v>6</v>
      </c>
      <c r="AK19"/>
    </row>
    <row r="20" spans="1:37" ht="14.4" x14ac:dyDescent="0.3">
      <c r="A20" s="13">
        <v>9960699</v>
      </c>
      <c r="B20" s="13" t="s">
        <v>554</v>
      </c>
      <c r="C20" s="13" t="s">
        <v>555</v>
      </c>
      <c r="D20" s="13">
        <v>311</v>
      </c>
      <c r="E20" s="13" t="s">
        <v>171</v>
      </c>
      <c r="F20" s="13" t="s">
        <v>172</v>
      </c>
      <c r="H20" s="13" t="s">
        <v>1528</v>
      </c>
      <c r="I20" s="13">
        <v>297</v>
      </c>
      <c r="J20" s="13">
        <v>1</v>
      </c>
      <c r="K20" s="14">
        <v>46183</v>
      </c>
      <c r="L20" s="14">
        <v>46150</v>
      </c>
      <c r="N20" s="13">
        <v>156</v>
      </c>
      <c r="P20" s="58" t="str">
        <f t="shared" si="0"/>
        <v>Luka Doncic</v>
      </c>
      <c r="Q20" s="58" t="str">
        <f>IFERROR(_xlfn.TEXTAFTER(_xlfn.XLOOKUP(A20,Collection!A:A,Collection!C:C,),"Cards "),C20)</f>
        <v>2024 Panini Mosaic Epic Performers</v>
      </c>
      <c r="R20" s="58" t="str">
        <f t="shared" si="1"/>
        <v>Green</v>
      </c>
      <c r="S20" s="58" t="str">
        <f>IFERROR(_xlfn.TEXTAFTER(_xlfn.XLOOKUP(A20,Collection!A:A,Collection!B:B,),"#"),"")</f>
        <v>10</v>
      </c>
      <c r="T20" s="60">
        <f t="shared" si="2"/>
        <v>3.11</v>
      </c>
      <c r="U20" s="54" t="s">
        <v>1550</v>
      </c>
      <c r="V20" s="58" t="str">
        <f>IF(ISNUMBER(MATCH(N20,Catalog!$B$4:$B$16, 0)), "Keep", "For Sale")</f>
        <v>For Sale</v>
      </c>
      <c r="W20" s="58">
        <f t="shared" si="3"/>
        <v>2</v>
      </c>
      <c r="X20" s="58">
        <f t="shared" si="4"/>
        <v>1</v>
      </c>
      <c r="Y20" s="60">
        <f t="shared" si="5"/>
        <v>4</v>
      </c>
      <c r="Z20" s="60">
        <f t="shared" si="6"/>
        <v>3</v>
      </c>
      <c r="AE20" t="s">
        <v>1700</v>
      </c>
      <c r="AF20"/>
      <c r="AG20" s="61">
        <v>636</v>
      </c>
      <c r="AH20"/>
      <c r="AI20" s="64" t="s">
        <v>1607</v>
      </c>
      <c r="AJ20" s="73">
        <v>6</v>
      </c>
      <c r="AK20"/>
    </row>
    <row r="21" spans="1:37" ht="14.4" x14ac:dyDescent="0.3">
      <c r="A21" s="13">
        <v>8846235</v>
      </c>
      <c r="B21" s="13" t="s">
        <v>671</v>
      </c>
      <c r="C21" s="13" t="s">
        <v>672</v>
      </c>
      <c r="D21" s="13">
        <v>302</v>
      </c>
      <c r="E21" s="13" t="s">
        <v>171</v>
      </c>
      <c r="F21" s="13" t="s">
        <v>172</v>
      </c>
      <c r="H21" s="13" t="s">
        <v>673</v>
      </c>
      <c r="I21" s="13">
        <v>281</v>
      </c>
      <c r="J21" s="13">
        <v>1</v>
      </c>
      <c r="K21" s="14">
        <v>46154</v>
      </c>
      <c r="L21" s="14">
        <v>46154</v>
      </c>
      <c r="N21" s="13">
        <v>215</v>
      </c>
      <c r="P21" s="58" t="str">
        <f t="shared" si="0"/>
        <v>Luka Doncic</v>
      </c>
      <c r="Q21" s="58" t="str">
        <f>IFERROR(_xlfn.TEXTAFTER(_xlfn.XLOOKUP(A21,Collection!A:A,Collection!C:C,),"Cards "),C21)</f>
        <v>2024 Panini Prizm</v>
      </c>
      <c r="R21" s="58" t="str">
        <f t="shared" si="1"/>
        <v>Green</v>
      </c>
      <c r="S21" s="58" t="str">
        <f>IFERROR(_xlfn.TEXTAFTER(_xlfn.XLOOKUP(A21,Collection!A:A,Collection!B:B,),"#"),"")</f>
        <v>89</v>
      </c>
      <c r="T21" s="60">
        <f t="shared" si="2"/>
        <v>3.02</v>
      </c>
      <c r="U21" s="54" t="s">
        <v>1550</v>
      </c>
      <c r="V21" s="58" t="str">
        <f>IF(ISNUMBER(MATCH(N21,Catalog!$B$4:$B$16, 0)), "Keep", "For Sale")</f>
        <v>For Sale</v>
      </c>
      <c r="W21" s="58">
        <f t="shared" si="3"/>
        <v>1</v>
      </c>
      <c r="X21" s="58">
        <f t="shared" si="4"/>
        <v>1</v>
      </c>
      <c r="Y21" s="60">
        <f t="shared" si="5"/>
        <v>4</v>
      </c>
      <c r="Z21" s="60">
        <f t="shared" si="6"/>
        <v>3</v>
      </c>
      <c r="AE21" t="s">
        <v>1625</v>
      </c>
      <c r="AF21"/>
      <c r="AG21" s="61">
        <v>620</v>
      </c>
      <c r="AH21"/>
      <c r="AI21" s="64" t="s">
        <v>1691</v>
      </c>
      <c r="AJ21" s="73">
        <v>5</v>
      </c>
    </row>
    <row r="22" spans="1:37" ht="14.4" x14ac:dyDescent="0.3">
      <c r="A22" s="13">
        <v>2967050</v>
      </c>
      <c r="B22" s="13" t="s">
        <v>1785</v>
      </c>
      <c r="C22" s="13" t="s">
        <v>565</v>
      </c>
      <c r="D22" s="13">
        <v>300</v>
      </c>
      <c r="E22" s="13" t="s">
        <v>171</v>
      </c>
      <c r="F22" s="13" t="s">
        <v>172</v>
      </c>
      <c r="H22" s="13" t="s">
        <v>566</v>
      </c>
      <c r="I22" s="13">
        <v>261</v>
      </c>
      <c r="J22" s="13">
        <v>1</v>
      </c>
      <c r="K22" s="14">
        <v>46189</v>
      </c>
      <c r="L22" s="14">
        <v>46154</v>
      </c>
      <c r="N22" s="13">
        <v>176</v>
      </c>
      <c r="P22" s="58" t="str">
        <f t="shared" si="0"/>
        <v>Luka Doncic</v>
      </c>
      <c r="Q22" s="58" t="str">
        <f>IFERROR(_xlfn.TEXTAFTER(_xlfn.XLOOKUP(A22,Collection!A:A,Collection!C:C,),"Cards "),C22)</f>
        <v>2020 Panini Illusions</v>
      </c>
      <c r="R22" s="58" t="str">
        <f t="shared" si="1"/>
        <v>Sapphire</v>
      </c>
      <c r="S22" s="58" t="str">
        <f>IFERROR(_xlfn.TEXTAFTER(_xlfn.XLOOKUP(A22,Collection!A:A,Collection!B:B,),"#"),"")</f>
        <v>43</v>
      </c>
      <c r="T22" s="60">
        <f t="shared" si="2"/>
        <v>3</v>
      </c>
      <c r="U22" s="54" t="s">
        <v>1550</v>
      </c>
      <c r="V22" s="58" t="str">
        <f>IF(ISNUMBER(MATCH(N22,Catalog!$B$4:$B$16, 0)), "Keep", "For Sale")</f>
        <v>For Sale</v>
      </c>
      <c r="W22" s="58">
        <f t="shared" si="3"/>
        <v>1</v>
      </c>
      <c r="X22" s="58">
        <f t="shared" si="4"/>
        <v>1</v>
      </c>
      <c r="Y22" s="60">
        <f t="shared" si="5"/>
        <v>4</v>
      </c>
      <c r="Z22" s="60">
        <f t="shared" si="6"/>
        <v>3</v>
      </c>
      <c r="AE22" t="s">
        <v>1636</v>
      </c>
      <c r="AF22"/>
      <c r="AG22" s="61">
        <v>616</v>
      </c>
      <c r="AH22"/>
      <c r="AI22" s="64" t="s">
        <v>1606</v>
      </c>
      <c r="AJ22" s="73">
        <v>5</v>
      </c>
    </row>
    <row r="23" spans="1:37" ht="14.4" x14ac:dyDescent="0.3">
      <c r="A23" s="13">
        <v>8537652</v>
      </c>
      <c r="B23" s="13" t="s">
        <v>933</v>
      </c>
      <c r="C23" s="13" t="s">
        <v>672</v>
      </c>
      <c r="D23" s="13">
        <v>288</v>
      </c>
      <c r="E23" s="13" t="s">
        <v>171</v>
      </c>
      <c r="F23" s="13" t="s">
        <v>172</v>
      </c>
      <c r="H23" s="13" t="s">
        <v>934</v>
      </c>
      <c r="I23" s="13">
        <v>527</v>
      </c>
      <c r="J23" s="13">
        <v>1</v>
      </c>
      <c r="K23" s="14">
        <v>46159</v>
      </c>
      <c r="L23" s="14">
        <v>46159</v>
      </c>
      <c r="N23" s="13">
        <v>202</v>
      </c>
      <c r="P23" s="58" t="str">
        <f t="shared" si="0"/>
        <v>Luka Doncic</v>
      </c>
      <c r="Q23" s="58" t="str">
        <f>IFERROR(_xlfn.TEXTAFTER(_xlfn.XLOOKUP(A23,Collection!A:A,Collection!C:C,),"Cards "),C23)</f>
        <v>2024 Panini Prizm</v>
      </c>
      <c r="R23" s="58" t="str">
        <f t="shared" si="1"/>
        <v>Pink Ice</v>
      </c>
      <c r="S23" s="58" t="str">
        <f>IFERROR(_xlfn.TEXTAFTER(_xlfn.XLOOKUP(A23,Collection!A:A,Collection!B:B,),"#"),"")</f>
        <v>89</v>
      </c>
      <c r="T23" s="60">
        <f t="shared" si="2"/>
        <v>2.88</v>
      </c>
      <c r="U23" s="54" t="s">
        <v>1550</v>
      </c>
      <c r="V23" s="58" t="str">
        <f>IF(ISNUMBER(MATCH(N23,Catalog!$B$4:$B$16, 0)), "Keep", "For Sale")</f>
        <v>For Sale</v>
      </c>
      <c r="W23" s="58">
        <f t="shared" si="3"/>
        <v>1</v>
      </c>
      <c r="X23" s="58">
        <f t="shared" si="4"/>
        <v>1</v>
      </c>
      <c r="Y23" s="60">
        <f t="shared" si="5"/>
        <v>6</v>
      </c>
      <c r="Z23" s="60">
        <f t="shared" si="6"/>
        <v>3</v>
      </c>
      <c r="AE23" t="s">
        <v>1592</v>
      </c>
      <c r="AF23"/>
      <c r="AG23" s="61">
        <v>573.5</v>
      </c>
      <c r="AH23"/>
      <c r="AI23" s="64" t="s">
        <v>1630</v>
      </c>
      <c r="AJ23" s="73">
        <v>5</v>
      </c>
    </row>
    <row r="24" spans="1:37" ht="14.4" x14ac:dyDescent="0.3">
      <c r="A24" s="13">
        <v>5507557</v>
      </c>
      <c r="B24" s="13" t="s">
        <v>1064</v>
      </c>
      <c r="C24" s="13" t="s">
        <v>1065</v>
      </c>
      <c r="D24" s="13">
        <v>244</v>
      </c>
      <c r="E24" s="13" t="s">
        <v>171</v>
      </c>
      <c r="F24" s="13" t="s">
        <v>172</v>
      </c>
      <c r="H24" s="13" t="s">
        <v>1066</v>
      </c>
      <c r="I24" s="13">
        <v>174</v>
      </c>
      <c r="J24" s="13">
        <v>1</v>
      </c>
      <c r="K24" s="14">
        <v>46166</v>
      </c>
      <c r="L24" s="14">
        <v>46164</v>
      </c>
      <c r="N24" s="13">
        <v>210</v>
      </c>
      <c r="P24" s="58" t="str">
        <f t="shared" si="0"/>
        <v>Luka Doncic</v>
      </c>
      <c r="Q24" s="58" t="str">
        <f>IFERROR(_xlfn.TEXTAFTER(_xlfn.XLOOKUP(A24,Collection!A:A,Collection!C:C,),"Cards "),C24)</f>
        <v>2022 Panini Chronicles</v>
      </c>
      <c r="R24" s="58" t="str">
        <f t="shared" si="1"/>
        <v>Pink</v>
      </c>
      <c r="S24" s="58" t="str">
        <f>IFERROR(_xlfn.TEXTAFTER(_xlfn.XLOOKUP(A24,Collection!A:A,Collection!B:B,),"#"),"")</f>
        <v>257</v>
      </c>
      <c r="T24" s="60">
        <f t="shared" si="2"/>
        <v>2.44</v>
      </c>
      <c r="U24" s="54" t="s">
        <v>1550</v>
      </c>
      <c r="V24" s="58" t="str">
        <f>IF(ISNUMBER(MATCH(N24,Catalog!$B$4:$B$16, 0)), "Keep", "For Sale")</f>
        <v>For Sale</v>
      </c>
      <c r="W24" s="58">
        <f t="shared" si="3"/>
        <v>1</v>
      </c>
      <c r="X24" s="58">
        <f t="shared" si="4"/>
        <v>1</v>
      </c>
      <c r="Y24" s="60">
        <f t="shared" si="5"/>
        <v>3</v>
      </c>
      <c r="Z24" s="60">
        <f t="shared" si="6"/>
        <v>1.5</v>
      </c>
      <c r="AE24" t="s">
        <v>1585</v>
      </c>
      <c r="AF24"/>
      <c r="AG24" s="61">
        <v>492</v>
      </c>
      <c r="AH24"/>
      <c r="AI24" s="64" t="s">
        <v>1567</v>
      </c>
      <c r="AJ24" s="73">
        <v>5</v>
      </c>
    </row>
    <row r="25" spans="1:37" ht="14.4" x14ac:dyDescent="0.3">
      <c r="A25" s="13">
        <v>920589</v>
      </c>
      <c r="B25" s="13" t="s">
        <v>1119</v>
      </c>
      <c r="C25" s="13" t="s">
        <v>655</v>
      </c>
      <c r="D25" s="13">
        <v>238</v>
      </c>
      <c r="E25" s="13" t="s">
        <v>171</v>
      </c>
      <c r="F25" s="13" t="s">
        <v>172</v>
      </c>
      <c r="H25" s="13" t="s">
        <v>1081</v>
      </c>
      <c r="I25" s="13">
        <v>190</v>
      </c>
      <c r="J25" s="13">
        <v>1</v>
      </c>
      <c r="K25" s="14">
        <v>46166</v>
      </c>
      <c r="L25" s="14">
        <v>46164</v>
      </c>
      <c r="N25" s="13">
        <v>336</v>
      </c>
      <c r="P25" s="58" t="str">
        <f t="shared" si="0"/>
        <v>Luka Doncic</v>
      </c>
      <c r="Q25" s="58" t="str">
        <f>IFERROR(_xlfn.TEXTAFTER(_xlfn.XLOOKUP(A25,Collection!A:A,Collection!C:C,),"Cards "),C25)</f>
        <v>2019 Panini Chronicles</v>
      </c>
      <c r="R25" s="58" t="str">
        <f t="shared" si="1"/>
        <v>-</v>
      </c>
      <c r="S25" s="58" t="str">
        <f>IFERROR(_xlfn.TEXTAFTER(_xlfn.XLOOKUP(A25,Collection!A:A,Collection!B:B,),"#"),"")</f>
        <v>254</v>
      </c>
      <c r="T25" s="60">
        <f t="shared" si="2"/>
        <v>2.38</v>
      </c>
      <c r="U25" s="54" t="s">
        <v>1550</v>
      </c>
      <c r="V25" s="58" t="str">
        <f>IF(ISNUMBER(MATCH(N25,Catalog!$B$4:$B$16, 0)), "Keep", "For Sale")</f>
        <v>For Sale</v>
      </c>
      <c r="W25" s="58">
        <f t="shared" si="3"/>
        <v>1</v>
      </c>
      <c r="X25" s="58">
        <f t="shared" si="4"/>
        <v>1</v>
      </c>
      <c r="Y25" s="60">
        <f t="shared" si="5"/>
        <v>3</v>
      </c>
      <c r="Z25" s="60">
        <f t="shared" si="6"/>
        <v>2</v>
      </c>
      <c r="AE25" t="s">
        <v>1630</v>
      </c>
      <c r="AF25"/>
      <c r="AG25" s="61">
        <v>470.66666666666669</v>
      </c>
      <c r="AH25"/>
      <c r="AI25" s="64" t="s">
        <v>1598</v>
      </c>
      <c r="AJ25" s="73">
        <v>5</v>
      </c>
    </row>
    <row r="26" spans="1:37" ht="14.4" x14ac:dyDescent="0.3">
      <c r="A26" s="13">
        <v>2491470</v>
      </c>
      <c r="B26" s="13" t="s">
        <v>1001</v>
      </c>
      <c r="C26" s="13" t="s">
        <v>1002</v>
      </c>
      <c r="D26" s="13">
        <v>237</v>
      </c>
      <c r="E26" s="13" t="s">
        <v>171</v>
      </c>
      <c r="F26" s="13" t="s">
        <v>172</v>
      </c>
      <c r="H26" s="13" t="s">
        <v>1003</v>
      </c>
      <c r="I26" s="13">
        <v>306</v>
      </c>
      <c r="J26" s="13">
        <v>1</v>
      </c>
      <c r="K26" s="14">
        <v>46164</v>
      </c>
      <c r="L26" s="14">
        <v>46159</v>
      </c>
      <c r="N26" s="13">
        <v>224</v>
      </c>
      <c r="P26" s="58" t="str">
        <f t="shared" si="0"/>
        <v>Luka Doncic</v>
      </c>
      <c r="Q26" s="58" t="str">
        <f>IFERROR(_xlfn.TEXTAFTER(_xlfn.XLOOKUP(A26,Collection!A:A,Collection!C:C,),"Cards "),C26)</f>
        <v>2020 Panini Select</v>
      </c>
      <c r="R26" s="58" t="str">
        <f t="shared" si="1"/>
        <v>Red White Orange Shimmer</v>
      </c>
      <c r="S26" s="58" t="str">
        <f>IFERROR(_xlfn.TEXTAFTER(_xlfn.XLOOKUP(A26,Collection!A:A,Collection!B:B,),"#"),"")</f>
        <v>150</v>
      </c>
      <c r="T26" s="60">
        <f t="shared" si="2"/>
        <v>2.37</v>
      </c>
      <c r="U26" s="54" t="s">
        <v>1550</v>
      </c>
      <c r="V26" s="58" t="str">
        <f>IF(ISNUMBER(MATCH(N26,Catalog!$B$4:$B$16, 0)), "Keep", "For Sale")</f>
        <v>For Sale</v>
      </c>
      <c r="W26" s="58">
        <f t="shared" si="3"/>
        <v>1</v>
      </c>
      <c r="X26" s="58">
        <f t="shared" si="4"/>
        <v>1</v>
      </c>
      <c r="Y26" s="60">
        <f t="shared" si="5"/>
        <v>4</v>
      </c>
      <c r="Z26" s="60">
        <f t="shared" si="6"/>
        <v>2.5</v>
      </c>
      <c r="AE26" t="s">
        <v>1658</v>
      </c>
      <c r="AF26"/>
      <c r="AG26" s="61">
        <v>468.5</v>
      </c>
      <c r="AH26"/>
      <c r="AI26" s="64" t="s">
        <v>1618</v>
      </c>
      <c r="AJ26" s="73">
        <v>5</v>
      </c>
    </row>
    <row r="27" spans="1:37" ht="14.4" x14ac:dyDescent="0.3">
      <c r="A27" s="13">
        <v>4950668</v>
      </c>
      <c r="B27" s="13" t="s">
        <v>1254</v>
      </c>
      <c r="C27" s="13" t="s">
        <v>1255</v>
      </c>
      <c r="D27" s="13">
        <v>236</v>
      </c>
      <c r="E27" s="13" t="s">
        <v>171</v>
      </c>
      <c r="F27" s="13" t="s">
        <v>172</v>
      </c>
      <c r="H27" s="13" t="s">
        <v>1256</v>
      </c>
      <c r="I27" s="13">
        <v>221</v>
      </c>
      <c r="J27" s="13">
        <v>1</v>
      </c>
      <c r="K27" s="14">
        <v>46182</v>
      </c>
      <c r="L27" s="14">
        <v>46181</v>
      </c>
      <c r="N27" s="13">
        <v>220</v>
      </c>
      <c r="P27" s="58" t="str">
        <f t="shared" si="0"/>
        <v>Luka Doncic</v>
      </c>
      <c r="Q27" s="58" t="str">
        <f>IFERROR(_xlfn.TEXTAFTER(_xlfn.XLOOKUP(A27,Collection!A:A,Collection!C:C,),"Cards "),C27)</f>
        <v>2021 Panini Mosaic Montage</v>
      </c>
      <c r="R27" s="58" t="str">
        <f t="shared" si="1"/>
        <v>-</v>
      </c>
      <c r="S27" s="58" t="str">
        <f>IFERROR(_xlfn.TEXTAFTER(_xlfn.XLOOKUP(A27,Collection!A:A,Collection!B:B,),"#"),"")</f>
        <v>26</v>
      </c>
      <c r="T27" s="60">
        <f t="shared" si="2"/>
        <v>2.36</v>
      </c>
      <c r="U27" s="54" t="s">
        <v>1550</v>
      </c>
      <c r="V27" s="58" t="str">
        <f>IF(ISNUMBER(MATCH(N27,Catalog!$B$4:$B$16, 0)), "Keep", "For Sale")</f>
        <v>For Sale</v>
      </c>
      <c r="W27" s="58">
        <f t="shared" si="3"/>
        <v>1</v>
      </c>
      <c r="X27" s="58">
        <f t="shared" si="4"/>
        <v>1</v>
      </c>
      <c r="Y27" s="60">
        <f t="shared" si="5"/>
        <v>3</v>
      </c>
      <c r="Z27" s="60">
        <f t="shared" si="6"/>
        <v>2</v>
      </c>
      <c r="AE27" t="s">
        <v>1588</v>
      </c>
      <c r="AF27"/>
      <c r="AG27" s="61">
        <v>462.33333333333331</v>
      </c>
      <c r="AH27"/>
      <c r="AI27" s="64" t="s">
        <v>1563</v>
      </c>
      <c r="AJ27" s="73">
        <v>5</v>
      </c>
    </row>
    <row r="28" spans="1:37" ht="14.4" x14ac:dyDescent="0.3">
      <c r="A28" s="13">
        <v>10339925</v>
      </c>
      <c r="B28" s="13" t="s">
        <v>605</v>
      </c>
      <c r="C28" s="13" t="s">
        <v>606</v>
      </c>
      <c r="D28" s="13">
        <v>232</v>
      </c>
      <c r="E28" s="13" t="s">
        <v>171</v>
      </c>
      <c r="F28" s="13" t="s">
        <v>172</v>
      </c>
      <c r="H28" s="13" t="s">
        <v>537</v>
      </c>
      <c r="I28" s="13">
        <v>298</v>
      </c>
      <c r="J28" s="13">
        <v>1</v>
      </c>
      <c r="K28" s="14">
        <v>46154</v>
      </c>
      <c r="L28" s="14">
        <v>46148</v>
      </c>
      <c r="N28" s="13">
        <v>216</v>
      </c>
      <c r="P28" s="58" t="str">
        <f t="shared" si="0"/>
        <v>Luka Doncic</v>
      </c>
      <c r="Q28" s="58" t="str">
        <f>IFERROR(_xlfn.TEXTAFTER(_xlfn.XLOOKUP(A28,Collection!A:A,Collection!C:C,),"Cards "),C28)</f>
        <v>2024 Panini Mosaic Elevate</v>
      </c>
      <c r="R28" s="58" t="str">
        <f t="shared" si="1"/>
        <v>Mosaic</v>
      </c>
      <c r="S28" s="58" t="str">
        <f>IFERROR(_xlfn.TEXTAFTER(_xlfn.XLOOKUP(A28,Collection!A:A,Collection!B:B,),"#"),"")</f>
        <v>16</v>
      </c>
      <c r="T28" s="60">
        <f t="shared" si="2"/>
        <v>2.3199999999999998</v>
      </c>
      <c r="U28" s="54" t="s">
        <v>1550</v>
      </c>
      <c r="V28" s="58" t="str">
        <f>IF(ISNUMBER(MATCH(N28,Catalog!$B$4:$B$16, 0)), "Keep", "For Sale")</f>
        <v>For Sale</v>
      </c>
      <c r="W28" s="58">
        <f t="shared" si="3"/>
        <v>1</v>
      </c>
      <c r="X28" s="58">
        <f t="shared" si="4"/>
        <v>1</v>
      </c>
      <c r="Y28" s="60">
        <f t="shared" si="5"/>
        <v>4</v>
      </c>
      <c r="Z28" s="60">
        <f t="shared" si="6"/>
        <v>2.5</v>
      </c>
      <c r="AE28" t="s">
        <v>1568</v>
      </c>
      <c r="AF28"/>
      <c r="AG28" s="61">
        <v>442.25</v>
      </c>
      <c r="AH28"/>
      <c r="AI28" s="64" t="s">
        <v>1566</v>
      </c>
      <c r="AJ28" s="73">
        <v>5</v>
      </c>
    </row>
    <row r="29" spans="1:37" ht="14.4" x14ac:dyDescent="0.3">
      <c r="A29" s="13">
        <v>2884706</v>
      </c>
      <c r="B29" s="13" t="s">
        <v>682</v>
      </c>
      <c r="C29" s="13" t="s">
        <v>683</v>
      </c>
      <c r="D29" s="13">
        <v>225</v>
      </c>
      <c r="E29" s="13" t="s">
        <v>171</v>
      </c>
      <c r="F29" s="13" t="s">
        <v>172</v>
      </c>
      <c r="H29" s="13" t="s">
        <v>684</v>
      </c>
      <c r="I29" s="13">
        <v>196</v>
      </c>
      <c r="J29" s="13">
        <v>1</v>
      </c>
      <c r="K29" s="14">
        <v>46154</v>
      </c>
      <c r="L29" s="14">
        <v>46152</v>
      </c>
      <c r="N29" s="13">
        <v>228</v>
      </c>
      <c r="P29" s="58" t="str">
        <f t="shared" si="0"/>
        <v>Luka Doncic</v>
      </c>
      <c r="Q29" s="58" t="str">
        <f>IFERROR(_xlfn.TEXTAFTER(_xlfn.XLOOKUP(A29,Collection!A:A,Collection!C:C,),"Cards "),C29)</f>
        <v>2019 Panini Donruss Franchise Features</v>
      </c>
      <c r="R29" s="58" t="str">
        <f t="shared" si="1"/>
        <v>-</v>
      </c>
      <c r="S29" s="58" t="str">
        <f>IFERROR(_xlfn.TEXTAFTER(_xlfn.XLOOKUP(A29,Collection!A:A,Collection!B:B,),"#"),"")</f>
        <v>29</v>
      </c>
      <c r="T29" s="60">
        <f t="shared" si="2"/>
        <v>2.25</v>
      </c>
      <c r="U29" s="54" t="s">
        <v>1550</v>
      </c>
      <c r="V29" s="58" t="str">
        <f>IF(ISNUMBER(MATCH(N29,Catalog!$B$4:$B$16, 0)), "Keep", "For Sale")</f>
        <v>For Sale</v>
      </c>
      <c r="W29" s="58">
        <f t="shared" si="3"/>
        <v>1</v>
      </c>
      <c r="X29" s="58">
        <f t="shared" si="4"/>
        <v>1</v>
      </c>
      <c r="Y29" s="60">
        <f t="shared" si="5"/>
        <v>3</v>
      </c>
      <c r="Z29" s="60">
        <f t="shared" si="6"/>
        <v>2</v>
      </c>
      <c r="AE29" t="s">
        <v>1621</v>
      </c>
      <c r="AF29"/>
      <c r="AG29" s="61">
        <v>420</v>
      </c>
      <c r="AH29"/>
      <c r="AI29" s="64" t="s">
        <v>1576</v>
      </c>
      <c r="AJ29" s="73">
        <v>4</v>
      </c>
    </row>
    <row r="30" spans="1:37" ht="14.4" x14ac:dyDescent="0.3">
      <c r="A30" s="13">
        <v>7511275</v>
      </c>
      <c r="B30" s="13" t="s">
        <v>871</v>
      </c>
      <c r="C30" s="13" t="s">
        <v>872</v>
      </c>
      <c r="D30" s="13">
        <v>225</v>
      </c>
      <c r="E30" s="13" t="s">
        <v>171</v>
      </c>
      <c r="F30" s="13" t="s">
        <v>172</v>
      </c>
      <c r="H30" s="13" t="s">
        <v>873</v>
      </c>
      <c r="I30" s="13">
        <v>416</v>
      </c>
      <c r="J30" s="13">
        <v>1</v>
      </c>
      <c r="K30" s="14">
        <v>46159</v>
      </c>
      <c r="L30" s="14">
        <v>46158</v>
      </c>
      <c r="N30" s="13">
        <v>225</v>
      </c>
      <c r="P30" s="58" t="str">
        <f t="shared" si="0"/>
        <v>Luka Doncic</v>
      </c>
      <c r="Q30" s="58" t="str">
        <f>IFERROR(_xlfn.TEXTAFTER(_xlfn.XLOOKUP(A30,Collection!A:A,Collection!C:C,),"Cards "),C30)</f>
        <v>2023 Panini Phoenix Fade To Black</v>
      </c>
      <c r="R30" s="58" t="str">
        <f t="shared" si="1"/>
        <v>Red Ice</v>
      </c>
      <c r="S30" s="58" t="str">
        <f>IFERROR(_xlfn.TEXTAFTER(_xlfn.XLOOKUP(A30,Collection!A:A,Collection!B:B,),"#"),"")</f>
        <v>18</v>
      </c>
      <c r="T30" s="60">
        <f t="shared" si="2"/>
        <v>2.25</v>
      </c>
      <c r="U30" s="54" t="s">
        <v>1550</v>
      </c>
      <c r="V30" s="58" t="str">
        <f>IF(ISNUMBER(MATCH(N30,Catalog!$B$4:$B$16, 0)), "Keep", "For Sale")</f>
        <v>For Sale</v>
      </c>
      <c r="W30" s="58">
        <f t="shared" si="3"/>
        <v>1</v>
      </c>
      <c r="X30" s="58">
        <f t="shared" si="4"/>
        <v>1</v>
      </c>
      <c r="Y30" s="60">
        <f t="shared" si="5"/>
        <v>5</v>
      </c>
      <c r="Z30" s="60">
        <f t="shared" si="6"/>
        <v>2.5</v>
      </c>
      <c r="AE30" t="s">
        <v>1661</v>
      </c>
      <c r="AF30"/>
      <c r="AG30" s="61">
        <v>401</v>
      </c>
      <c r="AH30"/>
      <c r="AI30" s="64" t="s">
        <v>1677</v>
      </c>
      <c r="AJ30" s="73">
        <v>4</v>
      </c>
    </row>
    <row r="31" spans="1:37" ht="14.4" x14ac:dyDescent="0.3">
      <c r="A31" s="13">
        <v>9804304</v>
      </c>
      <c r="B31" s="13" t="s">
        <v>1070</v>
      </c>
      <c r="C31" s="13" t="s">
        <v>1103</v>
      </c>
      <c r="D31" s="13">
        <v>225</v>
      </c>
      <c r="E31" s="13" t="s">
        <v>171</v>
      </c>
      <c r="F31" s="13" t="s">
        <v>172</v>
      </c>
      <c r="H31" s="13" t="s">
        <v>1086</v>
      </c>
      <c r="I31" s="13">
        <v>157</v>
      </c>
      <c r="J31" s="13">
        <v>1</v>
      </c>
      <c r="K31" s="14">
        <v>46164</v>
      </c>
      <c r="L31" s="14">
        <v>46161</v>
      </c>
      <c r="N31" s="13">
        <v>236</v>
      </c>
      <c r="P31" s="58" t="str">
        <f t="shared" si="0"/>
        <v>Luka Doncic</v>
      </c>
      <c r="Q31" s="58" t="str">
        <f>IFERROR(_xlfn.TEXTAFTER(_xlfn.XLOOKUP(A31,Collection!A:A,Collection!C:C,),"Cards "),C31)</f>
        <v>2024 Panini Select En Fuego</v>
      </c>
      <c r="R31" s="58" t="str">
        <f t="shared" si="1"/>
        <v>-</v>
      </c>
      <c r="S31" s="58" t="str">
        <f>IFERROR(_xlfn.TEXTAFTER(_xlfn.XLOOKUP(A31,Collection!A:A,Collection!B:B,),"#"),"")</f>
        <v>9</v>
      </c>
      <c r="T31" s="60">
        <f t="shared" si="2"/>
        <v>2.25</v>
      </c>
      <c r="U31" s="54" t="s">
        <v>1550</v>
      </c>
      <c r="V31" s="58" t="str">
        <f>IF(ISNUMBER(MATCH(N31,Catalog!$B$4:$B$16, 0)), "Keep", "For Sale")</f>
        <v>For Sale</v>
      </c>
      <c r="W31" s="58">
        <f t="shared" si="3"/>
        <v>1</v>
      </c>
      <c r="X31" s="58">
        <f t="shared" si="4"/>
        <v>1</v>
      </c>
      <c r="Y31" s="60">
        <f t="shared" si="5"/>
        <v>3</v>
      </c>
      <c r="Z31" s="60">
        <f t="shared" si="6"/>
        <v>1.5</v>
      </c>
      <c r="AE31" t="s">
        <v>1607</v>
      </c>
      <c r="AF31"/>
      <c r="AG31" s="61">
        <v>388</v>
      </c>
      <c r="AH31"/>
      <c r="AI31" s="64" t="s">
        <v>1578</v>
      </c>
      <c r="AJ31" s="73">
        <v>4</v>
      </c>
    </row>
    <row r="32" spans="1:37" ht="14.4" x14ac:dyDescent="0.3">
      <c r="A32" s="13">
        <v>10024204</v>
      </c>
      <c r="B32" s="13" t="s">
        <v>905</v>
      </c>
      <c r="C32" s="13" t="s">
        <v>585</v>
      </c>
      <c r="D32" s="13">
        <v>208</v>
      </c>
      <c r="E32" s="13" t="s">
        <v>171</v>
      </c>
      <c r="F32" s="13" t="s">
        <v>172</v>
      </c>
      <c r="H32" s="13" t="s">
        <v>906</v>
      </c>
      <c r="I32" s="13">
        <v>290</v>
      </c>
      <c r="J32" s="13">
        <v>1</v>
      </c>
      <c r="K32" s="14">
        <v>46156</v>
      </c>
      <c r="L32" s="14">
        <v>46155</v>
      </c>
      <c r="N32" s="13">
        <v>240</v>
      </c>
      <c r="P32" s="58" t="str">
        <f t="shared" si="0"/>
        <v>Luka Doncic</v>
      </c>
      <c r="Q32" s="58" t="str">
        <f>IFERROR(_xlfn.TEXTAFTER(_xlfn.XLOOKUP(A32,Collection!A:A,Collection!C:C,),"Cards "),C32)</f>
        <v>2024 Panini Select</v>
      </c>
      <c r="R32" s="58" t="str">
        <f t="shared" si="1"/>
        <v>Green White Purple Prizm</v>
      </c>
      <c r="S32" s="58" t="str">
        <f>IFERROR(_xlfn.TEXTAFTER(_xlfn.XLOOKUP(A32,Collection!A:A,Collection!B:B,),"#"),"")</f>
        <v>141</v>
      </c>
      <c r="T32" s="60">
        <f t="shared" si="2"/>
        <v>2.08</v>
      </c>
      <c r="U32" s="54" t="s">
        <v>1550</v>
      </c>
      <c r="V32" s="58" t="str">
        <f>IF(ISNUMBER(MATCH(N32,Catalog!$B$4:$B$16, 0)), "Keep", "For Sale")</f>
        <v>For Sale</v>
      </c>
      <c r="W32" s="58">
        <f t="shared" si="3"/>
        <v>1</v>
      </c>
      <c r="X32" s="58">
        <f t="shared" si="4"/>
        <v>1</v>
      </c>
      <c r="Y32" s="60">
        <f t="shared" si="5"/>
        <v>3</v>
      </c>
      <c r="Z32" s="60">
        <f t="shared" si="6"/>
        <v>2</v>
      </c>
      <c r="AE32" t="s">
        <v>1631</v>
      </c>
      <c r="AF32"/>
      <c r="AG32" s="61">
        <v>385.66666666666669</v>
      </c>
      <c r="AH32"/>
      <c r="AI32" s="64" t="s">
        <v>1601</v>
      </c>
      <c r="AJ32" s="73">
        <v>4</v>
      </c>
    </row>
    <row r="33" spans="1:36" ht="14.4" x14ac:dyDescent="0.3">
      <c r="A33" s="13">
        <v>6834778</v>
      </c>
      <c r="B33" s="13" t="s">
        <v>659</v>
      </c>
      <c r="C33" s="13" t="s">
        <v>660</v>
      </c>
      <c r="D33" s="13">
        <v>205</v>
      </c>
      <c r="E33" s="13" t="s">
        <v>171</v>
      </c>
      <c r="F33" s="13" t="s">
        <v>172</v>
      </c>
      <c r="H33" s="13" t="s">
        <v>533</v>
      </c>
      <c r="I33" s="13">
        <v>280</v>
      </c>
      <c r="J33" s="13">
        <v>1</v>
      </c>
      <c r="K33" s="14">
        <v>46154</v>
      </c>
      <c r="L33" s="14">
        <v>46148</v>
      </c>
      <c r="N33" s="13">
        <v>312</v>
      </c>
      <c r="P33" s="58" t="str">
        <f t="shared" si="0"/>
        <v>Luka Doncic</v>
      </c>
      <c r="Q33" s="58" t="str">
        <f>IFERROR(_xlfn.TEXTAFTER(_xlfn.XLOOKUP(A33,Collection!A:A,Collection!C:C,),"Cards "),C33)</f>
        <v>2023 Donruss Optic Express Lane</v>
      </c>
      <c r="R33" s="58" t="str">
        <f t="shared" si="1"/>
        <v>Purple</v>
      </c>
      <c r="S33" s="58" t="str">
        <f>IFERROR(_xlfn.TEXTAFTER(_xlfn.XLOOKUP(A33,Collection!A:A,Collection!B:B,),"#"),"")</f>
        <v>13</v>
      </c>
      <c r="T33" s="60">
        <f t="shared" si="2"/>
        <v>2.0499999999999998</v>
      </c>
      <c r="U33" s="54" t="s">
        <v>1550</v>
      </c>
      <c r="V33" s="58" t="str">
        <f>IF(ISNUMBER(MATCH(N33,Catalog!$B$4:$B$16, 0)), "Keep", "For Sale")</f>
        <v>For Sale</v>
      </c>
      <c r="W33" s="58">
        <f t="shared" si="3"/>
        <v>1</v>
      </c>
      <c r="X33" s="58">
        <f t="shared" si="4"/>
        <v>1</v>
      </c>
      <c r="Y33" s="60">
        <f t="shared" si="5"/>
        <v>3</v>
      </c>
      <c r="Z33" s="60">
        <f t="shared" si="6"/>
        <v>2</v>
      </c>
      <c r="AE33" t="s">
        <v>1644</v>
      </c>
      <c r="AF33"/>
      <c r="AG33" s="61">
        <v>376</v>
      </c>
      <c r="AH33"/>
      <c r="AI33" s="64" t="s">
        <v>1592</v>
      </c>
      <c r="AJ33" s="73">
        <v>4</v>
      </c>
    </row>
    <row r="34" spans="1:36" ht="14.4" x14ac:dyDescent="0.3">
      <c r="A34" s="13">
        <v>10199082</v>
      </c>
      <c r="B34" s="13" t="s">
        <v>903</v>
      </c>
      <c r="C34" s="13" t="s">
        <v>401</v>
      </c>
      <c r="D34" s="13">
        <v>204</v>
      </c>
      <c r="E34" s="13" t="s">
        <v>171</v>
      </c>
      <c r="F34" s="13" t="s">
        <v>172</v>
      </c>
      <c r="H34" s="13" t="s">
        <v>904</v>
      </c>
      <c r="I34" s="13">
        <v>290</v>
      </c>
      <c r="J34" s="13">
        <v>1</v>
      </c>
      <c r="K34" s="14">
        <v>46156</v>
      </c>
      <c r="L34" s="14">
        <v>46155</v>
      </c>
      <c r="N34" s="13">
        <v>246</v>
      </c>
      <c r="P34" s="58" t="str">
        <f t="shared" si="0"/>
        <v>Luka Doncic</v>
      </c>
      <c r="Q34" s="58" t="str">
        <f>IFERROR(_xlfn.TEXTAFTER(_xlfn.XLOOKUP(A34,Collection!A:A,Collection!C:C,),"Cards "),C34)</f>
        <v>2024 Panini Donruss Optic</v>
      </c>
      <c r="R34" s="58" t="str">
        <f t="shared" si="1"/>
        <v>Green Seismic</v>
      </c>
      <c r="S34" s="58" t="str">
        <f>IFERROR(_xlfn.TEXTAFTER(_xlfn.XLOOKUP(A34,Collection!A:A,Collection!B:B,),"#"),"")</f>
        <v>214</v>
      </c>
      <c r="T34" s="60">
        <f t="shared" si="2"/>
        <v>2.04</v>
      </c>
      <c r="U34" s="54" t="s">
        <v>1550</v>
      </c>
      <c r="V34" s="58" t="str">
        <f>IF(ISNUMBER(MATCH(N34,Catalog!$B$4:$B$16, 0)), "Keep", "For Sale")</f>
        <v>For Sale</v>
      </c>
      <c r="W34" s="58">
        <f t="shared" si="3"/>
        <v>1</v>
      </c>
      <c r="X34" s="58">
        <f t="shared" si="4"/>
        <v>1</v>
      </c>
      <c r="Y34" s="60">
        <f t="shared" si="5"/>
        <v>3</v>
      </c>
      <c r="Z34" s="60">
        <f t="shared" si="6"/>
        <v>2</v>
      </c>
      <c r="AE34" t="s">
        <v>1821</v>
      </c>
      <c r="AF34"/>
      <c r="AG34" s="61">
        <v>372</v>
      </c>
      <c r="AH34"/>
      <c r="AI34" s="64" t="s">
        <v>1572</v>
      </c>
      <c r="AJ34" s="73">
        <v>3</v>
      </c>
    </row>
    <row r="35" spans="1:36" ht="14.4" x14ac:dyDescent="0.3">
      <c r="A35" s="13">
        <v>10122943</v>
      </c>
      <c r="B35" s="13" t="s">
        <v>879</v>
      </c>
      <c r="C35" s="13" t="s">
        <v>880</v>
      </c>
      <c r="D35" s="13">
        <v>201</v>
      </c>
      <c r="E35" s="13" t="s">
        <v>171</v>
      </c>
      <c r="F35" s="13" t="s">
        <v>172</v>
      </c>
      <c r="H35" s="13" t="s">
        <v>881</v>
      </c>
      <c r="I35" s="13">
        <v>261</v>
      </c>
      <c r="J35" s="13">
        <v>1</v>
      </c>
      <c r="K35" s="14">
        <v>46157</v>
      </c>
      <c r="L35" s="14">
        <v>46156</v>
      </c>
      <c r="N35" s="13">
        <v>207</v>
      </c>
      <c r="P35" s="58" t="str">
        <f t="shared" si="0"/>
        <v>Luka Doncic</v>
      </c>
      <c r="Q35" s="58" t="str">
        <f>IFERROR(_xlfn.TEXTAFTER(_xlfn.XLOOKUP(A35,Collection!A:A,Collection!C:C,),"Cards "),C35)</f>
        <v>2024 Panini Haunted Hoops</v>
      </c>
      <c r="R35" s="58" t="str">
        <f t="shared" si="1"/>
        <v>Slime</v>
      </c>
      <c r="S35" s="58" t="str">
        <f>IFERROR(_xlfn.TEXTAFTER(_xlfn.XLOOKUP(A35,Collection!A:A,Collection!B:B,),"#"),"")</f>
        <v>281</v>
      </c>
      <c r="T35" s="60">
        <f t="shared" si="2"/>
        <v>2.0099999999999998</v>
      </c>
      <c r="U35" s="54" t="s">
        <v>1550</v>
      </c>
      <c r="V35" s="58" t="str">
        <f>IF(ISNUMBER(MATCH(N35,Catalog!$B$4:$B$16, 0)), "Keep", "For Sale")</f>
        <v>For Sale</v>
      </c>
      <c r="W35" s="58">
        <f t="shared" si="3"/>
        <v>1</v>
      </c>
      <c r="X35" s="58">
        <f t="shared" si="4"/>
        <v>1</v>
      </c>
      <c r="Y35" s="60">
        <f t="shared" si="5"/>
        <v>3</v>
      </c>
      <c r="Z35" s="60">
        <f t="shared" si="6"/>
        <v>2</v>
      </c>
      <c r="AE35" t="s">
        <v>1653</v>
      </c>
      <c r="AF35"/>
      <c r="AG35" s="61">
        <v>357</v>
      </c>
      <c r="AH35"/>
      <c r="AI35" s="64" t="s">
        <v>1631</v>
      </c>
      <c r="AJ35" s="73">
        <v>3</v>
      </c>
    </row>
    <row r="36" spans="1:36" ht="14.4" x14ac:dyDescent="0.3">
      <c r="A36" s="13">
        <v>4245820</v>
      </c>
      <c r="B36" s="13" t="s">
        <v>1084</v>
      </c>
      <c r="C36" s="13" t="s">
        <v>1085</v>
      </c>
      <c r="D36" s="13">
        <v>200</v>
      </c>
      <c r="E36" s="13" t="s">
        <v>171</v>
      </c>
      <c r="F36" s="13" t="s">
        <v>172</v>
      </c>
      <c r="H36" s="13" t="s">
        <v>1086</v>
      </c>
      <c r="I36" s="13">
        <v>157</v>
      </c>
      <c r="J36" s="13">
        <v>1</v>
      </c>
      <c r="K36" s="14">
        <v>46164</v>
      </c>
      <c r="L36" s="14">
        <v>46161</v>
      </c>
      <c r="N36" s="13">
        <v>259</v>
      </c>
      <c r="P36" s="58" t="str">
        <f t="shared" si="0"/>
        <v>Luka Doncic</v>
      </c>
      <c r="Q36" s="58" t="str">
        <f>IFERROR(_xlfn.TEXTAFTER(_xlfn.XLOOKUP(A36,Collection!A:A,Collection!C:C,),"Cards "),C36)</f>
        <v>2021 Panini Select Numbers</v>
      </c>
      <c r="R36" s="58" t="str">
        <f t="shared" si="1"/>
        <v>Blue Prizm</v>
      </c>
      <c r="S36" s="58" t="str">
        <f>IFERROR(_xlfn.TEXTAFTER(_xlfn.XLOOKUP(A36,Collection!A:A,Collection!B:B,),"#"),"")</f>
        <v>7</v>
      </c>
      <c r="T36" s="60">
        <f t="shared" si="2"/>
        <v>2</v>
      </c>
      <c r="U36" s="54" t="s">
        <v>1550</v>
      </c>
      <c r="V36" s="58" t="str">
        <f>IF(ISNUMBER(MATCH(N36,Catalog!$B$4:$B$16, 0)), "Keep", "For Sale")</f>
        <v>For Sale</v>
      </c>
      <c r="W36" s="58">
        <f t="shared" si="3"/>
        <v>1</v>
      </c>
      <c r="X36" s="58">
        <f t="shared" si="4"/>
        <v>1</v>
      </c>
      <c r="Y36" s="60">
        <f t="shared" si="5"/>
        <v>2.5</v>
      </c>
      <c r="Z36" s="60">
        <f t="shared" si="6"/>
        <v>1.5</v>
      </c>
      <c r="AE36" t="s">
        <v>1812</v>
      </c>
      <c r="AF36"/>
      <c r="AG36" s="61">
        <v>350</v>
      </c>
      <c r="AH36"/>
      <c r="AI36" s="64" t="s">
        <v>1574</v>
      </c>
      <c r="AJ36" s="73">
        <v>3</v>
      </c>
    </row>
    <row r="37" spans="1:36" ht="14.4" x14ac:dyDescent="0.3">
      <c r="A37" s="13">
        <v>2946119</v>
      </c>
      <c r="B37" s="13" t="s">
        <v>670</v>
      </c>
      <c r="C37" s="13" t="s">
        <v>551</v>
      </c>
      <c r="D37" s="13">
        <v>199</v>
      </c>
      <c r="E37" s="13" t="s">
        <v>171</v>
      </c>
      <c r="F37" s="13" t="s">
        <v>172</v>
      </c>
      <c r="H37" s="13" t="s">
        <v>533</v>
      </c>
      <c r="I37" s="13">
        <v>280</v>
      </c>
      <c r="J37" s="13">
        <v>1</v>
      </c>
      <c r="K37" s="14">
        <v>46154</v>
      </c>
      <c r="L37" s="14">
        <v>46148</v>
      </c>
      <c r="N37" s="13">
        <v>281</v>
      </c>
      <c r="P37" s="58" t="str">
        <f t="shared" si="0"/>
        <v>Luka Doncic</v>
      </c>
      <c r="Q37" s="58" t="str">
        <f>IFERROR(_xlfn.TEXTAFTER(_xlfn.XLOOKUP(A37,Collection!A:A,Collection!C:C,),"Cards "),C37)</f>
        <v>2020 Panini Chronicles</v>
      </c>
      <c r="R37" s="58" t="str">
        <f t="shared" si="1"/>
        <v>-</v>
      </c>
      <c r="S37" s="58" t="str">
        <f>IFERROR(_xlfn.TEXTAFTER(_xlfn.XLOOKUP(A37,Collection!A:A,Collection!B:B,),"#"),"")</f>
        <v>519</v>
      </c>
      <c r="T37" s="60">
        <f t="shared" si="2"/>
        <v>1.99</v>
      </c>
      <c r="U37" s="54" t="s">
        <v>1550</v>
      </c>
      <c r="V37" s="58" t="str">
        <f>IF(ISNUMBER(MATCH(N37,Catalog!$B$4:$B$16, 0)), "Keep", "For Sale")</f>
        <v>For Sale</v>
      </c>
      <c r="W37" s="58">
        <f t="shared" si="3"/>
        <v>1</v>
      </c>
      <c r="X37" s="58">
        <f t="shared" si="4"/>
        <v>1</v>
      </c>
      <c r="Y37" s="60">
        <f t="shared" si="5"/>
        <v>3</v>
      </c>
      <c r="Z37" s="60">
        <f t="shared" si="6"/>
        <v>2</v>
      </c>
      <c r="AE37" t="s">
        <v>1597</v>
      </c>
      <c r="AF37"/>
      <c r="AG37" s="61">
        <v>335.33333333333331</v>
      </c>
      <c r="AH37"/>
      <c r="AI37" s="64" t="s">
        <v>1573</v>
      </c>
      <c r="AJ37" s="73">
        <v>3</v>
      </c>
    </row>
    <row r="38" spans="1:36" ht="14.4" x14ac:dyDescent="0.3">
      <c r="A38" s="13">
        <v>5289298</v>
      </c>
      <c r="B38" s="13" t="s">
        <v>646</v>
      </c>
      <c r="C38" s="13" t="s">
        <v>1080</v>
      </c>
      <c r="D38" s="13">
        <v>199</v>
      </c>
      <c r="E38" s="13" t="s">
        <v>171</v>
      </c>
      <c r="F38" s="13" t="s">
        <v>172</v>
      </c>
      <c r="H38" s="13" t="s">
        <v>1081</v>
      </c>
      <c r="I38" s="13">
        <v>190</v>
      </c>
      <c r="J38" s="13">
        <v>1</v>
      </c>
      <c r="K38" s="14">
        <v>46166</v>
      </c>
      <c r="L38" s="14">
        <v>46164</v>
      </c>
      <c r="N38" s="13">
        <v>287</v>
      </c>
      <c r="P38" s="58" t="str">
        <f t="shared" si="0"/>
        <v>Luka Doncic</v>
      </c>
      <c r="Q38" s="58" t="str">
        <f>IFERROR(_xlfn.TEXTAFTER(_xlfn.XLOOKUP(A38,Collection!A:A,Collection!C:C,),"Cards "),C38)</f>
        <v>2022 Panini Donruss Optic My House</v>
      </c>
      <c r="R38" s="58" t="str">
        <f t="shared" si="1"/>
        <v>-</v>
      </c>
      <c r="S38" s="58" t="str">
        <f>IFERROR(_xlfn.TEXTAFTER(_xlfn.XLOOKUP(A38,Collection!A:A,Collection!B:B,),"#"),"")</f>
        <v>3</v>
      </c>
      <c r="T38" s="60">
        <f t="shared" si="2"/>
        <v>1.99</v>
      </c>
      <c r="U38" s="54" t="s">
        <v>1550</v>
      </c>
      <c r="V38" s="58" t="str">
        <f>IF(ISNUMBER(MATCH(N38,Catalog!$B$4:$B$16, 0)), "Keep", "For Sale")</f>
        <v>For Sale</v>
      </c>
      <c r="W38" s="58">
        <f t="shared" si="3"/>
        <v>1</v>
      </c>
      <c r="X38" s="58">
        <f t="shared" si="4"/>
        <v>1</v>
      </c>
      <c r="Y38" s="60">
        <f t="shared" si="5"/>
        <v>2.5</v>
      </c>
      <c r="Z38" s="60">
        <f t="shared" si="6"/>
        <v>2</v>
      </c>
      <c r="AE38" t="s">
        <v>1600</v>
      </c>
      <c r="AF38"/>
      <c r="AG38" s="61">
        <v>328.33333333333331</v>
      </c>
      <c r="AH38"/>
      <c r="AI38" s="64" t="s">
        <v>1591</v>
      </c>
      <c r="AJ38" s="73">
        <v>3</v>
      </c>
    </row>
    <row r="39" spans="1:36" ht="14.4" x14ac:dyDescent="0.3">
      <c r="A39" s="13">
        <v>7375322</v>
      </c>
      <c r="B39" s="13" t="s">
        <v>1070</v>
      </c>
      <c r="C39" s="13" t="s">
        <v>1106</v>
      </c>
      <c r="D39" s="13">
        <v>199</v>
      </c>
      <c r="E39" s="13" t="s">
        <v>171</v>
      </c>
      <c r="F39" s="13" t="s">
        <v>172</v>
      </c>
      <c r="H39" s="13" t="s">
        <v>1066</v>
      </c>
      <c r="I39" s="13">
        <v>174</v>
      </c>
      <c r="J39" s="13">
        <v>1</v>
      </c>
      <c r="K39" s="14">
        <v>46166</v>
      </c>
      <c r="L39" s="14">
        <v>46164</v>
      </c>
      <c r="N39" s="13">
        <v>276</v>
      </c>
      <c r="P39" s="58" t="str">
        <f t="shared" si="0"/>
        <v>Luka Doncic</v>
      </c>
      <c r="Q39" s="58" t="str">
        <f>IFERROR(_xlfn.TEXTAFTER(_xlfn.XLOOKUP(A39,Collection!A:A,Collection!C:C,),"Cards "),C39)</f>
        <v>2023 Panini Haunted Hoops</v>
      </c>
      <c r="R39" s="58" t="str">
        <f t="shared" si="1"/>
        <v>-</v>
      </c>
      <c r="S39" s="58" t="str">
        <f>IFERROR(_xlfn.TEXTAFTER(_xlfn.XLOOKUP(A39,Collection!A:A,Collection!B:B,),"#"),"")</f>
        <v>9</v>
      </c>
      <c r="T39" s="60">
        <f t="shared" si="2"/>
        <v>1.99</v>
      </c>
      <c r="U39" s="54" t="s">
        <v>1550</v>
      </c>
      <c r="V39" s="58" t="str">
        <f>IF(ISNUMBER(MATCH(N39,Catalog!$B$4:$B$16, 0)), "Keep", "For Sale")</f>
        <v>For Sale</v>
      </c>
      <c r="W39" s="58">
        <f t="shared" si="3"/>
        <v>1</v>
      </c>
      <c r="X39" s="58">
        <f t="shared" si="4"/>
        <v>1</v>
      </c>
      <c r="Y39" s="60">
        <f t="shared" si="5"/>
        <v>2.5</v>
      </c>
      <c r="Z39" s="60">
        <f t="shared" si="6"/>
        <v>1.5</v>
      </c>
      <c r="AE39" t="s">
        <v>1608</v>
      </c>
      <c r="AF39"/>
      <c r="AG39" s="61">
        <v>311</v>
      </c>
      <c r="AH39"/>
      <c r="AI39" s="8" t="s">
        <v>1558</v>
      </c>
      <c r="AJ39" s="73">
        <v>3</v>
      </c>
    </row>
    <row r="40" spans="1:36" ht="14.4" x14ac:dyDescent="0.3">
      <c r="A40" s="13">
        <v>12962084</v>
      </c>
      <c r="B40" s="13" t="s">
        <v>1194</v>
      </c>
      <c r="C40" s="13" t="s">
        <v>1195</v>
      </c>
      <c r="D40" s="13">
        <v>199</v>
      </c>
      <c r="E40" s="13" t="s">
        <v>171</v>
      </c>
      <c r="F40" s="13" t="s">
        <v>172</v>
      </c>
      <c r="H40" s="13" t="s">
        <v>1196</v>
      </c>
      <c r="I40" s="13">
        <v>541</v>
      </c>
      <c r="J40" s="13">
        <v>1</v>
      </c>
      <c r="K40" s="14">
        <v>46174</v>
      </c>
      <c r="L40" s="14">
        <v>46173</v>
      </c>
      <c r="N40" s="13">
        <v>266</v>
      </c>
      <c r="P40" s="58" t="str">
        <f t="shared" si="0"/>
        <v>Luka Doncic</v>
      </c>
      <c r="Q40" s="58" t="str">
        <f>IFERROR(_xlfn.TEXTAFTER(_xlfn.XLOOKUP(A40,Collection!A:A,Collection!C:C,),"Cards "),C40)</f>
        <v>2025 Topps NBA Hoops Net 2 Net</v>
      </c>
      <c r="R40" s="58" t="str">
        <f t="shared" si="1"/>
        <v>-</v>
      </c>
      <c r="S40" s="58" t="str">
        <f>IFERROR(_xlfn.TEXTAFTER(_xlfn.XLOOKUP(A40,Collection!A:A,Collection!B:B,),"#"),"")</f>
        <v>NTN-11</v>
      </c>
      <c r="T40" s="60">
        <f t="shared" si="2"/>
        <v>1.99</v>
      </c>
      <c r="U40" s="54" t="s">
        <v>1550</v>
      </c>
      <c r="V40" s="58" t="str">
        <f>IF(ISNUMBER(MATCH(N40,Catalog!$B$4:$B$16, 0)), "Keep", "For Sale")</f>
        <v>For Sale</v>
      </c>
      <c r="W40" s="58">
        <f t="shared" si="3"/>
        <v>1</v>
      </c>
      <c r="X40" s="58">
        <f t="shared" si="4"/>
        <v>1</v>
      </c>
      <c r="Y40" s="60">
        <f t="shared" si="5"/>
        <v>6</v>
      </c>
      <c r="Z40" s="60">
        <f t="shared" si="6"/>
        <v>2</v>
      </c>
      <c r="AE40" t="s">
        <v>1554</v>
      </c>
      <c r="AF40"/>
      <c r="AG40" s="61">
        <v>305</v>
      </c>
      <c r="AH40"/>
      <c r="AI40" s="64" t="s">
        <v>1619</v>
      </c>
      <c r="AJ40" s="73">
        <v>3</v>
      </c>
    </row>
    <row r="41" spans="1:36" ht="14.4" x14ac:dyDescent="0.3">
      <c r="A41" s="13">
        <v>3484717</v>
      </c>
      <c r="B41" s="13" t="s">
        <v>1181</v>
      </c>
      <c r="C41" s="13" t="s">
        <v>1182</v>
      </c>
      <c r="D41" s="13">
        <v>196</v>
      </c>
      <c r="E41" s="13" t="s">
        <v>171</v>
      </c>
      <c r="F41" s="13" t="s">
        <v>172</v>
      </c>
      <c r="H41" s="13" t="s">
        <v>1183</v>
      </c>
      <c r="I41" s="13">
        <v>30</v>
      </c>
      <c r="J41" s="13">
        <v>1</v>
      </c>
      <c r="K41" s="14">
        <v>46172</v>
      </c>
      <c r="L41" s="14">
        <v>46164</v>
      </c>
      <c r="N41" s="13">
        <v>282</v>
      </c>
      <c r="P41" s="58" t="str">
        <f t="shared" si="0"/>
        <v>Luka Doncic</v>
      </c>
      <c r="Q41" s="58" t="str">
        <f>IFERROR(_xlfn.TEXTAFTER(_xlfn.XLOOKUP(A41,Collection!A:A,Collection!C:C,),"Cards "),C41)</f>
        <v>2021 Panini Contenders</v>
      </c>
      <c r="R41" s="58" t="str">
        <f t="shared" si="1"/>
        <v>Bronze</v>
      </c>
      <c r="S41" s="58" t="str">
        <f>IFERROR(_xlfn.TEXTAFTER(_xlfn.XLOOKUP(A41,Collection!A:A,Collection!B:B,),"#"),"")</f>
        <v>18</v>
      </c>
      <c r="T41" s="60">
        <f t="shared" si="2"/>
        <v>1.96</v>
      </c>
      <c r="U41" s="54" t="s">
        <v>1550</v>
      </c>
      <c r="V41" s="58" t="str">
        <f>IF(ISNUMBER(MATCH(N41,Catalog!$B$4:$B$16, 0)), "Keep", "For Sale")</f>
        <v>For Sale</v>
      </c>
      <c r="W41" s="58">
        <f t="shared" si="3"/>
        <v>1</v>
      </c>
      <c r="X41" s="58">
        <f t="shared" si="4"/>
        <v>1</v>
      </c>
      <c r="Y41" s="60">
        <f t="shared" si="5"/>
        <v>2.5</v>
      </c>
      <c r="Z41" s="60">
        <f t="shared" si="6"/>
        <v>0.25</v>
      </c>
      <c r="AE41" t="s">
        <v>1634</v>
      </c>
      <c r="AF41"/>
      <c r="AG41" s="61">
        <v>305</v>
      </c>
      <c r="AH41"/>
      <c r="AI41" s="64" t="s">
        <v>1644</v>
      </c>
      <c r="AJ41" s="73">
        <v>3</v>
      </c>
    </row>
    <row r="42" spans="1:36" ht="14.4" x14ac:dyDescent="0.3">
      <c r="A42" s="13">
        <v>6059252</v>
      </c>
      <c r="B42" s="13" t="s">
        <v>1111</v>
      </c>
      <c r="C42" s="13" t="s">
        <v>423</v>
      </c>
      <c r="D42" s="13">
        <v>196</v>
      </c>
      <c r="E42" s="13" t="s">
        <v>171</v>
      </c>
      <c r="F42" s="13" t="s">
        <v>172</v>
      </c>
      <c r="H42" s="13" t="s">
        <v>1066</v>
      </c>
      <c r="I42" s="13">
        <v>174</v>
      </c>
      <c r="J42" s="13">
        <v>1</v>
      </c>
      <c r="K42" s="14">
        <v>46166</v>
      </c>
      <c r="L42" s="14">
        <v>46164</v>
      </c>
      <c r="N42" s="13">
        <v>368</v>
      </c>
      <c r="P42" s="58" t="str">
        <f t="shared" si="0"/>
        <v>Luka Doncic</v>
      </c>
      <c r="Q42" s="58" t="str">
        <f>IFERROR(_xlfn.TEXTAFTER(_xlfn.XLOOKUP(A42,Collection!A:A,Collection!C:C,),"Cards "),C42)</f>
        <v>2023 Panini Hoops</v>
      </c>
      <c r="R42" s="58" t="str">
        <f t="shared" si="1"/>
        <v>-</v>
      </c>
      <c r="S42" s="58" t="str">
        <f>IFERROR(_xlfn.TEXTAFTER(_xlfn.XLOOKUP(A42,Collection!A:A,Collection!B:B,),"#"),"")</f>
        <v>295</v>
      </c>
      <c r="T42" s="60">
        <f t="shared" si="2"/>
        <v>1.96</v>
      </c>
      <c r="U42" s="54" t="s">
        <v>1550</v>
      </c>
      <c r="V42" s="58" t="str">
        <f>IF(ISNUMBER(MATCH(N42,Catalog!$B$4:$B$16, 0)), "Keep", "For Sale")</f>
        <v>For Sale</v>
      </c>
      <c r="W42" s="58">
        <f t="shared" si="3"/>
        <v>1</v>
      </c>
      <c r="X42" s="58">
        <f t="shared" si="4"/>
        <v>1</v>
      </c>
      <c r="Y42" s="60">
        <f t="shared" si="5"/>
        <v>2.5</v>
      </c>
      <c r="Z42" s="60">
        <f t="shared" si="6"/>
        <v>1.5</v>
      </c>
      <c r="AE42" t="s">
        <v>1695</v>
      </c>
      <c r="AF42"/>
      <c r="AG42" s="61">
        <v>299</v>
      </c>
      <c r="AH42"/>
      <c r="AI42" s="64" t="s">
        <v>1600</v>
      </c>
      <c r="AJ42" s="73">
        <v>3</v>
      </c>
    </row>
    <row r="43" spans="1:36" ht="14.4" x14ac:dyDescent="0.3">
      <c r="A43" s="13">
        <v>95654</v>
      </c>
      <c r="B43" s="13" t="s">
        <v>611</v>
      </c>
      <c r="C43" s="13" t="s">
        <v>607</v>
      </c>
      <c r="D43" s="13">
        <v>190</v>
      </c>
      <c r="E43" s="13" t="s">
        <v>171</v>
      </c>
      <c r="F43" s="13" t="s">
        <v>172</v>
      </c>
      <c r="H43" s="13" t="s">
        <v>612</v>
      </c>
      <c r="I43" s="13">
        <v>170</v>
      </c>
      <c r="J43" s="13">
        <v>1</v>
      </c>
      <c r="K43" s="14">
        <v>46154</v>
      </c>
      <c r="L43" s="14">
        <v>46154</v>
      </c>
      <c r="N43" s="13">
        <v>320</v>
      </c>
      <c r="P43" s="58" t="str">
        <f t="shared" si="0"/>
        <v>Luka Doncic</v>
      </c>
      <c r="Q43" s="58" t="str">
        <f>IFERROR(_xlfn.TEXTAFTER(_xlfn.XLOOKUP(A43,Collection!A:A,Collection!C:C,),"Cards "),C43)</f>
        <v>2019 Panini Prizm</v>
      </c>
      <c r="R43" s="58" t="str">
        <f t="shared" si="1"/>
        <v>-</v>
      </c>
      <c r="S43" s="58" t="str">
        <f>IFERROR(_xlfn.TEXTAFTER(_xlfn.XLOOKUP(A43,Collection!A:A,Collection!B:B,),"#"),"")</f>
        <v>75</v>
      </c>
      <c r="T43" s="60">
        <f t="shared" si="2"/>
        <v>1.9</v>
      </c>
      <c r="U43" s="54" t="s">
        <v>1550</v>
      </c>
      <c r="V43" s="58" t="str">
        <f>IF(ISNUMBER(MATCH(N43,Catalog!$B$4:$B$16, 0)), "Keep", "For Sale")</f>
        <v>For Sale</v>
      </c>
      <c r="W43" s="58">
        <f t="shared" si="3"/>
        <v>1</v>
      </c>
      <c r="X43" s="58">
        <f t="shared" si="4"/>
        <v>1</v>
      </c>
      <c r="Y43" s="60">
        <f t="shared" si="5"/>
        <v>2.5</v>
      </c>
      <c r="Z43" s="60">
        <f t="shared" si="6"/>
        <v>1.5</v>
      </c>
      <c r="AE43" t="s">
        <v>1619</v>
      </c>
      <c r="AF43"/>
      <c r="AG43" s="61">
        <v>296.33333333333331</v>
      </c>
      <c r="AH43"/>
      <c r="AI43" s="64" t="s">
        <v>1639</v>
      </c>
      <c r="AJ43" s="73">
        <v>3</v>
      </c>
    </row>
    <row r="44" spans="1:36" ht="14.4" x14ac:dyDescent="0.3">
      <c r="A44" s="13">
        <v>4116083</v>
      </c>
      <c r="B44" s="13" t="s">
        <v>882</v>
      </c>
      <c r="C44" s="13" t="s">
        <v>883</v>
      </c>
      <c r="D44" s="13">
        <v>188</v>
      </c>
      <c r="E44" s="13" t="s">
        <v>171</v>
      </c>
      <c r="F44" s="13" t="s">
        <v>172</v>
      </c>
      <c r="H44" s="13" t="s">
        <v>1003</v>
      </c>
      <c r="I44" s="13">
        <v>306</v>
      </c>
      <c r="J44" s="13">
        <v>1</v>
      </c>
      <c r="K44" s="14">
        <v>46164</v>
      </c>
      <c r="L44" s="14">
        <v>46159</v>
      </c>
      <c r="N44" s="13">
        <v>305</v>
      </c>
      <c r="P44" s="58" t="str">
        <f t="shared" si="0"/>
        <v>Luka Doncic</v>
      </c>
      <c r="Q44" s="58" t="str">
        <f>IFERROR(_xlfn.TEXTAFTER(_xlfn.XLOOKUP(A44,Collection!A:A,Collection!C:C,),"Cards "),C44)</f>
        <v>2021 Panini Donruss Optic Express Lane</v>
      </c>
      <c r="R44" s="58" t="str">
        <f t="shared" si="1"/>
        <v>Holo</v>
      </c>
      <c r="S44" s="58" t="str">
        <f>IFERROR(_xlfn.TEXTAFTER(_xlfn.XLOOKUP(A44,Collection!A:A,Collection!B:B,),"#"),"")</f>
        <v>7</v>
      </c>
      <c r="T44" s="60">
        <f t="shared" si="2"/>
        <v>1.88</v>
      </c>
      <c r="U44" s="54" t="s">
        <v>1550</v>
      </c>
      <c r="V44" s="58" t="str">
        <f>IF(ISNUMBER(MATCH(N44,Catalog!$B$4:$B$16, 0)), "Keep", "For Sale")</f>
        <v>For Sale</v>
      </c>
      <c r="W44" s="58">
        <f t="shared" si="3"/>
        <v>1</v>
      </c>
      <c r="X44" s="58">
        <f t="shared" si="4"/>
        <v>1</v>
      </c>
      <c r="Y44" s="60">
        <f t="shared" si="5"/>
        <v>4</v>
      </c>
      <c r="Z44" s="60">
        <f t="shared" si="6"/>
        <v>2</v>
      </c>
      <c r="AE44" t="s">
        <v>1604</v>
      </c>
      <c r="AF44"/>
      <c r="AG44" s="61">
        <v>287.5</v>
      </c>
      <c r="AH44"/>
      <c r="AI44" s="64" t="s">
        <v>1595</v>
      </c>
      <c r="AJ44" s="73">
        <v>2</v>
      </c>
    </row>
    <row r="45" spans="1:36" ht="14.4" x14ac:dyDescent="0.3">
      <c r="A45" s="13">
        <v>9259984</v>
      </c>
      <c r="B45" s="13" t="s">
        <v>598</v>
      </c>
      <c r="C45" s="13" t="s">
        <v>599</v>
      </c>
      <c r="D45" s="13">
        <v>188</v>
      </c>
      <c r="E45" s="13" t="s">
        <v>171</v>
      </c>
      <c r="F45" s="13" t="s">
        <v>172</v>
      </c>
      <c r="H45" s="13" t="s">
        <v>600</v>
      </c>
      <c r="I45" s="13">
        <v>302</v>
      </c>
      <c r="J45" s="13">
        <v>1</v>
      </c>
      <c r="K45" s="14">
        <v>46154</v>
      </c>
      <c r="L45" s="14">
        <v>46154</v>
      </c>
      <c r="N45" s="13">
        <v>241</v>
      </c>
      <c r="P45" s="58" t="str">
        <f t="shared" si="0"/>
        <v>Luka Doncic</v>
      </c>
      <c r="Q45" s="58" t="str">
        <f>IFERROR(_xlfn.TEXTAFTER(_xlfn.XLOOKUP(A45,Collection!A:A,Collection!C:C,),"Cards "),C45)</f>
        <v>2024 Panini Revolution</v>
      </c>
      <c r="R45" s="58" t="str">
        <f t="shared" si="1"/>
        <v>Astro</v>
      </c>
      <c r="S45" s="58" t="str">
        <f>IFERROR(_xlfn.TEXTAFTER(_xlfn.XLOOKUP(A45,Collection!A:A,Collection!B:B,),"#"),"")</f>
        <v>13</v>
      </c>
      <c r="T45" s="60">
        <f t="shared" si="2"/>
        <v>1.88</v>
      </c>
      <c r="U45" s="54" t="s">
        <v>1550</v>
      </c>
      <c r="V45" s="58" t="str">
        <f>IF(ISNUMBER(MATCH(N45,Catalog!$B$4:$B$16, 0)), "Keep", "For Sale")</f>
        <v>For Sale</v>
      </c>
      <c r="W45" s="58">
        <f t="shared" si="3"/>
        <v>1</v>
      </c>
      <c r="X45" s="58">
        <f t="shared" si="4"/>
        <v>1</v>
      </c>
      <c r="Y45" s="60">
        <f t="shared" si="5"/>
        <v>4</v>
      </c>
      <c r="Z45" s="60">
        <f t="shared" si="6"/>
        <v>2</v>
      </c>
      <c r="AE45" t="s">
        <v>1643</v>
      </c>
      <c r="AF45"/>
      <c r="AG45" s="61">
        <v>285</v>
      </c>
      <c r="AH45"/>
      <c r="AI45" s="64" t="s">
        <v>1684</v>
      </c>
      <c r="AJ45" s="73">
        <v>2</v>
      </c>
    </row>
    <row r="46" spans="1:36" ht="14.4" x14ac:dyDescent="0.3">
      <c r="A46" s="13">
        <v>5289892</v>
      </c>
      <c r="B46" s="13" t="s">
        <v>386</v>
      </c>
      <c r="C46" s="13" t="s">
        <v>387</v>
      </c>
      <c r="D46" s="13">
        <v>186</v>
      </c>
      <c r="E46" s="13" t="s">
        <v>171</v>
      </c>
      <c r="F46" s="13" t="s">
        <v>172</v>
      </c>
      <c r="H46" s="13" t="s">
        <v>388</v>
      </c>
      <c r="I46" s="13">
        <v>378</v>
      </c>
      <c r="J46" s="13">
        <v>1</v>
      </c>
      <c r="K46" s="14">
        <v>46151</v>
      </c>
      <c r="L46" s="14">
        <v>46146</v>
      </c>
      <c r="N46" s="13">
        <v>311</v>
      </c>
      <c r="P46" s="58" t="str">
        <f t="shared" si="0"/>
        <v>Luka Doncic</v>
      </c>
      <c r="Q46" s="58" t="str">
        <f>IFERROR(_xlfn.TEXTAFTER(_xlfn.XLOOKUP(A46,Collection!A:A,Collection!C:C,),"Cards "),C46)</f>
        <v>2022 Panini Donruss Optic T Minus 3 2 1</v>
      </c>
      <c r="R46" s="58" t="str">
        <f t="shared" si="1"/>
        <v>Purple</v>
      </c>
      <c r="S46" s="58" t="str">
        <f>IFERROR(_xlfn.TEXTAFTER(_xlfn.XLOOKUP(A46,Collection!A:A,Collection!B:B,),"#"),"")</f>
        <v>7</v>
      </c>
      <c r="T46" s="60">
        <f t="shared" si="2"/>
        <v>1.86</v>
      </c>
      <c r="U46" s="54" t="s">
        <v>1550</v>
      </c>
      <c r="V46" s="58" t="str">
        <f>IF(ISNUMBER(MATCH(N46,Catalog!$B$4:$B$16, 0)), "Keep", "For Sale")</f>
        <v>For Sale</v>
      </c>
      <c r="W46" s="58">
        <f t="shared" si="3"/>
        <v>1</v>
      </c>
      <c r="X46" s="58">
        <f t="shared" si="4"/>
        <v>1</v>
      </c>
      <c r="Y46" s="60">
        <f t="shared" si="5"/>
        <v>5</v>
      </c>
      <c r="Z46" s="60">
        <f t="shared" si="6"/>
        <v>2</v>
      </c>
      <c r="AE46" t="s">
        <v>1678</v>
      </c>
      <c r="AF46"/>
      <c r="AG46" s="61">
        <v>282</v>
      </c>
      <c r="AH46"/>
      <c r="AI46" s="64" t="s">
        <v>1594</v>
      </c>
      <c r="AJ46" s="73">
        <v>2</v>
      </c>
    </row>
    <row r="47" spans="1:36" ht="14.4" x14ac:dyDescent="0.3">
      <c r="A47" s="13">
        <v>10121893</v>
      </c>
      <c r="B47" s="13" t="s">
        <v>1023</v>
      </c>
      <c r="C47" s="13" t="s">
        <v>880</v>
      </c>
      <c r="D47" s="13">
        <v>185</v>
      </c>
      <c r="E47" s="13" t="s">
        <v>171</v>
      </c>
      <c r="F47" s="13" t="s">
        <v>172</v>
      </c>
      <c r="H47" s="13" t="s">
        <v>986</v>
      </c>
      <c r="I47" s="13">
        <v>33</v>
      </c>
      <c r="J47" s="13">
        <v>1</v>
      </c>
      <c r="K47" s="14">
        <v>46163</v>
      </c>
      <c r="L47" s="14">
        <v>46156</v>
      </c>
      <c r="N47" s="13">
        <v>318</v>
      </c>
      <c r="P47" s="58" t="str">
        <f t="shared" si="0"/>
        <v>Luka Doncic</v>
      </c>
      <c r="Q47" s="58" t="str">
        <f>IFERROR(_xlfn.TEXTAFTER(_xlfn.XLOOKUP(A47,Collection!A:A,Collection!C:C,),"Cards "),C47)</f>
        <v>2024 Panini Haunted Hoops</v>
      </c>
      <c r="R47" s="58" t="str">
        <f t="shared" si="1"/>
        <v>-</v>
      </c>
      <c r="S47" s="58" t="str">
        <f>IFERROR(_xlfn.TEXTAFTER(_xlfn.XLOOKUP(A47,Collection!A:A,Collection!B:B,),"#"),"")</f>
        <v>134</v>
      </c>
      <c r="T47" s="60">
        <f t="shared" si="2"/>
        <v>1.85</v>
      </c>
      <c r="U47" s="54" t="s">
        <v>1550</v>
      </c>
      <c r="V47" s="58" t="str">
        <f>IF(ISNUMBER(MATCH(N47,Catalog!$B$4:$B$16, 0)), "Keep", "For Sale")</f>
        <v>For Sale</v>
      </c>
      <c r="W47" s="58">
        <f t="shared" si="3"/>
        <v>1</v>
      </c>
      <c r="X47" s="58">
        <f t="shared" si="4"/>
        <v>1</v>
      </c>
      <c r="Y47" s="60">
        <f t="shared" si="5"/>
        <v>2</v>
      </c>
      <c r="Z47" s="60">
        <f t="shared" si="6"/>
        <v>0.25</v>
      </c>
      <c r="AE47" t="s">
        <v>1662</v>
      </c>
      <c r="AF47"/>
      <c r="AG47" s="61">
        <v>281</v>
      </c>
      <c r="AH47"/>
      <c r="AI47" s="64" t="s">
        <v>1638</v>
      </c>
      <c r="AJ47" s="73">
        <v>2</v>
      </c>
    </row>
    <row r="48" spans="1:36" ht="14.4" x14ac:dyDescent="0.3">
      <c r="A48" s="13">
        <v>5750462</v>
      </c>
      <c r="B48" s="13" t="s">
        <v>1070</v>
      </c>
      <c r="C48" s="13" t="s">
        <v>1071</v>
      </c>
      <c r="D48" s="13">
        <v>179</v>
      </c>
      <c r="E48" s="13" t="s">
        <v>171</v>
      </c>
      <c r="F48" s="13" t="s">
        <v>172</v>
      </c>
      <c r="H48" s="13" t="s">
        <v>1066</v>
      </c>
      <c r="I48" s="13">
        <v>174</v>
      </c>
      <c r="J48" s="13">
        <v>1</v>
      </c>
      <c r="K48" s="14">
        <v>46166</v>
      </c>
      <c r="L48" s="14">
        <v>46164</v>
      </c>
      <c r="N48" s="13">
        <v>326</v>
      </c>
      <c r="P48" s="58" t="str">
        <f t="shared" si="0"/>
        <v>Luka Doncic</v>
      </c>
      <c r="Q48" s="58" t="str">
        <f>IFERROR(_xlfn.TEXTAFTER(_xlfn.XLOOKUP(A48,Collection!A:A,Collection!C:C,),"Cards "),C48)</f>
        <v>2022 Panini Mosaic Thunder Road</v>
      </c>
      <c r="R48" s="58" t="str">
        <f t="shared" si="1"/>
        <v>-</v>
      </c>
      <c r="S48" s="58" t="str">
        <f>IFERROR(_xlfn.TEXTAFTER(_xlfn.XLOOKUP(A48,Collection!A:A,Collection!B:B,),"#"),"")</f>
        <v>9</v>
      </c>
      <c r="T48" s="60">
        <f t="shared" si="2"/>
        <v>1.79</v>
      </c>
      <c r="U48" s="54" t="s">
        <v>1550</v>
      </c>
      <c r="V48" s="58" t="str">
        <f>IF(ISNUMBER(MATCH(N48,Catalog!$B$4:$B$16, 0)), "Keep", "For Sale")</f>
        <v>For Sale</v>
      </c>
      <c r="W48" s="58">
        <f t="shared" si="3"/>
        <v>1</v>
      </c>
      <c r="X48" s="58">
        <f t="shared" si="4"/>
        <v>1</v>
      </c>
      <c r="Y48" s="60">
        <f t="shared" si="5"/>
        <v>2</v>
      </c>
      <c r="Z48" s="60">
        <f t="shared" si="6"/>
        <v>1.5</v>
      </c>
      <c r="AE48" t="s">
        <v>1690</v>
      </c>
      <c r="AF48"/>
      <c r="AG48" s="61">
        <v>256</v>
      </c>
      <c r="AH48"/>
      <c r="AI48" s="64" t="s">
        <v>1608</v>
      </c>
      <c r="AJ48" s="73">
        <v>2</v>
      </c>
    </row>
    <row r="49" spans="1:36" ht="14.4" x14ac:dyDescent="0.3">
      <c r="A49" s="13">
        <v>2482733</v>
      </c>
      <c r="B49" s="13" t="s">
        <v>1296</v>
      </c>
      <c r="C49" s="13" t="s">
        <v>1002</v>
      </c>
      <c r="D49" s="13">
        <v>175</v>
      </c>
      <c r="E49" s="13" t="s">
        <v>171</v>
      </c>
      <c r="F49" s="13" t="s">
        <v>172</v>
      </c>
      <c r="H49" s="13" t="s">
        <v>1155</v>
      </c>
      <c r="I49" s="13">
        <v>110</v>
      </c>
      <c r="J49" s="13">
        <v>1</v>
      </c>
      <c r="K49" s="14">
        <v>46182</v>
      </c>
      <c r="L49" s="14">
        <v>46181</v>
      </c>
      <c r="N49" s="13">
        <v>333</v>
      </c>
      <c r="P49" s="58" t="str">
        <f t="shared" si="0"/>
        <v>Luka Doncic</v>
      </c>
      <c r="Q49" s="58" t="str">
        <f>IFERROR(_xlfn.TEXTAFTER(_xlfn.XLOOKUP(A49,Collection!A:A,Collection!C:C,),"Cards "),C49)</f>
        <v>2020 Panini Select</v>
      </c>
      <c r="R49" s="58" t="str">
        <f t="shared" si="1"/>
        <v>-</v>
      </c>
      <c r="S49" s="58" t="str">
        <f>IFERROR(_xlfn.TEXTAFTER(_xlfn.XLOOKUP(A49,Collection!A:A,Collection!B:B,),"#"),"")</f>
        <v>15</v>
      </c>
      <c r="T49" s="60">
        <f t="shared" si="2"/>
        <v>1.75</v>
      </c>
      <c r="U49" s="54" t="s">
        <v>1550</v>
      </c>
      <c r="V49" s="58" t="str">
        <f>IF(ISNUMBER(MATCH(N49,Catalog!$B$4:$B$16, 0)), "Keep", "For Sale")</f>
        <v>For Sale</v>
      </c>
      <c r="W49" s="58">
        <f t="shared" si="3"/>
        <v>1</v>
      </c>
      <c r="X49" s="58">
        <f t="shared" si="4"/>
        <v>1</v>
      </c>
      <c r="Y49" s="60">
        <f t="shared" si="5"/>
        <v>2</v>
      </c>
      <c r="Z49" s="60">
        <f t="shared" si="6"/>
        <v>1</v>
      </c>
      <c r="AE49" t="s">
        <v>1633</v>
      </c>
      <c r="AF49"/>
      <c r="AG49" s="61">
        <v>254.5</v>
      </c>
      <c r="AH49"/>
      <c r="AI49" s="64" t="s">
        <v>1614</v>
      </c>
      <c r="AJ49" s="73">
        <v>2</v>
      </c>
    </row>
    <row r="50" spans="1:36" ht="14.4" x14ac:dyDescent="0.3">
      <c r="A50" s="13">
        <v>2948779</v>
      </c>
      <c r="B50" s="13" t="s">
        <v>550</v>
      </c>
      <c r="C50" s="13" t="s">
        <v>551</v>
      </c>
      <c r="D50" s="13">
        <v>174</v>
      </c>
      <c r="E50" s="13" t="s">
        <v>171</v>
      </c>
      <c r="F50" s="13" t="s">
        <v>172</v>
      </c>
      <c r="H50" s="13" t="s">
        <v>533</v>
      </c>
      <c r="I50" s="13">
        <v>280</v>
      </c>
      <c r="J50" s="13">
        <v>1</v>
      </c>
      <c r="K50" s="14">
        <v>46154</v>
      </c>
      <c r="L50" s="14">
        <v>46148</v>
      </c>
      <c r="N50" s="13">
        <v>365</v>
      </c>
      <c r="P50" s="58" t="str">
        <f t="shared" si="0"/>
        <v>Luka Doncic</v>
      </c>
      <c r="Q50" s="58" t="str">
        <f>IFERROR(_xlfn.TEXTAFTER(_xlfn.XLOOKUP(A50,Collection!A:A,Collection!C:C,),"Cards "),C50)</f>
        <v>2020 Panini Chronicles</v>
      </c>
      <c r="R50" s="58" t="str">
        <f t="shared" si="1"/>
        <v>Pink</v>
      </c>
      <c r="S50" s="58" t="str">
        <f>IFERROR(_xlfn.TEXTAFTER(_xlfn.XLOOKUP(A50,Collection!A:A,Collection!B:B,),"#"),"")</f>
        <v>228</v>
      </c>
      <c r="T50" s="60">
        <f t="shared" si="2"/>
        <v>1.74</v>
      </c>
      <c r="U50" s="54" t="s">
        <v>1550</v>
      </c>
      <c r="V50" s="58" t="str">
        <f>IF(ISNUMBER(MATCH(N50,Catalog!$B$4:$B$16, 0)), "Keep", "For Sale")</f>
        <v>For Sale</v>
      </c>
      <c r="W50" s="58">
        <f t="shared" si="3"/>
        <v>1</v>
      </c>
      <c r="X50" s="58">
        <f t="shared" si="4"/>
        <v>1</v>
      </c>
      <c r="Y50" s="60">
        <f t="shared" si="5"/>
        <v>3</v>
      </c>
      <c r="Z50" s="60">
        <f t="shared" si="6"/>
        <v>1.5</v>
      </c>
      <c r="AE50" t="s">
        <v>1598</v>
      </c>
      <c r="AF50"/>
      <c r="AG50" s="61">
        <v>251.33333333333334</v>
      </c>
      <c r="AH50"/>
      <c r="AI50" s="64" t="s">
        <v>1658</v>
      </c>
      <c r="AJ50" s="73">
        <v>2</v>
      </c>
    </row>
    <row r="51" spans="1:36" ht="14.4" x14ac:dyDescent="0.3">
      <c r="A51" s="13">
        <v>8537640</v>
      </c>
      <c r="B51" s="13" t="s">
        <v>680</v>
      </c>
      <c r="C51" s="13" t="s">
        <v>672</v>
      </c>
      <c r="D51" s="13">
        <v>171</v>
      </c>
      <c r="E51" s="13" t="s">
        <v>171</v>
      </c>
      <c r="F51" s="13" t="s">
        <v>172</v>
      </c>
      <c r="H51" s="13" t="s">
        <v>533</v>
      </c>
      <c r="I51" s="13">
        <v>280</v>
      </c>
      <c r="J51" s="13">
        <v>1</v>
      </c>
      <c r="K51" s="14">
        <v>46154</v>
      </c>
      <c r="L51" s="14">
        <v>46148</v>
      </c>
      <c r="N51" s="13">
        <v>361</v>
      </c>
      <c r="P51" s="58" t="str">
        <f t="shared" si="0"/>
        <v>Luka Doncic</v>
      </c>
      <c r="Q51" s="58" t="str">
        <f>IFERROR(_xlfn.TEXTAFTER(_xlfn.XLOOKUP(A51,Collection!A:A,Collection!C:C,),"Cards "),C51)</f>
        <v>2024 Panini Prizm</v>
      </c>
      <c r="R51" s="58" t="str">
        <f t="shared" si="1"/>
        <v>-</v>
      </c>
      <c r="S51" s="58" t="str">
        <f>IFERROR(_xlfn.TEXTAFTER(_xlfn.XLOOKUP(A51,Collection!A:A,Collection!B:B,),"#"),"")</f>
        <v>89</v>
      </c>
      <c r="T51" s="60">
        <f t="shared" si="2"/>
        <v>1.71</v>
      </c>
      <c r="U51" s="54" t="s">
        <v>1550</v>
      </c>
      <c r="V51" s="58" t="str">
        <f>IF(ISNUMBER(MATCH(N51,Catalog!$B$4:$B$16, 0)), "Keep", "For Sale")</f>
        <v>For Sale</v>
      </c>
      <c r="W51" s="58">
        <f t="shared" si="3"/>
        <v>1</v>
      </c>
      <c r="X51" s="58">
        <f t="shared" si="4"/>
        <v>1</v>
      </c>
      <c r="Y51" s="60">
        <f t="shared" si="5"/>
        <v>3</v>
      </c>
      <c r="Z51" s="60">
        <f t="shared" si="6"/>
        <v>1.5</v>
      </c>
      <c r="AE51" t="s">
        <v>1810</v>
      </c>
      <c r="AF51"/>
      <c r="AG51" s="61">
        <v>249</v>
      </c>
      <c r="AH51"/>
      <c r="AI51" s="64" t="s">
        <v>1652</v>
      </c>
      <c r="AJ51" s="73">
        <v>2</v>
      </c>
    </row>
    <row r="52" spans="1:36" ht="14.4" x14ac:dyDescent="0.3">
      <c r="A52" s="13">
        <v>9265985</v>
      </c>
      <c r="B52" s="13" t="s">
        <v>575</v>
      </c>
      <c r="C52" s="13" t="s">
        <v>625</v>
      </c>
      <c r="D52" s="13">
        <v>169</v>
      </c>
      <c r="E52" s="13" t="s">
        <v>171</v>
      </c>
      <c r="F52" s="13" t="s">
        <v>172</v>
      </c>
      <c r="H52" s="13" t="s">
        <v>577</v>
      </c>
      <c r="I52" s="13">
        <v>298</v>
      </c>
      <c r="J52" s="13">
        <v>1</v>
      </c>
      <c r="K52" s="14">
        <v>46154</v>
      </c>
      <c r="L52" s="14">
        <v>46148</v>
      </c>
      <c r="N52" s="13">
        <v>378</v>
      </c>
      <c r="P52" s="58" t="str">
        <f t="shared" si="0"/>
        <v>Luka Doncic</v>
      </c>
      <c r="Q52" s="58" t="str">
        <f>IFERROR(_xlfn.TEXTAFTER(_xlfn.XLOOKUP(A52,Collection!A:A,Collection!C:C,),"Cards "),C52)</f>
        <v>2024 Panini Revolution Hardwood Legacy</v>
      </c>
      <c r="R52" s="58" t="str">
        <f t="shared" si="1"/>
        <v>-</v>
      </c>
      <c r="S52" s="58" t="str">
        <f>IFERROR(_xlfn.TEXTAFTER(_xlfn.XLOOKUP(A52,Collection!A:A,Collection!B:B,),"#"),"")</f>
        <v>1</v>
      </c>
      <c r="T52" s="60">
        <f t="shared" si="2"/>
        <v>1.69</v>
      </c>
      <c r="U52" s="54" t="s">
        <v>1550</v>
      </c>
      <c r="V52" s="58" t="str">
        <f>IF(ISNUMBER(MATCH(N52,Catalog!$B$4:$B$16, 0)), "Keep", "For Sale")</f>
        <v>For Sale</v>
      </c>
      <c r="W52" s="58">
        <f t="shared" si="3"/>
        <v>1</v>
      </c>
      <c r="X52" s="58">
        <f t="shared" si="4"/>
        <v>1</v>
      </c>
      <c r="Y52" s="60">
        <f t="shared" si="5"/>
        <v>4</v>
      </c>
      <c r="Z52" s="60">
        <f t="shared" si="6"/>
        <v>1.5</v>
      </c>
      <c r="AE52" t="s">
        <v>1696</v>
      </c>
      <c r="AF52"/>
      <c r="AG52" s="61">
        <v>238</v>
      </c>
      <c r="AH52"/>
      <c r="AI52" s="64" t="s">
        <v>1629</v>
      </c>
      <c r="AJ52" s="73">
        <v>2</v>
      </c>
    </row>
    <row r="53" spans="1:36" ht="14.4" x14ac:dyDescent="0.3">
      <c r="A53" s="13">
        <v>5001342</v>
      </c>
      <c r="B53" s="13" t="s">
        <v>531</v>
      </c>
      <c r="C53" s="13" t="s">
        <v>532</v>
      </c>
      <c r="D53" s="13">
        <v>167</v>
      </c>
      <c r="E53" s="13" t="s">
        <v>171</v>
      </c>
      <c r="F53" s="13" t="s">
        <v>172</v>
      </c>
      <c r="H53" s="13" t="s">
        <v>533</v>
      </c>
      <c r="I53" s="13">
        <v>280</v>
      </c>
      <c r="J53" s="13">
        <v>1</v>
      </c>
      <c r="K53" s="14">
        <v>46154</v>
      </c>
      <c r="L53" s="14">
        <v>46148</v>
      </c>
      <c r="N53" s="13">
        <v>362</v>
      </c>
      <c r="P53" s="58" t="str">
        <f t="shared" si="0"/>
        <v>Luka Doncic</v>
      </c>
      <c r="Q53" s="58" t="str">
        <f>IFERROR(_xlfn.TEXTAFTER(_xlfn.XLOOKUP(A53,Collection!A:A,Collection!C:C,),"Cards "),C53)</f>
        <v>2022 Panini Donruss Magicians</v>
      </c>
      <c r="R53" s="58" t="str">
        <f t="shared" si="1"/>
        <v>-</v>
      </c>
      <c r="S53" s="58" t="str">
        <f>IFERROR(_xlfn.TEXTAFTER(_xlfn.XLOOKUP(A53,Collection!A:A,Collection!B:B,),"#"),"")</f>
        <v>2</v>
      </c>
      <c r="T53" s="60">
        <f t="shared" si="2"/>
        <v>1.67</v>
      </c>
      <c r="U53" s="54" t="s">
        <v>1550</v>
      </c>
      <c r="V53" s="58" t="str">
        <f>IF(ISNUMBER(MATCH(N53,Catalog!$B$4:$B$16, 0)), "Keep", "For Sale")</f>
        <v>For Sale</v>
      </c>
      <c r="W53" s="58">
        <f t="shared" si="3"/>
        <v>1</v>
      </c>
      <c r="X53" s="58">
        <f t="shared" si="4"/>
        <v>1</v>
      </c>
      <c r="Y53" s="60">
        <f t="shared" si="5"/>
        <v>3</v>
      </c>
      <c r="Z53" s="60">
        <f t="shared" si="6"/>
        <v>1.5</v>
      </c>
      <c r="AE53" t="s">
        <v>1557</v>
      </c>
      <c r="AF53"/>
      <c r="AG53" s="61">
        <v>235</v>
      </c>
      <c r="AH53"/>
      <c r="AI53" s="64" t="s">
        <v>1637</v>
      </c>
      <c r="AJ53" s="73">
        <v>2</v>
      </c>
    </row>
    <row r="54" spans="1:36" ht="14.4" x14ac:dyDescent="0.3">
      <c r="A54" s="13">
        <v>2945900</v>
      </c>
      <c r="B54" s="13" t="s">
        <v>1260</v>
      </c>
      <c r="C54" s="13" t="s">
        <v>551</v>
      </c>
      <c r="D54" s="13">
        <v>163</v>
      </c>
      <c r="E54" s="13" t="s">
        <v>171</v>
      </c>
      <c r="F54" s="13" t="s">
        <v>172</v>
      </c>
      <c r="H54" s="13" t="s">
        <v>1244</v>
      </c>
      <c r="I54" s="13">
        <v>110</v>
      </c>
      <c r="J54" s="13">
        <v>1</v>
      </c>
      <c r="K54" s="14">
        <v>46182</v>
      </c>
      <c r="L54" s="14">
        <v>46181</v>
      </c>
      <c r="N54" s="13">
        <v>566</v>
      </c>
      <c r="P54" s="58" t="str">
        <f t="shared" si="0"/>
        <v>Luka Doncic</v>
      </c>
      <c r="Q54" s="58" t="str">
        <f>IFERROR(_xlfn.TEXTAFTER(_xlfn.XLOOKUP(A54,Collection!A:A,Collection!C:C,),"Cards "),C54)</f>
        <v>2020 Panini Chronicles</v>
      </c>
      <c r="R54" s="58" t="str">
        <f t="shared" si="1"/>
        <v>-</v>
      </c>
      <c r="S54" s="58" t="str">
        <f>IFERROR(_xlfn.TEXTAFTER(_xlfn.XLOOKUP(A54,Collection!A:A,Collection!B:B,),"#"),"")</f>
        <v>300</v>
      </c>
      <c r="T54" s="60">
        <f t="shared" si="2"/>
        <v>1.63</v>
      </c>
      <c r="U54" s="54" t="s">
        <v>1550</v>
      </c>
      <c r="V54" s="58" t="str">
        <f>IF(ISNUMBER(MATCH(N54,Catalog!$B$4:$B$16, 0)), "Keep", "For Sale")</f>
        <v>For Sale</v>
      </c>
      <c r="W54" s="58">
        <f t="shared" si="3"/>
        <v>1</v>
      </c>
      <c r="X54" s="58">
        <f t="shared" si="4"/>
        <v>1</v>
      </c>
      <c r="Y54" s="60">
        <f t="shared" si="5"/>
        <v>2</v>
      </c>
      <c r="Z54" s="60">
        <f t="shared" si="6"/>
        <v>1</v>
      </c>
      <c r="AE54" t="s">
        <v>1683</v>
      </c>
      <c r="AF54"/>
      <c r="AG54" s="61">
        <v>233</v>
      </c>
      <c r="AH54"/>
      <c r="AI54" s="64" t="s">
        <v>1668</v>
      </c>
      <c r="AJ54" s="73">
        <v>2</v>
      </c>
    </row>
    <row r="55" spans="1:36" ht="14.4" x14ac:dyDescent="0.3">
      <c r="A55" s="13">
        <v>4245780</v>
      </c>
      <c r="B55" s="13" t="s">
        <v>1104</v>
      </c>
      <c r="C55" s="13" t="s">
        <v>1085</v>
      </c>
      <c r="D55" s="13">
        <v>160</v>
      </c>
      <c r="E55" s="13" t="s">
        <v>171</v>
      </c>
      <c r="F55" s="13" t="s">
        <v>172</v>
      </c>
      <c r="H55" s="13" t="s">
        <v>1105</v>
      </c>
      <c r="I55" s="13">
        <v>488</v>
      </c>
      <c r="J55" s="13">
        <v>1</v>
      </c>
      <c r="K55" s="14">
        <v>46166</v>
      </c>
      <c r="L55" s="14">
        <v>46161</v>
      </c>
      <c r="N55" s="13">
        <v>384</v>
      </c>
      <c r="P55" s="58" t="str">
        <f t="shared" si="0"/>
        <v>Luka Doncic</v>
      </c>
      <c r="Q55" s="58" t="str">
        <f>IFERROR(_xlfn.TEXTAFTER(_xlfn.XLOOKUP(A55,Collection!A:A,Collection!C:C,),"Cards "),C55)</f>
        <v>2021 Panini Select Numbers</v>
      </c>
      <c r="R55" s="58" t="str">
        <f t="shared" si="1"/>
        <v>-</v>
      </c>
      <c r="S55" s="58" t="str">
        <f>IFERROR(_xlfn.TEXTAFTER(_xlfn.XLOOKUP(A55,Collection!A:A,Collection!B:B,),"#"),"")</f>
        <v>7</v>
      </c>
      <c r="T55" s="60">
        <f t="shared" si="2"/>
        <v>1.6</v>
      </c>
      <c r="U55" s="54" t="s">
        <v>1550</v>
      </c>
      <c r="V55" s="58" t="str">
        <f>IF(ISNUMBER(MATCH(N55,Catalog!$B$4:$B$16, 0)), "Keep", "For Sale")</f>
        <v>For Sale</v>
      </c>
      <c r="W55" s="58">
        <f t="shared" si="3"/>
        <v>1</v>
      </c>
      <c r="X55" s="58">
        <f t="shared" si="4"/>
        <v>1</v>
      </c>
      <c r="Y55" s="60">
        <f t="shared" si="5"/>
        <v>6</v>
      </c>
      <c r="Z55" s="60">
        <f t="shared" si="6"/>
        <v>1.5</v>
      </c>
      <c r="AE55" t="s">
        <v>1565</v>
      </c>
      <c r="AF55"/>
      <c r="AG55" s="61">
        <v>232.66666666666666</v>
      </c>
      <c r="AH55"/>
      <c r="AI55" s="64" t="s">
        <v>1570</v>
      </c>
      <c r="AJ55" s="73">
        <v>2</v>
      </c>
    </row>
    <row r="56" spans="1:36" ht="14.4" x14ac:dyDescent="0.3">
      <c r="A56" s="13">
        <v>6421639</v>
      </c>
      <c r="B56" s="13" t="s">
        <v>1097</v>
      </c>
      <c r="C56" s="13" t="s">
        <v>1098</v>
      </c>
      <c r="D56" s="13">
        <v>160</v>
      </c>
      <c r="E56" s="13" t="s">
        <v>171</v>
      </c>
      <c r="F56" s="13" t="s">
        <v>172</v>
      </c>
      <c r="H56" s="13" t="s">
        <v>1081</v>
      </c>
      <c r="I56" s="13">
        <v>190</v>
      </c>
      <c r="J56" s="13">
        <v>1</v>
      </c>
      <c r="K56" s="14">
        <v>46166</v>
      </c>
      <c r="L56" s="14">
        <v>46164</v>
      </c>
      <c r="N56" s="13">
        <v>484</v>
      </c>
      <c r="P56" s="58" t="str">
        <f t="shared" si="0"/>
        <v>Luka Doncic</v>
      </c>
      <c r="Q56" s="58" t="str">
        <f>IFERROR(_xlfn.TEXTAFTER(_xlfn.XLOOKUP(A56,Collection!A:A,Collection!C:C,),"Cards "),C56)</f>
        <v>2023 Panini Prizm Deep Space</v>
      </c>
      <c r="R56" s="58" t="str">
        <f t="shared" si="1"/>
        <v>-</v>
      </c>
      <c r="S56" s="58" t="str">
        <f>IFERROR(_xlfn.TEXTAFTER(_xlfn.XLOOKUP(A56,Collection!A:A,Collection!B:B,),"#"),"")</f>
        <v>6</v>
      </c>
      <c r="T56" s="60">
        <f t="shared" si="2"/>
        <v>1.6</v>
      </c>
      <c r="U56" s="54" t="s">
        <v>1550</v>
      </c>
      <c r="V56" s="58" t="str">
        <f>IF(ISNUMBER(MATCH(N56,Catalog!$B$4:$B$16, 0)), "Keep", "For Sale")</f>
        <v>For Sale</v>
      </c>
      <c r="W56" s="58">
        <f t="shared" si="3"/>
        <v>1</v>
      </c>
      <c r="X56" s="58">
        <f t="shared" si="4"/>
        <v>1</v>
      </c>
      <c r="Y56" s="60">
        <f t="shared" si="5"/>
        <v>2.5</v>
      </c>
      <c r="Z56" s="60">
        <f t="shared" si="6"/>
        <v>1.5</v>
      </c>
      <c r="AE56" t="s">
        <v>1698</v>
      </c>
      <c r="AF56"/>
      <c r="AG56" s="61">
        <v>223</v>
      </c>
      <c r="AH56"/>
      <c r="AI56" s="8" t="s">
        <v>1798</v>
      </c>
      <c r="AJ56" s="73">
        <v>2</v>
      </c>
    </row>
    <row r="57" spans="1:36" ht="14.4" x14ac:dyDescent="0.3">
      <c r="A57" s="13">
        <v>6422084</v>
      </c>
      <c r="B57" s="13" t="s">
        <v>575</v>
      </c>
      <c r="C57" s="13" t="s">
        <v>576</v>
      </c>
      <c r="D57" s="13">
        <v>158</v>
      </c>
      <c r="E57" s="13" t="s">
        <v>171</v>
      </c>
      <c r="F57" s="13" t="s">
        <v>172</v>
      </c>
      <c r="H57" s="13" t="s">
        <v>577</v>
      </c>
      <c r="I57" s="13">
        <v>298</v>
      </c>
      <c r="J57" s="13">
        <v>1</v>
      </c>
      <c r="K57" s="14">
        <v>46154</v>
      </c>
      <c r="L57" s="14">
        <v>46148</v>
      </c>
      <c r="N57" s="13">
        <v>387</v>
      </c>
      <c r="P57" s="58" t="str">
        <f t="shared" si="0"/>
        <v>Luka Doncic</v>
      </c>
      <c r="Q57" s="58" t="str">
        <f>IFERROR(_xlfn.TEXTAFTER(_xlfn.XLOOKUP(A57,Collection!A:A,Collection!C:C,),"Cards "),C57)</f>
        <v>2023 Panini Prizm Global Reach</v>
      </c>
      <c r="R57" s="58" t="str">
        <f t="shared" si="1"/>
        <v>-</v>
      </c>
      <c r="S57" s="58" t="str">
        <f>IFERROR(_xlfn.TEXTAFTER(_xlfn.XLOOKUP(A57,Collection!A:A,Collection!B:B,),"#"),"")</f>
        <v>1</v>
      </c>
      <c r="T57" s="60">
        <f t="shared" si="2"/>
        <v>1.58</v>
      </c>
      <c r="U57" s="54" t="s">
        <v>1550</v>
      </c>
      <c r="V57" s="58" t="str">
        <f>IF(ISNUMBER(MATCH(N57,Catalog!$B$4:$B$16, 0)), "Keep", "For Sale")</f>
        <v>For Sale</v>
      </c>
      <c r="W57" s="58">
        <f t="shared" si="3"/>
        <v>1</v>
      </c>
      <c r="X57" s="58">
        <f t="shared" si="4"/>
        <v>1</v>
      </c>
      <c r="Y57" s="60">
        <f t="shared" si="5"/>
        <v>4</v>
      </c>
      <c r="Z57" s="60">
        <f t="shared" si="6"/>
        <v>1.5</v>
      </c>
      <c r="AE57" t="s">
        <v>1558</v>
      </c>
      <c r="AF57"/>
      <c r="AG57" s="61">
        <v>222</v>
      </c>
      <c r="AH57"/>
      <c r="AI57" s="64" t="s">
        <v>1604</v>
      </c>
      <c r="AJ57" s="73">
        <v>2</v>
      </c>
    </row>
    <row r="58" spans="1:36" ht="14.4" x14ac:dyDescent="0.3">
      <c r="A58" s="13">
        <v>4116797</v>
      </c>
      <c r="B58" s="13" t="s">
        <v>257</v>
      </c>
      <c r="C58" s="13" t="s">
        <v>258</v>
      </c>
      <c r="D58" s="13">
        <v>155</v>
      </c>
      <c r="E58" s="13" t="s">
        <v>171</v>
      </c>
      <c r="F58" s="13" t="s">
        <v>172</v>
      </c>
      <c r="H58" s="13" t="s">
        <v>259</v>
      </c>
      <c r="I58" s="13">
        <v>503</v>
      </c>
      <c r="J58" s="13">
        <v>1</v>
      </c>
      <c r="K58" s="14">
        <v>46151</v>
      </c>
      <c r="L58" s="14">
        <v>46146</v>
      </c>
      <c r="N58" s="13">
        <v>397</v>
      </c>
      <c r="P58" s="58" t="str">
        <f t="shared" si="0"/>
        <v>Luka Doncic</v>
      </c>
      <c r="Q58" s="58" t="str">
        <f>IFERROR(_xlfn.TEXTAFTER(_xlfn.XLOOKUP(A58,Collection!A:A,Collection!C:C,),"Cards "),C58)</f>
        <v>2021 Panini Donruss Optic Splash</v>
      </c>
      <c r="R58" s="58" t="str">
        <f t="shared" si="1"/>
        <v>-</v>
      </c>
      <c r="S58" s="58" t="str">
        <f>IFERROR(_xlfn.TEXTAFTER(_xlfn.XLOOKUP(A58,Collection!A:A,Collection!B:B,),"#"),"")</f>
        <v>4</v>
      </c>
      <c r="T58" s="60">
        <f t="shared" si="2"/>
        <v>1.55</v>
      </c>
      <c r="U58" s="54" t="s">
        <v>1550</v>
      </c>
      <c r="V58" s="58" t="str">
        <f>IF(ISNUMBER(MATCH(N58,Catalog!$B$4:$B$16, 0)), "Keep", "For Sale")</f>
        <v>For Sale</v>
      </c>
      <c r="W58" s="58">
        <f t="shared" si="3"/>
        <v>1</v>
      </c>
      <c r="X58" s="58">
        <f t="shared" si="4"/>
        <v>1</v>
      </c>
      <c r="Y58" s="60">
        <f t="shared" si="5"/>
        <v>6</v>
      </c>
      <c r="Z58" s="60">
        <f t="shared" si="6"/>
        <v>1.5</v>
      </c>
      <c r="AE58" t="s">
        <v>1577</v>
      </c>
      <c r="AF58"/>
      <c r="AG58" s="61">
        <v>217</v>
      </c>
      <c r="AH58"/>
      <c r="AI58" s="64" t="s">
        <v>1682</v>
      </c>
      <c r="AJ58" s="73">
        <v>2</v>
      </c>
    </row>
    <row r="59" spans="1:36" ht="14.4" x14ac:dyDescent="0.3">
      <c r="A59" s="13">
        <v>5050142</v>
      </c>
      <c r="B59" s="13" t="s">
        <v>1090</v>
      </c>
      <c r="C59" s="13" t="s">
        <v>1091</v>
      </c>
      <c r="D59" s="13">
        <v>150</v>
      </c>
      <c r="E59" s="13" t="s">
        <v>171</v>
      </c>
      <c r="F59" s="13" t="s">
        <v>172</v>
      </c>
      <c r="H59" s="13" t="s">
        <v>1066</v>
      </c>
      <c r="I59" s="13">
        <v>174</v>
      </c>
      <c r="J59" s="13">
        <v>1</v>
      </c>
      <c r="K59" s="14">
        <v>46166</v>
      </c>
      <c r="L59" s="14">
        <v>46164</v>
      </c>
      <c r="N59" s="13">
        <v>421</v>
      </c>
      <c r="P59" s="58" t="str">
        <f t="shared" si="0"/>
        <v>Luka Doncic</v>
      </c>
      <c r="Q59" s="58" t="str">
        <f>IFERROR(_xlfn.TEXTAFTER(_xlfn.XLOOKUP(A59,Collection!A:A,Collection!C:C,),"Cards "),C59)</f>
        <v>2022 Panini Contenders</v>
      </c>
      <c r="R59" s="58" t="str">
        <f t="shared" si="1"/>
        <v>-</v>
      </c>
      <c r="S59" s="58" t="str">
        <f>IFERROR(_xlfn.TEXTAFTER(_xlfn.XLOOKUP(A59,Collection!A:A,Collection!B:B,),"#"),"")</f>
        <v>57</v>
      </c>
      <c r="T59" s="60">
        <f t="shared" si="2"/>
        <v>1.5</v>
      </c>
      <c r="U59" s="54" t="s">
        <v>1550</v>
      </c>
      <c r="V59" s="58" t="str">
        <f>IF(ISNUMBER(MATCH(N59,Catalog!$B$4:$B$16, 0)), "Keep", "For Sale")</f>
        <v>For Sale</v>
      </c>
      <c r="W59" s="58">
        <f t="shared" si="3"/>
        <v>1</v>
      </c>
      <c r="X59" s="58">
        <f t="shared" si="4"/>
        <v>1</v>
      </c>
      <c r="Y59" s="60">
        <f t="shared" si="5"/>
        <v>2</v>
      </c>
      <c r="Z59" s="60">
        <f t="shared" si="6"/>
        <v>1.5</v>
      </c>
      <c r="AE59" t="s">
        <v>1622</v>
      </c>
      <c r="AF59"/>
      <c r="AG59" s="61">
        <v>210</v>
      </c>
      <c r="AH59"/>
      <c r="AI59" s="64" t="s">
        <v>1584</v>
      </c>
      <c r="AJ59" s="73">
        <v>2</v>
      </c>
    </row>
    <row r="60" spans="1:36" ht="14.4" x14ac:dyDescent="0.3">
      <c r="A60" s="13">
        <v>10199090</v>
      </c>
      <c r="B60" s="13" t="s">
        <v>887</v>
      </c>
      <c r="C60" s="13" t="s">
        <v>401</v>
      </c>
      <c r="D60" s="13">
        <v>150</v>
      </c>
      <c r="E60" s="13" t="s">
        <v>171</v>
      </c>
      <c r="F60" s="13" t="s">
        <v>172</v>
      </c>
      <c r="H60" s="13" t="s">
        <v>888</v>
      </c>
      <c r="I60" s="13">
        <v>417</v>
      </c>
      <c r="J60" s="13">
        <v>1</v>
      </c>
      <c r="K60" s="14">
        <v>46160</v>
      </c>
      <c r="L60" s="14">
        <v>46159</v>
      </c>
      <c r="N60" s="13">
        <v>357</v>
      </c>
      <c r="P60" s="58" t="str">
        <f t="shared" si="0"/>
        <v>Luka Doncic</v>
      </c>
      <c r="Q60" s="58" t="str">
        <f>IFERROR(_xlfn.TEXTAFTER(_xlfn.XLOOKUP(A60,Collection!A:A,Collection!C:C,),"Cards "),C60)</f>
        <v>2024 Panini Donruss Optic</v>
      </c>
      <c r="R60" s="58" t="str">
        <f t="shared" si="1"/>
        <v>Hyper Pink</v>
      </c>
      <c r="S60" s="58" t="str">
        <f>IFERROR(_xlfn.TEXTAFTER(_xlfn.XLOOKUP(A60,Collection!A:A,Collection!B:B,),"#"),"")</f>
        <v>214</v>
      </c>
      <c r="T60" s="60">
        <f t="shared" si="2"/>
        <v>1.5</v>
      </c>
      <c r="U60" s="54" t="s">
        <v>1550</v>
      </c>
      <c r="V60" s="58" t="str">
        <f>IF(ISNUMBER(MATCH(N60,Catalog!$B$4:$B$16, 0)), "Keep", "For Sale")</f>
        <v>For Sale</v>
      </c>
      <c r="W60" s="58">
        <f t="shared" si="3"/>
        <v>1</v>
      </c>
      <c r="X60" s="58">
        <f t="shared" si="4"/>
        <v>1</v>
      </c>
      <c r="Y60" s="60">
        <f t="shared" si="5"/>
        <v>5</v>
      </c>
      <c r="Z60" s="60">
        <f t="shared" si="6"/>
        <v>1.5</v>
      </c>
      <c r="AE60" t="s">
        <v>1809</v>
      </c>
      <c r="AF60"/>
      <c r="AG60" s="61">
        <v>209</v>
      </c>
      <c r="AH60"/>
      <c r="AI60" s="64" t="s">
        <v>1602</v>
      </c>
      <c r="AJ60" s="73">
        <v>2</v>
      </c>
    </row>
    <row r="61" spans="1:36" ht="14.4" x14ac:dyDescent="0.3">
      <c r="A61" s="13">
        <v>3114681</v>
      </c>
      <c r="B61" s="13" t="s">
        <v>674</v>
      </c>
      <c r="C61" s="13" t="s">
        <v>675</v>
      </c>
      <c r="D61" s="13">
        <v>149</v>
      </c>
      <c r="E61" s="13" t="s">
        <v>171</v>
      </c>
      <c r="F61" s="13" t="s">
        <v>172</v>
      </c>
      <c r="H61" s="13" t="s">
        <v>676</v>
      </c>
      <c r="I61" s="13">
        <v>261</v>
      </c>
      <c r="J61" s="13">
        <v>1</v>
      </c>
      <c r="K61" s="14">
        <v>46154</v>
      </c>
      <c r="L61" s="14">
        <v>46154</v>
      </c>
      <c r="N61" s="13">
        <v>304</v>
      </c>
      <c r="P61" s="58" t="str">
        <f t="shared" si="0"/>
        <v>Luka Doncic</v>
      </c>
      <c r="Q61" s="58" t="str">
        <f>IFERROR(_xlfn.TEXTAFTER(_xlfn.XLOOKUP(A61,Collection!A:A,Collection!C:C,),"Cards "),C61)</f>
        <v>2021 Panini Hoops</v>
      </c>
      <c r="R61" s="58" t="str">
        <f t="shared" si="1"/>
        <v>Purple</v>
      </c>
      <c r="S61" s="58" t="str">
        <f>IFERROR(_xlfn.TEXTAFTER(_xlfn.XLOOKUP(A61,Collection!A:A,Collection!B:B,),"#"),"")</f>
        <v>62</v>
      </c>
      <c r="T61" s="60">
        <f t="shared" si="2"/>
        <v>1.49</v>
      </c>
      <c r="U61" s="54" t="s">
        <v>1550</v>
      </c>
      <c r="V61" s="58" t="str">
        <f>IF(ISNUMBER(MATCH(N61,Catalog!$B$4:$B$16, 0)), "Keep", "For Sale")</f>
        <v>For Sale</v>
      </c>
      <c r="W61" s="58">
        <f t="shared" si="3"/>
        <v>1</v>
      </c>
      <c r="X61" s="58">
        <f t="shared" si="4"/>
        <v>1</v>
      </c>
      <c r="Y61" s="60">
        <f t="shared" si="5"/>
        <v>3</v>
      </c>
      <c r="Z61" s="60">
        <f t="shared" si="6"/>
        <v>1.25</v>
      </c>
      <c r="AE61" t="s">
        <v>1587</v>
      </c>
      <c r="AF61"/>
      <c r="AG61" s="61">
        <v>207</v>
      </c>
      <c r="AH61"/>
      <c r="AI61" s="64" t="s">
        <v>1622</v>
      </c>
      <c r="AJ61" s="73">
        <v>2</v>
      </c>
    </row>
    <row r="62" spans="1:36" ht="14.4" x14ac:dyDescent="0.3">
      <c r="A62" s="13">
        <v>8561174</v>
      </c>
      <c r="B62" s="13" t="s">
        <v>1101</v>
      </c>
      <c r="C62" s="13" t="s">
        <v>1102</v>
      </c>
      <c r="D62" s="13">
        <v>149</v>
      </c>
      <c r="E62" s="13" t="s">
        <v>171</v>
      </c>
      <c r="F62" s="13" t="s">
        <v>172</v>
      </c>
      <c r="H62" s="13" t="s">
        <v>1081</v>
      </c>
      <c r="I62" s="13">
        <v>190</v>
      </c>
      <c r="J62" s="13">
        <v>1</v>
      </c>
      <c r="K62" s="14">
        <v>46166</v>
      </c>
      <c r="L62" s="14">
        <v>46164</v>
      </c>
      <c r="N62" s="13">
        <v>433</v>
      </c>
      <c r="P62" s="58" t="str">
        <f t="shared" si="0"/>
        <v>Luka Doncic</v>
      </c>
      <c r="Q62" s="58" t="str">
        <f>IFERROR(_xlfn.TEXTAFTER(_xlfn.XLOOKUP(A62,Collection!A:A,Collection!C:C,),"Cards "),C62)</f>
        <v>2024 Panini Prizm Global Reach</v>
      </c>
      <c r="R62" s="58" t="str">
        <f t="shared" si="1"/>
        <v>-</v>
      </c>
      <c r="S62" s="58" t="str">
        <f>IFERROR(_xlfn.TEXTAFTER(_xlfn.XLOOKUP(A62,Collection!A:A,Collection!B:B,),"#"),"")</f>
        <v>8</v>
      </c>
      <c r="T62" s="60">
        <f t="shared" si="2"/>
        <v>1.49</v>
      </c>
      <c r="U62" s="54" t="s">
        <v>1550</v>
      </c>
      <c r="V62" s="58" t="str">
        <f>IF(ISNUMBER(MATCH(N62,Catalog!$B$4:$B$16, 0)), "Keep", "For Sale")</f>
        <v>For Sale</v>
      </c>
      <c r="W62" s="58">
        <f t="shared" si="3"/>
        <v>1</v>
      </c>
      <c r="X62" s="58">
        <f t="shared" si="4"/>
        <v>1</v>
      </c>
      <c r="Y62" s="60">
        <f t="shared" si="5"/>
        <v>2.5</v>
      </c>
      <c r="Z62" s="60">
        <f t="shared" si="6"/>
        <v>1.25</v>
      </c>
      <c r="AE62" t="s">
        <v>1691</v>
      </c>
      <c r="AF62"/>
      <c r="AG62" s="61">
        <v>207</v>
      </c>
      <c r="AH62"/>
      <c r="AI62" s="64" t="s">
        <v>1633</v>
      </c>
      <c r="AJ62" s="73">
        <v>2</v>
      </c>
    </row>
    <row r="63" spans="1:36" ht="14.4" x14ac:dyDescent="0.3">
      <c r="A63" s="13">
        <v>3727503</v>
      </c>
      <c r="B63" s="13" t="s">
        <v>572</v>
      </c>
      <c r="C63" s="13" t="s">
        <v>338</v>
      </c>
      <c r="D63" s="13">
        <v>147</v>
      </c>
      <c r="E63" s="13" t="s">
        <v>171</v>
      </c>
      <c r="F63" s="13" t="s">
        <v>172</v>
      </c>
      <c r="H63" s="13" t="s">
        <v>537</v>
      </c>
      <c r="I63" s="13">
        <v>298</v>
      </c>
      <c r="J63" s="13">
        <v>1</v>
      </c>
      <c r="K63" s="14">
        <v>46154</v>
      </c>
      <c r="L63" s="14">
        <v>46148</v>
      </c>
      <c r="N63" s="13">
        <v>396</v>
      </c>
      <c r="P63" s="58" t="str">
        <f t="shared" si="0"/>
        <v>Luka Doncic</v>
      </c>
      <c r="Q63" s="58" t="str">
        <f>IFERROR(_xlfn.TEXTAFTER(_xlfn.XLOOKUP(A63,Collection!A:A,Collection!C:C,),"Cards "),C63)</f>
        <v>2021 Panini Prizm</v>
      </c>
      <c r="R63" s="58" t="str">
        <f t="shared" si="1"/>
        <v>-</v>
      </c>
      <c r="S63" s="58" t="str">
        <f>IFERROR(_xlfn.TEXTAFTER(_xlfn.XLOOKUP(A63,Collection!A:A,Collection!B:B,),"#"),"")</f>
        <v>223</v>
      </c>
      <c r="T63" s="60">
        <f t="shared" si="2"/>
        <v>1.47</v>
      </c>
      <c r="U63" s="54" t="s">
        <v>1550</v>
      </c>
      <c r="V63" s="58" t="str">
        <f>IF(ISNUMBER(MATCH(N63,Catalog!$B$4:$B$16, 0)), "Keep", "For Sale")</f>
        <v>For Sale</v>
      </c>
      <c r="W63" s="58">
        <f t="shared" si="3"/>
        <v>1</v>
      </c>
      <c r="X63" s="58">
        <f t="shared" si="4"/>
        <v>1</v>
      </c>
      <c r="Y63" s="60">
        <f t="shared" si="5"/>
        <v>4</v>
      </c>
      <c r="Z63" s="60">
        <f t="shared" si="6"/>
        <v>1.25</v>
      </c>
      <c r="AE63" t="s">
        <v>1642</v>
      </c>
      <c r="AF63"/>
      <c r="AG63" s="61">
        <v>205</v>
      </c>
      <c r="AH63"/>
      <c r="AI63" s="64" t="s">
        <v>1650</v>
      </c>
      <c r="AJ63" s="73">
        <v>2</v>
      </c>
    </row>
    <row r="64" spans="1:36" ht="14.4" x14ac:dyDescent="0.3">
      <c r="A64" s="13">
        <v>8560255</v>
      </c>
      <c r="B64" s="13" t="s">
        <v>257</v>
      </c>
      <c r="C64" s="13" t="s">
        <v>536</v>
      </c>
      <c r="D64" s="13">
        <v>144</v>
      </c>
      <c r="E64" s="13" t="s">
        <v>171</v>
      </c>
      <c r="F64" s="13" t="s">
        <v>172</v>
      </c>
      <c r="H64" s="13" t="s">
        <v>537</v>
      </c>
      <c r="I64" s="13">
        <v>298</v>
      </c>
      <c r="J64" s="13">
        <v>1</v>
      </c>
      <c r="K64" s="14">
        <v>46154</v>
      </c>
      <c r="L64" s="14">
        <v>46148</v>
      </c>
      <c r="N64" s="13">
        <v>393</v>
      </c>
      <c r="P64" s="58" t="str">
        <f t="shared" si="0"/>
        <v>Luka Doncic</v>
      </c>
      <c r="Q64" s="58" t="str">
        <f>IFERROR(_xlfn.TEXTAFTER(_xlfn.XLOOKUP(A64,Collection!A:A,Collection!C:C,),"Cards "),C64)</f>
        <v>2024 Panini Prizm Deep Space</v>
      </c>
      <c r="R64" s="58" t="str">
        <f t="shared" si="1"/>
        <v>-</v>
      </c>
      <c r="S64" s="58" t="str">
        <f>IFERROR(_xlfn.TEXTAFTER(_xlfn.XLOOKUP(A64,Collection!A:A,Collection!B:B,),"#"),"")</f>
        <v>4</v>
      </c>
      <c r="T64" s="60">
        <f t="shared" si="2"/>
        <v>1.44</v>
      </c>
      <c r="U64" s="54" t="s">
        <v>1550</v>
      </c>
      <c r="V64" s="58" t="str">
        <f>IF(ISNUMBER(MATCH(N64,Catalog!$B$4:$B$16, 0)), "Keep", "For Sale")</f>
        <v>For Sale</v>
      </c>
      <c r="W64" s="58">
        <f t="shared" si="3"/>
        <v>1</v>
      </c>
      <c r="X64" s="58">
        <f t="shared" si="4"/>
        <v>1</v>
      </c>
      <c r="Y64" s="60">
        <f t="shared" si="5"/>
        <v>4</v>
      </c>
      <c r="Z64" s="60">
        <f t="shared" si="6"/>
        <v>1.25</v>
      </c>
      <c r="AE64" t="s">
        <v>1798</v>
      </c>
      <c r="AF64"/>
      <c r="AG64" s="61">
        <v>202.5</v>
      </c>
      <c r="AH64"/>
      <c r="AI64" s="64" t="s">
        <v>1670</v>
      </c>
      <c r="AJ64" s="73">
        <v>2</v>
      </c>
    </row>
    <row r="65" spans="1:36" ht="14.4" x14ac:dyDescent="0.3">
      <c r="A65" s="13">
        <v>8394422</v>
      </c>
      <c r="B65" s="13" t="s">
        <v>985</v>
      </c>
      <c r="C65" s="13" t="s">
        <v>614</v>
      </c>
      <c r="D65" s="13">
        <v>142</v>
      </c>
      <c r="E65" s="13" t="s">
        <v>171</v>
      </c>
      <c r="F65" s="13" t="s">
        <v>172</v>
      </c>
      <c r="H65" s="13" t="s">
        <v>986</v>
      </c>
      <c r="I65" s="13">
        <v>33</v>
      </c>
      <c r="J65" s="13">
        <v>1</v>
      </c>
      <c r="K65" s="14">
        <v>46163</v>
      </c>
      <c r="L65" s="14">
        <v>46156</v>
      </c>
      <c r="N65" s="13">
        <v>417</v>
      </c>
      <c r="P65" s="58" t="str">
        <f t="shared" si="0"/>
        <v>Luka Doncic</v>
      </c>
      <c r="Q65" s="58" t="str">
        <f>IFERROR(_xlfn.TEXTAFTER(_xlfn.XLOOKUP(A65,Collection!A:A,Collection!C:C,),"Cards "),C65)</f>
        <v>2024 Panini NBA Hoops</v>
      </c>
      <c r="R65" s="58" t="str">
        <f t="shared" si="1"/>
        <v>-</v>
      </c>
      <c r="S65" s="58" t="str">
        <f>IFERROR(_xlfn.TEXTAFTER(_xlfn.XLOOKUP(A65,Collection!A:A,Collection!B:B,),"#"),"")</f>
        <v>115</v>
      </c>
      <c r="T65" s="60">
        <f t="shared" si="2"/>
        <v>1.42</v>
      </c>
      <c r="U65" s="54" t="s">
        <v>1550</v>
      </c>
      <c r="V65" s="58" t="str">
        <f>IF(ISNUMBER(MATCH(N65,Catalog!$B$4:$B$16, 0)), "Keep", "For Sale")</f>
        <v>For Sale</v>
      </c>
      <c r="W65" s="58">
        <f t="shared" si="3"/>
        <v>2</v>
      </c>
      <c r="X65" s="58">
        <f t="shared" si="4"/>
        <v>1</v>
      </c>
      <c r="Y65" s="60">
        <f t="shared" si="5"/>
        <v>1.5</v>
      </c>
      <c r="Z65" s="60">
        <f t="shared" si="6"/>
        <v>0.25</v>
      </c>
      <c r="AE65" t="s">
        <v>1627</v>
      </c>
      <c r="AF65"/>
      <c r="AG65" s="61">
        <v>200</v>
      </c>
      <c r="AH65"/>
      <c r="AI65" s="64" t="s">
        <v>1636</v>
      </c>
      <c r="AJ65" s="73">
        <v>2</v>
      </c>
    </row>
    <row r="66" spans="1:36" ht="14.4" x14ac:dyDescent="0.3">
      <c r="A66" s="13">
        <v>8394422</v>
      </c>
      <c r="B66" s="13" t="s">
        <v>985</v>
      </c>
      <c r="C66" s="13" t="s">
        <v>614</v>
      </c>
      <c r="D66" s="13">
        <v>142</v>
      </c>
      <c r="E66" s="13" t="s">
        <v>171</v>
      </c>
      <c r="F66" s="13" t="s">
        <v>172</v>
      </c>
      <c r="H66" s="13" t="s">
        <v>1081</v>
      </c>
      <c r="I66" s="13">
        <v>190</v>
      </c>
      <c r="J66" s="13">
        <v>1</v>
      </c>
      <c r="K66" s="14">
        <v>46166</v>
      </c>
      <c r="L66" s="14">
        <v>46164</v>
      </c>
      <c r="N66" s="13">
        <v>422</v>
      </c>
      <c r="P66" s="58" t="str">
        <f t="shared" ref="P66:P129" si="7">TRIM(LEFT(B66, MIN(IFERROR(FIND("[", B66), LEN(B66)+1), IFERROR(FIND("#", B66), LEN(B66)+1)) - 1))</f>
        <v>Luka Doncic</v>
      </c>
      <c r="Q66" s="58" t="str">
        <f>IFERROR(_xlfn.TEXTAFTER(_xlfn.XLOOKUP(A66,Collection!A:A,Collection!C:C,),"Cards "),C66)</f>
        <v>2024 Panini NBA Hoops</v>
      </c>
      <c r="R66" s="58" t="str">
        <f t="shared" ref="R66:R129" si="8">IFERROR(_xlfn.TEXTBEFORE(_xlfn.TEXTAFTER(B66, "["), "]"), "-")</f>
        <v>-</v>
      </c>
      <c r="S66" s="58" t="str">
        <f>IFERROR(_xlfn.TEXTAFTER(_xlfn.XLOOKUP(A66,Collection!A:A,Collection!B:B,),"#"),"")</f>
        <v>115</v>
      </c>
      <c r="T66" s="60">
        <f t="shared" ref="T66:T129" si="9">D66/100</f>
        <v>1.42</v>
      </c>
      <c r="U66" s="54" t="s">
        <v>1550</v>
      </c>
      <c r="V66" s="58" t="str">
        <f>IF(ISNUMBER(MATCH(N66,Catalog!$B$4:$B$16, 0)), "Keep", "For Sale")</f>
        <v>For Sale</v>
      </c>
      <c r="W66" s="58">
        <f t="shared" ref="W66:W129" si="10">COUNTIFS(V:V,"For Sale",A:A,A66)</f>
        <v>2</v>
      </c>
      <c r="X66" s="58">
        <f t="shared" ref="X66:X129" si="11">_xlfn.LET(
_xlpm.val,_xlfn.XLOOKUP(U66,AE:AE,AG:AG,)/100,
_xlpm.tier,IF(_xlpm.val&lt;1,5,IF(_xlpm.val&lt;2,4,IF(_xlpm.val&lt;5,3,IF(_xlpm.val&lt;10,2,1)))),
_xlpm.tier)</f>
        <v>1</v>
      </c>
      <c r="Y66" s="60">
        <f t="shared" ref="Y66:Y129" si="12">_xlfn.LET(
    _xlpm.price, (MAX(I66,D66,25)/100)*(1+$AC$3),
    _xlpm.rounder, IF(_xlpm.price &lt; 1.5, FLOOR(_xlpm.price, 0.25),
           IF(_xlpm.price &lt; 2.5, MROUND(_xlpm.price, 0.5),
               MROUND(_xlpm.price, 1))),
    MAX(0.25, _xlpm.rounder))</f>
        <v>2.5</v>
      </c>
      <c r="Z66" s="60">
        <f t="shared" ref="Z66:Z129" si="13">_xlfn.LET(
    _xlpm.price, IF(I66=0, IF(W66&gt;1,1-$AC$2,1)*(D66/100), MIN(IF(W66&gt;1,1-$AC$2,1)*(D66/100), IF(W66&gt;1,1-$AC$2,1)*(I66/100))),
    _xlpm.rounder, IF(_xlpm.price &lt; 1.5, FLOOR(_xlpm.price, 0.25),
           IF(_xlpm.price &lt; 2.5, MROUND(_xlpm.price, 0.5),
               MROUND(_xlpm.price, 1))),
    MAX(0.25, _xlpm.rounder))</f>
        <v>1</v>
      </c>
      <c r="AE66" t="s">
        <v>1632</v>
      </c>
      <c r="AF66"/>
      <c r="AG66" s="61">
        <v>200</v>
      </c>
      <c r="AH66"/>
      <c r="AI66" s="64" t="s">
        <v>1579</v>
      </c>
      <c r="AJ66" s="73">
        <v>2</v>
      </c>
    </row>
    <row r="67" spans="1:36" ht="14.4" x14ac:dyDescent="0.3">
      <c r="A67" s="13">
        <v>8771795</v>
      </c>
      <c r="B67" s="13" t="s">
        <v>984</v>
      </c>
      <c r="C67" s="13" t="s">
        <v>568</v>
      </c>
      <c r="D67" s="13">
        <v>140</v>
      </c>
      <c r="E67" s="13" t="s">
        <v>171</v>
      </c>
      <c r="F67" s="13" t="s">
        <v>172</v>
      </c>
      <c r="H67" s="13" t="s">
        <v>1523</v>
      </c>
      <c r="I67" s="13">
        <v>34</v>
      </c>
      <c r="J67" s="13">
        <v>1</v>
      </c>
      <c r="K67" s="14">
        <v>46183</v>
      </c>
      <c r="L67" s="14">
        <v>46156</v>
      </c>
      <c r="N67" s="13">
        <v>416</v>
      </c>
      <c r="P67" s="58" t="str">
        <f t="shared" si="7"/>
        <v>Luka Doncic</v>
      </c>
      <c r="Q67" s="58" t="str">
        <f>IFERROR(_xlfn.TEXTAFTER(_xlfn.XLOOKUP(A67,Collection!A:A,Collection!C:C,),"Cards "),C67)</f>
        <v>2024 Panini Donruss</v>
      </c>
      <c r="R67" s="58" t="str">
        <f t="shared" si="8"/>
        <v>-</v>
      </c>
      <c r="S67" s="58" t="str">
        <f>IFERROR(_xlfn.TEXTAFTER(_xlfn.XLOOKUP(A67,Collection!A:A,Collection!B:B,),"#"),"")</f>
        <v>82</v>
      </c>
      <c r="T67" s="60">
        <f t="shared" si="9"/>
        <v>1.4</v>
      </c>
      <c r="U67" s="54" t="s">
        <v>1550</v>
      </c>
      <c r="V67" s="58" t="str">
        <f>IF(ISNUMBER(MATCH(N67,Catalog!$B$4:$B$16, 0)), "Keep", "For Sale")</f>
        <v>For Sale</v>
      </c>
      <c r="W67" s="58">
        <f t="shared" si="10"/>
        <v>3</v>
      </c>
      <c r="X67" s="58">
        <f t="shared" si="11"/>
        <v>1</v>
      </c>
      <c r="Y67" s="60">
        <f t="shared" si="12"/>
        <v>1.5</v>
      </c>
      <c r="Z67" s="60">
        <f t="shared" si="13"/>
        <v>0.25</v>
      </c>
      <c r="AE67" t="s">
        <v>1811</v>
      </c>
      <c r="AF67"/>
      <c r="AG67" s="61">
        <v>200</v>
      </c>
      <c r="AH67"/>
      <c r="AI67" s="64" t="s">
        <v>1617</v>
      </c>
      <c r="AJ67" s="73">
        <v>2</v>
      </c>
    </row>
    <row r="68" spans="1:36" ht="14.4" x14ac:dyDescent="0.3">
      <c r="A68" s="13">
        <v>8771795</v>
      </c>
      <c r="B68" s="13" t="s">
        <v>984</v>
      </c>
      <c r="C68" s="13" t="s">
        <v>568</v>
      </c>
      <c r="D68" s="13">
        <v>140</v>
      </c>
      <c r="E68" s="13" t="s">
        <v>171</v>
      </c>
      <c r="F68" s="13" t="s">
        <v>172</v>
      </c>
      <c r="H68" s="13" t="s">
        <v>1523</v>
      </c>
      <c r="I68" s="13">
        <v>34</v>
      </c>
      <c r="J68" s="13">
        <v>1</v>
      </c>
      <c r="K68" s="14">
        <v>46183</v>
      </c>
      <c r="L68" s="14">
        <v>46156</v>
      </c>
      <c r="N68" s="13">
        <v>418</v>
      </c>
      <c r="P68" s="58" t="str">
        <f t="shared" si="7"/>
        <v>Luka Doncic</v>
      </c>
      <c r="Q68" s="58" t="str">
        <f>IFERROR(_xlfn.TEXTAFTER(_xlfn.XLOOKUP(A68,Collection!A:A,Collection!C:C,),"Cards "),C68)</f>
        <v>2024 Panini Donruss</v>
      </c>
      <c r="R68" s="58" t="str">
        <f t="shared" si="8"/>
        <v>-</v>
      </c>
      <c r="S68" s="58" t="str">
        <f>IFERROR(_xlfn.TEXTAFTER(_xlfn.XLOOKUP(A68,Collection!A:A,Collection!B:B,),"#"),"")</f>
        <v>82</v>
      </c>
      <c r="T68" s="60">
        <f t="shared" si="9"/>
        <v>1.4</v>
      </c>
      <c r="U68" s="54" t="s">
        <v>1550</v>
      </c>
      <c r="V68" s="58" t="str">
        <f>IF(ISNUMBER(MATCH(N68,Catalog!$B$4:$B$16, 0)), "Keep", "For Sale")</f>
        <v>For Sale</v>
      </c>
      <c r="W68" s="58">
        <f t="shared" si="10"/>
        <v>3</v>
      </c>
      <c r="X68" s="58">
        <f t="shared" si="11"/>
        <v>1</v>
      </c>
      <c r="Y68" s="60">
        <f t="shared" si="12"/>
        <v>1.5</v>
      </c>
      <c r="Z68" s="60">
        <f t="shared" si="13"/>
        <v>0.25</v>
      </c>
      <c r="AE68" t="s">
        <v>1579</v>
      </c>
      <c r="AF68"/>
      <c r="AG68" s="61">
        <v>199.5</v>
      </c>
      <c r="AH68"/>
      <c r="AI68" s="64" t="s">
        <v>1569</v>
      </c>
      <c r="AJ68" s="73">
        <v>2</v>
      </c>
    </row>
    <row r="69" spans="1:36" ht="14.4" x14ac:dyDescent="0.3">
      <c r="A69" s="13">
        <v>8771795</v>
      </c>
      <c r="B69" s="13" t="s">
        <v>984</v>
      </c>
      <c r="C69" s="13" t="s">
        <v>568</v>
      </c>
      <c r="D69" s="13">
        <v>140</v>
      </c>
      <c r="E69" s="13" t="s">
        <v>171</v>
      </c>
      <c r="F69" s="13" t="s">
        <v>172</v>
      </c>
      <c r="H69" s="13" t="s">
        <v>1523</v>
      </c>
      <c r="I69" s="13">
        <v>34</v>
      </c>
      <c r="J69" s="13">
        <v>1</v>
      </c>
      <c r="K69" s="14">
        <v>46183</v>
      </c>
      <c r="L69" s="14">
        <v>46156</v>
      </c>
      <c r="N69" s="13">
        <v>423</v>
      </c>
      <c r="P69" s="58" t="str">
        <f t="shared" si="7"/>
        <v>Luka Doncic</v>
      </c>
      <c r="Q69" s="58" t="str">
        <f>IFERROR(_xlfn.TEXTAFTER(_xlfn.XLOOKUP(A69,Collection!A:A,Collection!C:C,),"Cards "),C69)</f>
        <v>2024 Panini Donruss</v>
      </c>
      <c r="R69" s="58" t="str">
        <f t="shared" si="8"/>
        <v>-</v>
      </c>
      <c r="S69" s="58" t="str">
        <f>IFERROR(_xlfn.TEXTAFTER(_xlfn.XLOOKUP(A69,Collection!A:A,Collection!B:B,),"#"),"")</f>
        <v>82</v>
      </c>
      <c r="T69" s="60">
        <f t="shared" si="9"/>
        <v>1.4</v>
      </c>
      <c r="U69" s="54" t="s">
        <v>1550</v>
      </c>
      <c r="V69" s="58" t="str">
        <f>IF(ISNUMBER(MATCH(N69,Catalog!$B$4:$B$16, 0)), "Keep", "For Sale")</f>
        <v>For Sale</v>
      </c>
      <c r="W69" s="58">
        <f t="shared" si="10"/>
        <v>3</v>
      </c>
      <c r="X69" s="58">
        <f t="shared" si="11"/>
        <v>1</v>
      </c>
      <c r="Y69" s="60">
        <f t="shared" si="12"/>
        <v>1.5</v>
      </c>
      <c r="Z69" s="60">
        <f t="shared" si="13"/>
        <v>0.25</v>
      </c>
      <c r="AE69" t="s">
        <v>1804</v>
      </c>
      <c r="AF69"/>
      <c r="AG69" s="61">
        <v>199</v>
      </c>
      <c r="AH69"/>
      <c r="AI69" s="64" t="s">
        <v>1681</v>
      </c>
      <c r="AJ69" s="73">
        <v>2</v>
      </c>
    </row>
    <row r="70" spans="1:36" ht="14.4" x14ac:dyDescent="0.3">
      <c r="A70" s="13">
        <v>8560406</v>
      </c>
      <c r="B70" s="13" t="s">
        <v>874</v>
      </c>
      <c r="C70" s="13" t="s">
        <v>875</v>
      </c>
      <c r="D70" s="13">
        <v>139</v>
      </c>
      <c r="E70" s="13" t="s">
        <v>171</v>
      </c>
      <c r="F70" s="13" t="s">
        <v>172</v>
      </c>
      <c r="H70" s="13" t="s">
        <v>1516</v>
      </c>
      <c r="I70" s="13">
        <v>481</v>
      </c>
      <c r="J70" s="13">
        <v>1</v>
      </c>
      <c r="K70" s="14">
        <v>46159</v>
      </c>
      <c r="L70" s="14">
        <v>46157</v>
      </c>
      <c r="N70" s="13">
        <v>454</v>
      </c>
      <c r="P70" s="58" t="str">
        <f t="shared" si="7"/>
        <v>Luka Doncic</v>
      </c>
      <c r="Q70" s="58" t="str">
        <f>IFERROR(_xlfn.TEXTAFTER(_xlfn.XLOOKUP(A70,Collection!A:A,Collection!C:C,),"Cards "),C70)</f>
        <v>2024 Panini Prizm Dominance</v>
      </c>
      <c r="R70" s="58" t="str">
        <f t="shared" si="8"/>
        <v>-</v>
      </c>
      <c r="S70" s="58" t="str">
        <f>IFERROR(_xlfn.TEXTAFTER(_xlfn.XLOOKUP(A70,Collection!A:A,Collection!B:B,),"#"),"")</f>
        <v>12</v>
      </c>
      <c r="T70" s="60">
        <f t="shared" si="9"/>
        <v>1.39</v>
      </c>
      <c r="U70" s="54" t="s">
        <v>1550</v>
      </c>
      <c r="V70" s="58" t="str">
        <f>IF(ISNUMBER(MATCH(N70,Catalog!$B$4:$B$16, 0)), "Keep", "For Sale")</f>
        <v>For Sale</v>
      </c>
      <c r="W70" s="58">
        <f t="shared" si="10"/>
        <v>2</v>
      </c>
      <c r="X70" s="58">
        <f t="shared" si="11"/>
        <v>1</v>
      </c>
      <c r="Y70" s="60">
        <f t="shared" si="12"/>
        <v>6</v>
      </c>
      <c r="Z70" s="60">
        <f t="shared" si="13"/>
        <v>1</v>
      </c>
      <c r="AE70" t="s">
        <v>1616</v>
      </c>
      <c r="AF70"/>
      <c r="AG70" s="61">
        <v>199</v>
      </c>
      <c r="AH70"/>
      <c r="AI70" s="64" t="s">
        <v>1625</v>
      </c>
      <c r="AJ70" s="73">
        <v>2</v>
      </c>
    </row>
    <row r="71" spans="1:36" ht="14.4" x14ac:dyDescent="0.3">
      <c r="A71" s="13">
        <v>8560406</v>
      </c>
      <c r="B71" s="13" t="s">
        <v>874</v>
      </c>
      <c r="C71" s="13" t="s">
        <v>875</v>
      </c>
      <c r="D71" s="13">
        <v>139</v>
      </c>
      <c r="E71" s="13" t="s">
        <v>171</v>
      </c>
      <c r="F71" s="13" t="s">
        <v>172</v>
      </c>
      <c r="H71" s="13" t="s">
        <v>1542</v>
      </c>
      <c r="I71" s="13">
        <v>416</v>
      </c>
      <c r="J71" s="13">
        <v>1</v>
      </c>
      <c r="K71" s="14">
        <v>46183</v>
      </c>
      <c r="L71" s="14">
        <v>46158</v>
      </c>
      <c r="N71" s="13">
        <v>456</v>
      </c>
      <c r="P71" s="58" t="str">
        <f t="shared" si="7"/>
        <v>Luka Doncic</v>
      </c>
      <c r="Q71" s="58" t="str">
        <f>IFERROR(_xlfn.TEXTAFTER(_xlfn.XLOOKUP(A71,Collection!A:A,Collection!C:C,),"Cards "),C71)</f>
        <v>2024 Panini Prizm Dominance</v>
      </c>
      <c r="R71" s="58" t="str">
        <f t="shared" si="8"/>
        <v>-</v>
      </c>
      <c r="S71" s="58" t="str">
        <f>IFERROR(_xlfn.TEXTAFTER(_xlfn.XLOOKUP(A71,Collection!A:A,Collection!B:B,),"#"),"")</f>
        <v>12</v>
      </c>
      <c r="T71" s="60">
        <f t="shared" si="9"/>
        <v>1.39</v>
      </c>
      <c r="U71" s="54" t="s">
        <v>1550</v>
      </c>
      <c r="V71" s="58" t="str">
        <f>IF(ISNUMBER(MATCH(N71,Catalog!$B$4:$B$16, 0)), "Keep", "For Sale")</f>
        <v>For Sale</v>
      </c>
      <c r="W71" s="58">
        <f t="shared" si="10"/>
        <v>2</v>
      </c>
      <c r="X71" s="58">
        <f t="shared" si="11"/>
        <v>1</v>
      </c>
      <c r="Y71" s="60">
        <f t="shared" si="12"/>
        <v>5</v>
      </c>
      <c r="Z71" s="60">
        <f t="shared" si="13"/>
        <v>1</v>
      </c>
      <c r="AE71" t="s">
        <v>1641</v>
      </c>
      <c r="AF71"/>
      <c r="AG71" s="61">
        <v>199</v>
      </c>
      <c r="AH71"/>
      <c r="AI71" s="64" t="s">
        <v>1667</v>
      </c>
      <c r="AJ71" s="73">
        <v>2</v>
      </c>
    </row>
    <row r="72" spans="1:36" ht="14.4" x14ac:dyDescent="0.3">
      <c r="A72" s="13">
        <v>6713723</v>
      </c>
      <c r="B72" s="13" t="s">
        <v>646</v>
      </c>
      <c r="C72" s="13" t="s">
        <v>647</v>
      </c>
      <c r="D72" s="13">
        <v>135</v>
      </c>
      <c r="E72" s="13" t="s">
        <v>171</v>
      </c>
      <c r="F72" s="13" t="s">
        <v>172</v>
      </c>
      <c r="H72" s="13" t="s">
        <v>577</v>
      </c>
      <c r="I72" s="13">
        <v>298</v>
      </c>
      <c r="J72" s="13">
        <v>1</v>
      </c>
      <c r="K72" s="14">
        <v>46154</v>
      </c>
      <c r="L72" s="14">
        <v>46148</v>
      </c>
      <c r="N72" s="13">
        <v>323</v>
      </c>
      <c r="P72" s="58" t="str">
        <f t="shared" si="7"/>
        <v>Luka Doncic</v>
      </c>
      <c r="Q72" s="58" t="str">
        <f>IFERROR(_xlfn.TEXTAFTER(_xlfn.XLOOKUP(A72,Collection!A:A,Collection!C:C,),"Cards "),C72)</f>
        <v>2023 Panini Select Thunder Lane</v>
      </c>
      <c r="R72" s="58" t="str">
        <f t="shared" si="8"/>
        <v>-</v>
      </c>
      <c r="S72" s="58" t="str">
        <f>IFERROR(_xlfn.TEXTAFTER(_xlfn.XLOOKUP(A72,Collection!A:A,Collection!B:B,),"#"),"")</f>
        <v>3</v>
      </c>
      <c r="T72" s="60">
        <f t="shared" si="9"/>
        <v>1.35</v>
      </c>
      <c r="U72" s="54" t="s">
        <v>1550</v>
      </c>
      <c r="V72" s="58" t="str">
        <f>IF(ISNUMBER(MATCH(N72,Catalog!$B$4:$B$16, 0)), "Keep", "For Sale")</f>
        <v>For Sale</v>
      </c>
      <c r="W72" s="58">
        <f t="shared" si="10"/>
        <v>1</v>
      </c>
      <c r="X72" s="58">
        <f t="shared" si="11"/>
        <v>1</v>
      </c>
      <c r="Y72" s="60">
        <f t="shared" si="12"/>
        <v>4</v>
      </c>
      <c r="Z72" s="60">
        <f t="shared" si="13"/>
        <v>1.25</v>
      </c>
      <c r="AE72" t="s">
        <v>1623</v>
      </c>
      <c r="AF72"/>
      <c r="AG72" s="61">
        <v>199</v>
      </c>
      <c r="AH72"/>
      <c r="AI72" s="8" t="s">
        <v>1803</v>
      </c>
      <c r="AJ72" s="73">
        <v>2</v>
      </c>
    </row>
    <row r="73" spans="1:36" ht="14.4" x14ac:dyDescent="0.3">
      <c r="A73" s="13">
        <v>4166936</v>
      </c>
      <c r="B73" s="13" t="s">
        <v>383</v>
      </c>
      <c r="C73" s="13" t="s">
        <v>384</v>
      </c>
      <c r="D73" s="13">
        <v>130</v>
      </c>
      <c r="E73" s="13" t="s">
        <v>171</v>
      </c>
      <c r="F73" s="13" t="s">
        <v>172</v>
      </c>
      <c r="H73" s="13" t="s">
        <v>385</v>
      </c>
      <c r="I73" s="13">
        <v>371</v>
      </c>
      <c r="J73" s="13">
        <v>1</v>
      </c>
      <c r="K73" s="14">
        <v>46150</v>
      </c>
      <c r="L73" s="14">
        <v>46145</v>
      </c>
      <c r="N73" s="13">
        <v>474</v>
      </c>
      <c r="P73" s="58" t="str">
        <f t="shared" si="7"/>
        <v>Luka Doncic</v>
      </c>
      <c r="Q73" s="58" t="str">
        <f>IFERROR(_xlfn.TEXTAFTER(_xlfn.XLOOKUP(A73,Collection!A:A,Collection!C:C,),"Cards "),C73)</f>
        <v>2021 Panini Chronicles</v>
      </c>
      <c r="R73" s="58" t="str">
        <f t="shared" si="8"/>
        <v>-</v>
      </c>
      <c r="S73" s="58" t="str">
        <f>IFERROR(_xlfn.TEXTAFTER(_xlfn.XLOOKUP(A73,Collection!A:A,Collection!B:B,),"#"),"")</f>
        <v>304</v>
      </c>
      <c r="T73" s="60">
        <f t="shared" si="9"/>
        <v>1.3</v>
      </c>
      <c r="U73" s="54" t="s">
        <v>1550</v>
      </c>
      <c r="V73" s="58" t="str">
        <f>IF(ISNUMBER(MATCH(N73,Catalog!$B$4:$B$16, 0)), "Keep", "For Sale")</f>
        <v>For Sale</v>
      </c>
      <c r="W73" s="58">
        <f t="shared" si="10"/>
        <v>1</v>
      </c>
      <c r="X73" s="58">
        <f t="shared" si="11"/>
        <v>1</v>
      </c>
      <c r="Y73" s="60">
        <f t="shared" si="12"/>
        <v>4</v>
      </c>
      <c r="Z73" s="60">
        <f t="shared" si="13"/>
        <v>1.25</v>
      </c>
      <c r="AE73" t="s">
        <v>1583</v>
      </c>
      <c r="AF73"/>
      <c r="AG73" s="61">
        <v>199</v>
      </c>
      <c r="AH73"/>
      <c r="AI73" s="64" t="s">
        <v>1560</v>
      </c>
      <c r="AJ73" s="73">
        <v>2</v>
      </c>
    </row>
    <row r="74" spans="1:36" ht="14.4" x14ac:dyDescent="0.3">
      <c r="A74" s="13">
        <v>4754153</v>
      </c>
      <c r="B74" s="13" t="s">
        <v>1101</v>
      </c>
      <c r="C74" s="13" t="s">
        <v>1110</v>
      </c>
      <c r="D74" s="13">
        <v>130</v>
      </c>
      <c r="E74" s="13" t="s">
        <v>171</v>
      </c>
      <c r="F74" s="13" t="s">
        <v>172</v>
      </c>
      <c r="H74" s="13" t="s">
        <v>1066</v>
      </c>
      <c r="I74" s="13">
        <v>174</v>
      </c>
      <c r="J74" s="13">
        <v>1</v>
      </c>
      <c r="K74" s="14">
        <v>46166</v>
      </c>
      <c r="L74" s="14">
        <v>46164</v>
      </c>
      <c r="N74" s="13">
        <v>469</v>
      </c>
      <c r="P74" s="58" t="str">
        <f t="shared" si="7"/>
        <v>Luka Doncic</v>
      </c>
      <c r="Q74" s="58" t="str">
        <f>IFERROR(_xlfn.TEXTAFTER(_xlfn.XLOOKUP(A74,Collection!A:A,Collection!C:C,),"Cards "),C74)</f>
        <v>2022 Panini Hoops Skyview</v>
      </c>
      <c r="R74" s="58" t="str">
        <f t="shared" si="8"/>
        <v>-</v>
      </c>
      <c r="S74" s="58" t="str">
        <f>IFERROR(_xlfn.TEXTAFTER(_xlfn.XLOOKUP(A74,Collection!A:A,Collection!B:B,),"#"),"")</f>
        <v>8</v>
      </c>
      <c r="T74" s="60">
        <f t="shared" si="9"/>
        <v>1.3</v>
      </c>
      <c r="U74" s="54" t="s">
        <v>1550</v>
      </c>
      <c r="V74" s="58" t="str">
        <f>IF(ISNUMBER(MATCH(N74,Catalog!$B$4:$B$16, 0)), "Keep", "For Sale")</f>
        <v>For Sale</v>
      </c>
      <c r="W74" s="58">
        <f t="shared" si="10"/>
        <v>1</v>
      </c>
      <c r="X74" s="58">
        <f t="shared" si="11"/>
        <v>1</v>
      </c>
      <c r="Y74" s="60">
        <f t="shared" si="12"/>
        <v>2</v>
      </c>
      <c r="Z74" s="60">
        <f t="shared" si="13"/>
        <v>1.25</v>
      </c>
      <c r="AE74" t="s">
        <v>1611</v>
      </c>
      <c r="AF74"/>
      <c r="AG74" s="61">
        <v>199</v>
      </c>
      <c r="AH74"/>
      <c r="AI74" s="64" t="s">
        <v>1620</v>
      </c>
      <c r="AJ74" s="73">
        <v>2</v>
      </c>
    </row>
    <row r="75" spans="1:36" ht="14.4" x14ac:dyDescent="0.3">
      <c r="A75" s="13">
        <v>8404075</v>
      </c>
      <c r="B75" s="13" t="s">
        <v>1088</v>
      </c>
      <c r="C75" s="13" t="s">
        <v>614</v>
      </c>
      <c r="D75" s="13">
        <v>129</v>
      </c>
      <c r="E75" s="13" t="s">
        <v>171</v>
      </c>
      <c r="F75" s="13" t="s">
        <v>172</v>
      </c>
      <c r="H75" s="13" t="s">
        <v>1081</v>
      </c>
      <c r="I75" s="13">
        <v>190</v>
      </c>
      <c r="J75" s="13">
        <v>1</v>
      </c>
      <c r="K75" s="14">
        <v>46166</v>
      </c>
      <c r="L75" s="14">
        <v>46164</v>
      </c>
      <c r="N75" s="13">
        <v>460</v>
      </c>
      <c r="P75" s="58" t="str">
        <f t="shared" si="7"/>
        <v>Luka Doncic</v>
      </c>
      <c r="Q75" s="58" t="str">
        <f>IFERROR(_xlfn.TEXTAFTER(_xlfn.XLOOKUP(A75,Collection!A:A,Collection!C:C,),"Cards "),C75)</f>
        <v>2024 Panini NBA Hoops</v>
      </c>
      <c r="R75" s="58" t="str">
        <f t="shared" si="8"/>
        <v>-</v>
      </c>
      <c r="S75" s="58" t="str">
        <f>IFERROR(_xlfn.TEXTAFTER(_xlfn.XLOOKUP(A75,Collection!A:A,Collection!B:B,),"#"),"")</f>
        <v>281</v>
      </c>
      <c r="T75" s="60">
        <f t="shared" si="9"/>
        <v>1.29</v>
      </c>
      <c r="U75" s="54" t="s">
        <v>1550</v>
      </c>
      <c r="V75" s="58" t="str">
        <f>IF(ISNUMBER(MATCH(N75,Catalog!$B$4:$B$16, 0)), "Keep", "For Sale")</f>
        <v>For Sale</v>
      </c>
      <c r="W75" s="58">
        <f t="shared" si="10"/>
        <v>1</v>
      </c>
      <c r="X75" s="58">
        <f t="shared" si="11"/>
        <v>1</v>
      </c>
      <c r="Y75" s="60">
        <f t="shared" si="12"/>
        <v>2.5</v>
      </c>
      <c r="Z75" s="60">
        <f t="shared" si="13"/>
        <v>1.25</v>
      </c>
      <c r="AE75" t="s">
        <v>1803</v>
      </c>
      <c r="AF75"/>
      <c r="AG75" s="61">
        <v>199</v>
      </c>
      <c r="AH75"/>
      <c r="AI75" s="64" t="s">
        <v>1698</v>
      </c>
      <c r="AJ75" s="73">
        <v>1</v>
      </c>
    </row>
    <row r="76" spans="1:36" ht="14.4" x14ac:dyDescent="0.3">
      <c r="A76" s="13">
        <v>4235113</v>
      </c>
      <c r="B76" s="13" t="s">
        <v>208</v>
      </c>
      <c r="C76" s="13" t="s">
        <v>209</v>
      </c>
      <c r="D76" s="13">
        <v>127</v>
      </c>
      <c r="E76" s="13" t="s">
        <v>171</v>
      </c>
      <c r="F76" s="13" t="s">
        <v>172</v>
      </c>
      <c r="H76" s="13" t="s">
        <v>210</v>
      </c>
      <c r="I76" s="13">
        <v>504</v>
      </c>
      <c r="J76" s="13">
        <v>1</v>
      </c>
      <c r="K76" s="14">
        <v>46151</v>
      </c>
      <c r="L76" s="14">
        <v>46146</v>
      </c>
      <c r="N76" s="13">
        <v>411</v>
      </c>
      <c r="P76" s="58" t="str">
        <f t="shared" si="7"/>
        <v>Luka Doncic</v>
      </c>
      <c r="Q76" s="58" t="str">
        <f>IFERROR(_xlfn.TEXTAFTER(_xlfn.XLOOKUP(A76,Collection!A:A,Collection!C:C,),"Cards "),C76)</f>
        <v>2021 Panini Select</v>
      </c>
      <c r="R76" s="58" t="str">
        <f t="shared" si="8"/>
        <v>Blue Prizm</v>
      </c>
      <c r="S76" s="58" t="str">
        <f>IFERROR(_xlfn.TEXTAFTER(_xlfn.XLOOKUP(A76,Collection!A:A,Collection!B:B,),"#"),"")</f>
        <v>12</v>
      </c>
      <c r="T76" s="60">
        <f t="shared" si="9"/>
        <v>1.27</v>
      </c>
      <c r="U76" s="54" t="s">
        <v>1550</v>
      </c>
      <c r="V76" s="58" t="str">
        <f>IF(ISNUMBER(MATCH(N76,Catalog!$B$4:$B$16, 0)), "Keep", "For Sale")</f>
        <v>For Sale</v>
      </c>
      <c r="W76" s="58">
        <f t="shared" si="10"/>
        <v>1</v>
      </c>
      <c r="X76" s="58">
        <f t="shared" si="11"/>
        <v>1</v>
      </c>
      <c r="Y76" s="60">
        <f t="shared" si="12"/>
        <v>6</v>
      </c>
      <c r="Z76" s="60">
        <f t="shared" si="13"/>
        <v>1.25</v>
      </c>
      <c r="AE76" t="s">
        <v>1664</v>
      </c>
      <c r="AF76"/>
      <c r="AG76" s="61">
        <v>198</v>
      </c>
      <c r="AH76"/>
      <c r="AI76" s="64" t="s">
        <v>1649</v>
      </c>
      <c r="AJ76" s="73">
        <v>1</v>
      </c>
    </row>
    <row r="77" spans="1:36" ht="14.4" x14ac:dyDescent="0.3">
      <c r="A77" s="13">
        <v>6292612</v>
      </c>
      <c r="B77" s="13" t="s">
        <v>646</v>
      </c>
      <c r="C77" s="13" t="s">
        <v>945</v>
      </c>
      <c r="D77" s="13">
        <v>123</v>
      </c>
      <c r="E77" s="13" t="s">
        <v>171</v>
      </c>
      <c r="F77" s="13" t="s">
        <v>172</v>
      </c>
      <c r="H77" s="13" t="s">
        <v>946</v>
      </c>
      <c r="I77" s="13">
        <v>150</v>
      </c>
      <c r="J77" s="13">
        <v>1</v>
      </c>
      <c r="K77" s="14">
        <v>46157</v>
      </c>
      <c r="L77" s="14">
        <v>46156</v>
      </c>
      <c r="N77" s="13">
        <v>498</v>
      </c>
      <c r="P77" s="58" t="str">
        <f t="shared" si="7"/>
        <v>Luka Doncic</v>
      </c>
      <c r="Q77" s="58" t="str">
        <f>IFERROR(_xlfn.TEXTAFTER(_xlfn.XLOOKUP(A77,Collection!A:A,Collection!C:C,),"Cards "),C77)</f>
        <v>2023 Panini Donruss Bomb Squad</v>
      </c>
      <c r="R77" s="58" t="str">
        <f t="shared" si="8"/>
        <v>-</v>
      </c>
      <c r="S77" s="58" t="str">
        <f>IFERROR(_xlfn.TEXTAFTER(_xlfn.XLOOKUP(A77,Collection!A:A,Collection!B:B,),"#"),"")</f>
        <v>3</v>
      </c>
      <c r="T77" s="60">
        <f t="shared" si="9"/>
        <v>1.23</v>
      </c>
      <c r="U77" s="54" t="s">
        <v>1550</v>
      </c>
      <c r="V77" s="58" t="str">
        <f>IF(ISNUMBER(MATCH(N77,Catalog!$B$4:$B$16, 0)), "Keep", "For Sale")</f>
        <v>For Sale</v>
      </c>
      <c r="W77" s="58">
        <f t="shared" si="10"/>
        <v>1</v>
      </c>
      <c r="X77" s="58">
        <f t="shared" si="11"/>
        <v>1</v>
      </c>
      <c r="Y77" s="60">
        <f t="shared" si="12"/>
        <v>2</v>
      </c>
      <c r="Z77" s="60">
        <f t="shared" si="13"/>
        <v>1</v>
      </c>
      <c r="AE77" t="s">
        <v>1685</v>
      </c>
      <c r="AF77"/>
      <c r="AG77" s="61">
        <v>191</v>
      </c>
      <c r="AH77"/>
      <c r="AI77" s="8" t="s">
        <v>1800</v>
      </c>
      <c r="AJ77" s="73">
        <v>1</v>
      </c>
    </row>
    <row r="78" spans="1:36" ht="14.4" x14ac:dyDescent="0.3">
      <c r="A78" s="13">
        <v>6284400</v>
      </c>
      <c r="B78" s="13" t="s">
        <v>589</v>
      </c>
      <c r="C78" s="13" t="s">
        <v>590</v>
      </c>
      <c r="D78" s="13">
        <v>121</v>
      </c>
      <c r="E78" s="13" t="s">
        <v>171</v>
      </c>
      <c r="F78" s="13" t="s">
        <v>172</v>
      </c>
      <c r="H78" s="13" t="s">
        <v>591</v>
      </c>
      <c r="I78" s="13">
        <v>280</v>
      </c>
      <c r="J78" s="13">
        <v>1</v>
      </c>
      <c r="K78" s="14">
        <v>46154</v>
      </c>
      <c r="L78" s="14">
        <v>46148</v>
      </c>
      <c r="N78" s="13">
        <v>436</v>
      </c>
      <c r="P78" s="58" t="str">
        <f t="shared" si="7"/>
        <v>Luka Doncic</v>
      </c>
      <c r="Q78" s="58" t="str">
        <f>IFERROR(_xlfn.TEXTAFTER(_xlfn.XLOOKUP(A78,Collection!A:A,Collection!C:C,),"Cards "),C78)</f>
        <v>2023 Panini Donruss</v>
      </c>
      <c r="R78" s="58" t="str">
        <f t="shared" si="8"/>
        <v>-</v>
      </c>
      <c r="S78" s="58" t="str">
        <f>IFERROR(_xlfn.TEXTAFTER(_xlfn.XLOOKUP(A78,Collection!A:A,Collection!B:B,),"#"),"")</f>
        <v>141</v>
      </c>
      <c r="T78" s="60">
        <f t="shared" si="9"/>
        <v>1.21</v>
      </c>
      <c r="U78" s="54" t="s">
        <v>1550</v>
      </c>
      <c r="V78" s="58" t="str">
        <f>IF(ISNUMBER(MATCH(N78,Catalog!$B$4:$B$16, 0)), "Keep", "For Sale")</f>
        <v>For Sale</v>
      </c>
      <c r="W78" s="58">
        <f t="shared" si="10"/>
        <v>1</v>
      </c>
      <c r="X78" s="58">
        <f t="shared" si="11"/>
        <v>1</v>
      </c>
      <c r="Y78" s="60">
        <f t="shared" si="12"/>
        <v>3</v>
      </c>
      <c r="Z78" s="60">
        <f t="shared" si="13"/>
        <v>1</v>
      </c>
      <c r="AE78" t="s">
        <v>1694</v>
      </c>
      <c r="AF78"/>
      <c r="AG78" s="61">
        <v>190</v>
      </c>
      <c r="AH78"/>
      <c r="AI78" s="64" t="s">
        <v>1642</v>
      </c>
      <c r="AJ78" s="73">
        <v>1</v>
      </c>
    </row>
    <row r="79" spans="1:36" ht="14.4" x14ac:dyDescent="0.3">
      <c r="A79" s="13">
        <v>5463644</v>
      </c>
      <c r="B79" s="13" t="s">
        <v>1087</v>
      </c>
      <c r="C79" s="13" t="s">
        <v>443</v>
      </c>
      <c r="D79" s="13">
        <v>113</v>
      </c>
      <c r="E79" s="13" t="s">
        <v>171</v>
      </c>
      <c r="F79" s="13" t="s">
        <v>172</v>
      </c>
      <c r="H79" s="13" t="s">
        <v>1081</v>
      </c>
      <c r="I79" s="13">
        <v>190</v>
      </c>
      <c r="J79" s="13">
        <v>1</v>
      </c>
      <c r="K79" s="14">
        <v>46166</v>
      </c>
      <c r="L79" s="14">
        <v>46164</v>
      </c>
      <c r="N79" s="13">
        <v>516</v>
      </c>
      <c r="P79" s="58" t="str">
        <f t="shared" si="7"/>
        <v>Luka Doncic</v>
      </c>
      <c r="Q79" s="58" t="str">
        <f>IFERROR(_xlfn.TEXTAFTER(_xlfn.XLOOKUP(A79,Collection!A:A,Collection!C:C,),"Cards "),C79)</f>
        <v>2022 Panini Select</v>
      </c>
      <c r="R79" s="58" t="str">
        <f t="shared" si="8"/>
        <v>-</v>
      </c>
      <c r="S79" s="58" t="str">
        <f>IFERROR(_xlfn.TEXTAFTER(_xlfn.XLOOKUP(A79,Collection!A:A,Collection!B:B,),"#"),"")</f>
        <v>51</v>
      </c>
      <c r="T79" s="60">
        <f t="shared" si="9"/>
        <v>1.1299999999999999</v>
      </c>
      <c r="U79" s="54" t="s">
        <v>1550</v>
      </c>
      <c r="V79" s="58" t="str">
        <f>IF(ISNUMBER(MATCH(N79,Catalog!$B$4:$B$16, 0)), "Keep", "For Sale")</f>
        <v>For Sale</v>
      </c>
      <c r="W79" s="58">
        <f t="shared" si="10"/>
        <v>1</v>
      </c>
      <c r="X79" s="58">
        <f t="shared" si="11"/>
        <v>1</v>
      </c>
      <c r="Y79" s="60">
        <f t="shared" si="12"/>
        <v>2.5</v>
      </c>
      <c r="Z79" s="60">
        <f t="shared" si="13"/>
        <v>1</v>
      </c>
      <c r="AE79" t="s">
        <v>1701</v>
      </c>
      <c r="AF79"/>
      <c r="AG79" s="61">
        <v>189</v>
      </c>
      <c r="AH79"/>
      <c r="AI79" s="64" t="s">
        <v>1605</v>
      </c>
      <c r="AJ79" s="73">
        <v>1</v>
      </c>
    </row>
    <row r="80" spans="1:36" ht="14.4" x14ac:dyDescent="0.3">
      <c r="A80" s="13">
        <v>8406896</v>
      </c>
      <c r="B80" s="13" t="s">
        <v>646</v>
      </c>
      <c r="C80" s="13" t="s">
        <v>690</v>
      </c>
      <c r="D80" s="13">
        <v>102</v>
      </c>
      <c r="E80" s="13" t="s">
        <v>171</v>
      </c>
      <c r="F80" s="13" t="s">
        <v>172</v>
      </c>
      <c r="H80" s="13" t="s">
        <v>591</v>
      </c>
      <c r="I80" s="13">
        <v>280</v>
      </c>
      <c r="J80" s="13">
        <v>1</v>
      </c>
      <c r="K80" s="14">
        <v>46154</v>
      </c>
      <c r="L80" s="14">
        <v>46148</v>
      </c>
      <c r="N80" s="13">
        <v>515</v>
      </c>
      <c r="P80" s="58" t="str">
        <f t="shared" si="7"/>
        <v>Luka Doncic</v>
      </c>
      <c r="Q80" s="58" t="str">
        <f>IFERROR(_xlfn.TEXTAFTER(_xlfn.XLOOKUP(A80,Collection!A:A,Collection!C:C,),"Cards "),C80)</f>
        <v>2024 Panini NBA Hoops Frequent Flyers</v>
      </c>
      <c r="R80" s="58" t="str">
        <f t="shared" si="8"/>
        <v>-</v>
      </c>
      <c r="S80" s="58" t="str">
        <f>IFERROR(_xlfn.TEXTAFTER(_xlfn.XLOOKUP(A80,Collection!A:A,Collection!B:B,),"#"),"")</f>
        <v>3</v>
      </c>
      <c r="T80" s="60">
        <f t="shared" si="9"/>
        <v>1.02</v>
      </c>
      <c r="U80" s="54" t="s">
        <v>1550</v>
      </c>
      <c r="V80" s="58" t="str">
        <f>IF(ISNUMBER(MATCH(N80,Catalog!$B$4:$B$16, 0)), "Keep", "For Sale")</f>
        <v>For Sale</v>
      </c>
      <c r="W80" s="58">
        <f t="shared" si="10"/>
        <v>1</v>
      </c>
      <c r="X80" s="58">
        <f t="shared" si="11"/>
        <v>1</v>
      </c>
      <c r="Y80" s="60">
        <f t="shared" si="12"/>
        <v>3</v>
      </c>
      <c r="Z80" s="60">
        <f t="shared" si="13"/>
        <v>1</v>
      </c>
      <c r="AE80" t="s">
        <v>1699</v>
      </c>
      <c r="AF80"/>
      <c r="AG80" s="61">
        <v>188</v>
      </c>
      <c r="AH80"/>
      <c r="AI80" s="64" t="s">
        <v>1587</v>
      </c>
      <c r="AJ80" s="73">
        <v>1</v>
      </c>
    </row>
    <row r="81" spans="1:36" ht="14.4" x14ac:dyDescent="0.3">
      <c r="A81" s="13">
        <v>9259985</v>
      </c>
      <c r="B81" s="13" t="s">
        <v>913</v>
      </c>
      <c r="C81" s="13" t="s">
        <v>599</v>
      </c>
      <c r="D81" s="13">
        <v>100</v>
      </c>
      <c r="E81" s="13" t="s">
        <v>171</v>
      </c>
      <c r="F81" s="13" t="s">
        <v>172</v>
      </c>
      <c r="H81" s="13" t="s">
        <v>914</v>
      </c>
      <c r="I81" s="13">
        <v>170</v>
      </c>
      <c r="J81" s="13">
        <v>1</v>
      </c>
      <c r="K81" s="14">
        <v>46157</v>
      </c>
      <c r="L81" s="14">
        <v>46152</v>
      </c>
      <c r="N81" s="13">
        <v>542</v>
      </c>
      <c r="P81" s="58" t="str">
        <f t="shared" si="7"/>
        <v>Luka Doncic</v>
      </c>
      <c r="Q81" s="58" t="str">
        <f>IFERROR(_xlfn.TEXTAFTER(_xlfn.XLOOKUP(A81,Collection!A:A,Collection!C:C,),"Cards "),C81)</f>
        <v>2024 Panini Revolution</v>
      </c>
      <c r="R81" s="58" t="str">
        <f t="shared" si="8"/>
        <v>-</v>
      </c>
      <c r="S81" s="58" t="str">
        <f>IFERROR(_xlfn.TEXTAFTER(_xlfn.XLOOKUP(A81,Collection!A:A,Collection!B:B,),"#"),"")</f>
        <v>13</v>
      </c>
      <c r="T81" s="60">
        <f t="shared" si="9"/>
        <v>1</v>
      </c>
      <c r="U81" s="54" t="s">
        <v>1550</v>
      </c>
      <c r="V81" s="58" t="str">
        <f>IF(ISNUMBER(MATCH(N81,Catalog!$B$4:$B$16, 0)), "Keep", "For Sale")</f>
        <v>For Sale</v>
      </c>
      <c r="W81" s="58">
        <f t="shared" si="10"/>
        <v>1</v>
      </c>
      <c r="X81" s="58">
        <f t="shared" si="11"/>
        <v>1</v>
      </c>
      <c r="Y81" s="60">
        <f t="shared" si="12"/>
        <v>2</v>
      </c>
      <c r="Z81" s="60">
        <f t="shared" si="13"/>
        <v>1</v>
      </c>
      <c r="AE81" t="s">
        <v>1562</v>
      </c>
      <c r="AF81"/>
      <c r="AG81" s="61">
        <v>187</v>
      </c>
      <c r="AH81"/>
      <c r="AI81" s="64" t="s">
        <v>1628</v>
      </c>
      <c r="AJ81" s="73">
        <v>1</v>
      </c>
    </row>
    <row r="82" spans="1:36" ht="14.4" x14ac:dyDescent="0.3">
      <c r="A82" s="13">
        <v>2483033</v>
      </c>
      <c r="B82" s="13" t="s">
        <v>1707</v>
      </c>
      <c r="C82" s="13" t="s">
        <v>1002</v>
      </c>
      <c r="D82" s="13">
        <v>99</v>
      </c>
      <c r="E82" s="13" t="s">
        <v>171</v>
      </c>
      <c r="F82" s="13" t="s">
        <v>172</v>
      </c>
      <c r="H82" s="13" t="s">
        <v>1066</v>
      </c>
      <c r="I82" s="13">
        <v>174</v>
      </c>
      <c r="J82" s="13">
        <v>1</v>
      </c>
      <c r="K82" s="14">
        <v>46166</v>
      </c>
      <c r="L82" s="14">
        <v>46164</v>
      </c>
      <c r="N82" s="13">
        <v>559</v>
      </c>
      <c r="P82" s="58" t="str">
        <f t="shared" si="7"/>
        <v>Luka Doncic</v>
      </c>
      <c r="Q82" s="58" t="str">
        <f>IFERROR(_xlfn.TEXTAFTER(_xlfn.XLOOKUP(A82,Collection!A:A,Collection!C:C,),"Cards "),C82)</f>
        <v>2020 Panini Select</v>
      </c>
      <c r="R82" s="58" t="str">
        <f t="shared" si="8"/>
        <v>Blue Retail</v>
      </c>
      <c r="S82" s="58" t="str">
        <f>IFERROR(_xlfn.TEXTAFTER(_xlfn.XLOOKUP(A82,Collection!A:A,Collection!B:B,),"#"),"")</f>
        <v>15</v>
      </c>
      <c r="T82" s="60">
        <f t="shared" si="9"/>
        <v>0.99</v>
      </c>
      <c r="U82" s="54" t="s">
        <v>1550</v>
      </c>
      <c r="V82" s="58" t="str">
        <f>IF(ISNUMBER(MATCH(N82,Catalog!$B$4:$B$16, 0)), "Keep", "For Sale")</f>
        <v>For Sale</v>
      </c>
      <c r="W82" s="58">
        <f t="shared" si="10"/>
        <v>1</v>
      </c>
      <c r="X82" s="58">
        <f t="shared" si="11"/>
        <v>1</v>
      </c>
      <c r="Y82" s="60">
        <f t="shared" si="12"/>
        <v>2</v>
      </c>
      <c r="Z82" s="60">
        <f t="shared" si="13"/>
        <v>0.75</v>
      </c>
      <c r="AE82" t="s">
        <v>1574</v>
      </c>
      <c r="AF82"/>
      <c r="AG82" s="61">
        <v>184.66666666666666</v>
      </c>
      <c r="AH82"/>
      <c r="AI82" s="64" t="s">
        <v>1596</v>
      </c>
      <c r="AJ82" s="73">
        <v>1</v>
      </c>
    </row>
    <row r="83" spans="1:36" ht="14.4" x14ac:dyDescent="0.3">
      <c r="A83" s="13">
        <v>5463744</v>
      </c>
      <c r="B83" s="13" t="s">
        <v>442</v>
      </c>
      <c r="C83" s="13" t="s">
        <v>443</v>
      </c>
      <c r="D83" s="13">
        <v>62</v>
      </c>
      <c r="E83" s="13" t="s">
        <v>171</v>
      </c>
      <c r="F83" s="13" t="s">
        <v>172</v>
      </c>
      <c r="H83" s="13" t="s">
        <v>444</v>
      </c>
      <c r="I83" s="13">
        <v>504</v>
      </c>
      <c r="J83" s="13">
        <v>1</v>
      </c>
      <c r="K83" s="14">
        <v>46151</v>
      </c>
      <c r="L83" s="14">
        <v>46146</v>
      </c>
      <c r="N83" s="13">
        <v>584</v>
      </c>
      <c r="P83" s="58" t="str">
        <f t="shared" si="7"/>
        <v>Luka Doncic</v>
      </c>
      <c r="Q83" s="58" t="str">
        <f>IFERROR(_xlfn.TEXTAFTER(_xlfn.XLOOKUP(A83,Collection!A:A,Collection!C:C,),"Cards "),C83)</f>
        <v>2022 Panini Select</v>
      </c>
      <c r="R83" s="58" t="str">
        <f t="shared" si="8"/>
        <v>-</v>
      </c>
      <c r="S83" s="58" t="str">
        <f>IFERROR(_xlfn.TEXTAFTER(_xlfn.XLOOKUP(A83,Collection!A:A,Collection!B:B,),"#"),"")</f>
        <v>151</v>
      </c>
      <c r="T83" s="60">
        <f t="shared" si="9"/>
        <v>0.62</v>
      </c>
      <c r="U83" s="54" t="s">
        <v>1550</v>
      </c>
      <c r="V83" s="58" t="str">
        <f>IF(ISNUMBER(MATCH(N83,Catalog!$B$4:$B$16, 0)), "Keep", "For Sale")</f>
        <v>For Sale</v>
      </c>
      <c r="W83" s="58">
        <f t="shared" si="10"/>
        <v>1</v>
      </c>
      <c r="X83" s="58">
        <f t="shared" si="11"/>
        <v>1</v>
      </c>
      <c r="Y83" s="60">
        <f t="shared" si="12"/>
        <v>6</v>
      </c>
      <c r="Z83" s="60">
        <f t="shared" si="13"/>
        <v>0.5</v>
      </c>
      <c r="AE83" t="s">
        <v>1566</v>
      </c>
      <c r="AF83"/>
      <c r="AG83" s="61">
        <v>182.66666666666666</v>
      </c>
      <c r="AH83"/>
      <c r="AI83" s="64" t="s">
        <v>1676</v>
      </c>
      <c r="AJ83" s="73">
        <v>1</v>
      </c>
    </row>
    <row r="84" spans="1:36" ht="14.4" x14ac:dyDescent="0.3">
      <c r="A84" s="13">
        <v>11360390</v>
      </c>
      <c r="B84" s="13" t="s">
        <v>582</v>
      </c>
      <c r="C84" s="13" t="s">
        <v>583</v>
      </c>
      <c r="D84" s="13">
        <v>0</v>
      </c>
      <c r="E84" s="13" t="s">
        <v>171</v>
      </c>
      <c r="F84" s="13" t="s">
        <v>172</v>
      </c>
      <c r="H84" s="13" t="s">
        <v>533</v>
      </c>
      <c r="I84" s="13">
        <v>280</v>
      </c>
      <c r="J84" s="13">
        <v>1</v>
      </c>
      <c r="K84" s="14">
        <v>46154</v>
      </c>
      <c r="L84" s="14">
        <v>46148</v>
      </c>
      <c r="N84" s="13">
        <v>599</v>
      </c>
      <c r="P84" s="58" t="str">
        <f t="shared" si="7"/>
        <v>Luka Doncic</v>
      </c>
      <c r="Q84" s="58" t="str">
        <f>IFERROR(_xlfn.TEXTAFTER(_xlfn.XLOOKUP(A84,Collection!A:A,Collection!C:C,),"Cards "),C84)</f>
        <v>2020 Panini Chronicles Hometown Heroes Rookie Autographs</v>
      </c>
      <c r="R84" s="58" t="str">
        <f t="shared" si="8"/>
        <v>-</v>
      </c>
      <c r="S84" s="58" t="str">
        <f>IFERROR(_xlfn.TEXTAFTER(_xlfn.XLOOKUP(A84,Collection!A:A,Collection!B:B,),"#"),"")</f>
        <v>554</v>
      </c>
      <c r="T84" s="60">
        <f t="shared" si="9"/>
        <v>0</v>
      </c>
      <c r="U84" s="54" t="s">
        <v>1550</v>
      </c>
      <c r="V84" s="58" t="str">
        <f>IF(ISNUMBER(MATCH(N84,Catalog!$B$4:$B$16, 0)), "Keep", "For Sale")</f>
        <v>For Sale</v>
      </c>
      <c r="W84" s="58">
        <f t="shared" si="10"/>
        <v>1</v>
      </c>
      <c r="X84" s="58">
        <f t="shared" si="11"/>
        <v>1</v>
      </c>
      <c r="Y84" s="60">
        <f t="shared" si="12"/>
        <v>3</v>
      </c>
      <c r="Z84" s="60">
        <f t="shared" si="13"/>
        <v>0.25</v>
      </c>
      <c r="AE84" t="s">
        <v>1559</v>
      </c>
      <c r="AF84"/>
      <c r="AG84" s="61">
        <v>181.33333333333334</v>
      </c>
      <c r="AH84"/>
      <c r="AI84" s="64" t="s">
        <v>1616</v>
      </c>
      <c r="AJ84" s="73">
        <v>1</v>
      </c>
    </row>
    <row r="85" spans="1:36" ht="14.4" x14ac:dyDescent="0.3">
      <c r="A85" s="13">
        <v>13280701</v>
      </c>
      <c r="B85" s="13" t="s">
        <v>1281</v>
      </c>
      <c r="C85" s="13" t="s">
        <v>1282</v>
      </c>
      <c r="D85" s="13">
        <v>2063</v>
      </c>
      <c r="E85" s="13" t="s">
        <v>171</v>
      </c>
      <c r="F85" s="13" t="s">
        <v>172</v>
      </c>
      <c r="H85" s="13" t="s">
        <v>1283</v>
      </c>
      <c r="I85" s="13">
        <v>4035</v>
      </c>
      <c r="J85" s="13">
        <v>1</v>
      </c>
      <c r="K85" s="14">
        <v>46182</v>
      </c>
      <c r="L85" s="14">
        <v>46182</v>
      </c>
      <c r="N85" s="13">
        <v>22</v>
      </c>
      <c r="P85" s="58" t="str">
        <f t="shared" si="7"/>
        <v>Mac McClung</v>
      </c>
      <c r="Q85" s="58" t="str">
        <f>IFERROR(_xlfn.TEXTAFTER(_xlfn.XLOOKUP(A85,Collection!A:A,Collection!C:C,),"Cards "),C85)</f>
        <v>2021 Panini Prizm Draft Picks Autographs</v>
      </c>
      <c r="R85" s="58" t="str">
        <f t="shared" si="8"/>
        <v>Red</v>
      </c>
      <c r="S85" s="58" t="str">
        <f>IFERROR(_xlfn.TEXTAFTER(_xlfn.XLOOKUP(A85,Collection!A:A,Collection!B:B,),"#"),"")</f>
        <v>DP-MMC</v>
      </c>
      <c r="T85" s="60">
        <f t="shared" si="9"/>
        <v>20.63</v>
      </c>
      <c r="U85" s="54" t="s">
        <v>1595</v>
      </c>
      <c r="V85" s="58" t="str">
        <f>IF(ISNUMBER(MATCH(N85,Catalog!$B$4:$B$16, 0)), "Keep", "For Sale")</f>
        <v>For Sale</v>
      </c>
      <c r="W85" s="58">
        <f t="shared" si="10"/>
        <v>1</v>
      </c>
      <c r="X85" s="58">
        <f t="shared" si="11"/>
        <v>1</v>
      </c>
      <c r="Y85" s="60">
        <f t="shared" si="12"/>
        <v>48</v>
      </c>
      <c r="Z85" s="60">
        <f t="shared" si="13"/>
        <v>21</v>
      </c>
      <c r="AE85" t="s">
        <v>1620</v>
      </c>
      <c r="AF85"/>
      <c r="AG85" s="61">
        <v>180</v>
      </c>
      <c r="AH85"/>
      <c r="AI85" s="64" t="s">
        <v>1683</v>
      </c>
      <c r="AJ85" s="73">
        <v>1</v>
      </c>
    </row>
    <row r="86" spans="1:36" ht="14.4" x14ac:dyDescent="0.3">
      <c r="A86" s="13">
        <v>3351202</v>
      </c>
      <c r="B86" s="13" t="s">
        <v>1171</v>
      </c>
      <c r="C86" s="13" t="s">
        <v>1172</v>
      </c>
      <c r="D86" s="13">
        <v>149</v>
      </c>
      <c r="E86" s="13" t="s">
        <v>171</v>
      </c>
      <c r="F86" s="13" t="s">
        <v>172</v>
      </c>
      <c r="H86" s="13" t="s">
        <v>1173</v>
      </c>
      <c r="I86" s="13">
        <v>441</v>
      </c>
      <c r="J86" s="13">
        <v>1</v>
      </c>
      <c r="K86" s="14">
        <v>46182</v>
      </c>
      <c r="L86" s="14">
        <v>46181</v>
      </c>
      <c r="N86" s="13">
        <v>429</v>
      </c>
      <c r="P86" s="58" t="str">
        <f t="shared" si="7"/>
        <v>Mac McClung</v>
      </c>
      <c r="Q86" s="58" t="str">
        <f>IFERROR(_xlfn.TEXTAFTER(_xlfn.XLOOKUP(A86,Collection!A:A,Collection!C:C,),"Cards "),C86)</f>
        <v>2021 Panini Prizm Draft Picks</v>
      </c>
      <c r="R86" s="58" t="str">
        <f t="shared" si="8"/>
        <v>-</v>
      </c>
      <c r="S86" s="58" t="str">
        <f>IFERROR(_xlfn.TEXTAFTER(_xlfn.XLOOKUP(A86,Collection!A:A,Collection!B:B,),"#"),"")</f>
        <v>39</v>
      </c>
      <c r="T86" s="60">
        <f t="shared" si="9"/>
        <v>1.49</v>
      </c>
      <c r="U86" s="54" t="s">
        <v>1595</v>
      </c>
      <c r="V86" s="58" t="str">
        <f>IF(ISNUMBER(MATCH(N86,Catalog!$B$4:$B$16, 0)), "Keep", "For Sale")</f>
        <v>For Sale</v>
      </c>
      <c r="W86" s="58">
        <f t="shared" si="10"/>
        <v>1</v>
      </c>
      <c r="X86" s="58">
        <f t="shared" si="11"/>
        <v>1</v>
      </c>
      <c r="Y86" s="60">
        <f t="shared" si="12"/>
        <v>5</v>
      </c>
      <c r="Z86" s="60">
        <f t="shared" si="13"/>
        <v>1.25</v>
      </c>
      <c r="AE86" t="s">
        <v>1652</v>
      </c>
      <c r="AF86"/>
      <c r="AG86" s="61">
        <v>177</v>
      </c>
      <c r="AH86"/>
      <c r="AI86" s="64" t="s">
        <v>1632</v>
      </c>
      <c r="AJ86" s="73">
        <v>1</v>
      </c>
    </row>
    <row r="87" spans="1:36" ht="14.4" x14ac:dyDescent="0.3">
      <c r="A87" s="13">
        <v>89006</v>
      </c>
      <c r="B87" s="13" t="s">
        <v>192</v>
      </c>
      <c r="C87" s="13" t="s">
        <v>193</v>
      </c>
      <c r="D87" s="13">
        <v>28311</v>
      </c>
      <c r="E87" s="13" t="s">
        <v>171</v>
      </c>
      <c r="F87" s="13" t="s">
        <v>172</v>
      </c>
      <c r="I87" s="13">
        <v>500</v>
      </c>
      <c r="J87" s="13">
        <v>1</v>
      </c>
      <c r="K87" s="14">
        <v>46183</v>
      </c>
      <c r="N87" s="13">
        <v>1</v>
      </c>
      <c r="P87" s="58" t="str">
        <f t="shared" si="7"/>
        <v>Michael Jordan</v>
      </c>
      <c r="Q87" s="58" t="str">
        <f>IFERROR(_xlfn.TEXTAFTER(_xlfn.XLOOKUP(A87,Collection!A:A,Collection!C:C,),"Cards "),C87)</f>
        <v>1997 Metal Universe</v>
      </c>
      <c r="R87" s="58" t="str">
        <f t="shared" si="8"/>
        <v>-</v>
      </c>
      <c r="S87" s="58" t="str">
        <f>IFERROR(_xlfn.TEXTAFTER(_xlfn.XLOOKUP(A87,Collection!A:A,Collection!B:B,),"#"),"")</f>
        <v>23</v>
      </c>
      <c r="T87" s="60">
        <f t="shared" si="9"/>
        <v>283.11</v>
      </c>
      <c r="U87" s="54" t="s">
        <v>1561</v>
      </c>
      <c r="V87" s="58" t="str">
        <f>IF(ISNUMBER(MATCH(N87,Catalog!$B$4:$B$16, 0)), "Keep", "For Sale")</f>
        <v>Keep</v>
      </c>
      <c r="W87" s="58">
        <f t="shared" si="10"/>
        <v>0</v>
      </c>
      <c r="X87" s="58">
        <f t="shared" si="11"/>
        <v>1</v>
      </c>
      <c r="Y87" s="60">
        <f t="shared" si="12"/>
        <v>340</v>
      </c>
      <c r="Z87" s="60">
        <f t="shared" si="13"/>
        <v>5</v>
      </c>
      <c r="AE87" t="s">
        <v>1649</v>
      </c>
      <c r="AF87"/>
      <c r="AG87" s="61">
        <v>175</v>
      </c>
      <c r="AH87"/>
      <c r="AI87" s="64" t="s">
        <v>1686</v>
      </c>
      <c r="AJ87" s="73">
        <v>1</v>
      </c>
    </row>
    <row r="88" spans="1:36" ht="14.4" x14ac:dyDescent="0.3">
      <c r="A88" s="13">
        <v>85372</v>
      </c>
      <c r="B88" s="13" t="s">
        <v>223</v>
      </c>
      <c r="C88" s="13" t="s">
        <v>216</v>
      </c>
      <c r="D88" s="13">
        <v>5000</v>
      </c>
      <c r="E88" s="13" t="s">
        <v>171</v>
      </c>
      <c r="F88" s="13" t="s">
        <v>172</v>
      </c>
      <c r="I88" s="13">
        <v>500</v>
      </c>
      <c r="J88" s="13">
        <v>1</v>
      </c>
      <c r="K88" s="14">
        <v>46197</v>
      </c>
      <c r="N88" s="13">
        <v>11</v>
      </c>
      <c r="P88" s="58" t="str">
        <f t="shared" si="7"/>
        <v>Michael Jordan</v>
      </c>
      <c r="Q88" s="58" t="str">
        <f>IFERROR(_xlfn.TEXTAFTER(_xlfn.XLOOKUP(A88,Collection!A:A,Collection!C:C,),"Cards "),C88)</f>
        <v>1996 Fleer Metal</v>
      </c>
      <c r="R88" s="58" t="str">
        <f t="shared" si="8"/>
        <v>-</v>
      </c>
      <c r="S88" s="58" t="str">
        <f>IFERROR(_xlfn.TEXTAFTER(_xlfn.XLOOKUP(A88,Collection!A:A,Collection!B:B,),"#"),"")</f>
        <v>11</v>
      </c>
      <c r="T88" s="60">
        <f t="shared" si="9"/>
        <v>50</v>
      </c>
      <c r="U88" s="54" t="s">
        <v>1561</v>
      </c>
      <c r="V88" s="58" t="str">
        <f>IF(ISNUMBER(MATCH(N88,Catalog!$B$4:$B$16, 0)), "Keep", "For Sale")</f>
        <v>Keep</v>
      </c>
      <c r="W88" s="58">
        <f t="shared" si="10"/>
        <v>1</v>
      </c>
      <c r="X88" s="58">
        <f t="shared" si="11"/>
        <v>1</v>
      </c>
      <c r="Y88" s="60">
        <f t="shared" si="12"/>
        <v>60</v>
      </c>
      <c r="Z88" s="60">
        <f t="shared" si="13"/>
        <v>5</v>
      </c>
      <c r="AE88" t="s">
        <v>1654</v>
      </c>
      <c r="AF88"/>
      <c r="AG88" s="61">
        <v>175</v>
      </c>
      <c r="AH88"/>
      <c r="AI88" s="64" t="s">
        <v>1673</v>
      </c>
      <c r="AJ88" s="73">
        <v>1</v>
      </c>
    </row>
    <row r="89" spans="1:36" ht="14.4" x14ac:dyDescent="0.3">
      <c r="A89" s="13">
        <v>85372</v>
      </c>
      <c r="B89" s="13" t="s">
        <v>223</v>
      </c>
      <c r="C89" s="13" t="s">
        <v>216</v>
      </c>
      <c r="D89" s="13">
        <v>5000</v>
      </c>
      <c r="E89" s="13" t="s">
        <v>171</v>
      </c>
      <c r="F89" s="13" t="s">
        <v>172</v>
      </c>
      <c r="I89" s="13">
        <v>500</v>
      </c>
      <c r="J89" s="13">
        <v>1</v>
      </c>
      <c r="K89" s="14">
        <v>46183</v>
      </c>
      <c r="N89" s="13">
        <v>3</v>
      </c>
      <c r="P89" s="58" t="str">
        <f t="shared" si="7"/>
        <v>Michael Jordan</v>
      </c>
      <c r="Q89" s="58" t="str">
        <f>IFERROR(_xlfn.TEXTAFTER(_xlfn.XLOOKUP(A89,Collection!A:A,Collection!C:C,),"Cards "),C89)</f>
        <v>1996 Fleer Metal</v>
      </c>
      <c r="R89" s="58" t="str">
        <f t="shared" si="8"/>
        <v>-</v>
      </c>
      <c r="S89" s="58" t="str">
        <f>IFERROR(_xlfn.TEXTAFTER(_xlfn.XLOOKUP(A89,Collection!A:A,Collection!B:B,),"#"),"")</f>
        <v>11</v>
      </c>
      <c r="T89" s="60">
        <f t="shared" si="9"/>
        <v>50</v>
      </c>
      <c r="U89" s="54" t="s">
        <v>1561</v>
      </c>
      <c r="V89" s="58" t="str">
        <f>IF(ISNUMBER(MATCH(N89,Catalog!$B$4:$B$16, 0)), "Keep", "For Sale")</f>
        <v>For Sale</v>
      </c>
      <c r="W89" s="58">
        <f t="shared" si="10"/>
        <v>1</v>
      </c>
      <c r="X89" s="58">
        <f t="shared" si="11"/>
        <v>1</v>
      </c>
      <c r="Y89" s="60">
        <f t="shared" si="12"/>
        <v>60</v>
      </c>
      <c r="Z89" s="60">
        <f t="shared" si="13"/>
        <v>5</v>
      </c>
      <c r="AE89" t="s">
        <v>1639</v>
      </c>
      <c r="AF89"/>
      <c r="AG89" s="61">
        <v>174.33333333333334</v>
      </c>
      <c r="AH89"/>
      <c r="AI89" s="64" t="s">
        <v>1697</v>
      </c>
      <c r="AJ89" s="73">
        <v>1</v>
      </c>
    </row>
    <row r="90" spans="1:36" ht="14.4" x14ac:dyDescent="0.3">
      <c r="A90" s="13">
        <v>85449</v>
      </c>
      <c r="B90" s="13" t="s">
        <v>419</v>
      </c>
      <c r="C90" s="13" t="s">
        <v>216</v>
      </c>
      <c r="D90" s="13">
        <v>3049</v>
      </c>
      <c r="E90" s="13" t="s">
        <v>171</v>
      </c>
      <c r="F90" s="13" t="s">
        <v>172</v>
      </c>
      <c r="I90" s="13">
        <v>250</v>
      </c>
      <c r="J90" s="13">
        <v>1</v>
      </c>
      <c r="K90" s="14">
        <v>46129</v>
      </c>
      <c r="N90" s="13">
        <v>7</v>
      </c>
      <c r="P90" s="58" t="str">
        <f t="shared" si="7"/>
        <v>Michael Jordan</v>
      </c>
      <c r="Q90" s="58" t="str">
        <f>IFERROR(_xlfn.TEXTAFTER(_xlfn.XLOOKUP(A90,Collection!A:A,Collection!C:C,),"Cards "),C90)</f>
        <v>1996 Fleer Metal</v>
      </c>
      <c r="R90" s="58" t="str">
        <f t="shared" si="8"/>
        <v>-</v>
      </c>
      <c r="S90" s="58" t="str">
        <f>IFERROR(_xlfn.TEXTAFTER(_xlfn.XLOOKUP(A90,Collection!A:A,Collection!B:B,),"#"),"")</f>
        <v>241</v>
      </c>
      <c r="T90" s="60">
        <f t="shared" si="9"/>
        <v>30.49</v>
      </c>
      <c r="U90" s="54" t="s">
        <v>1561</v>
      </c>
      <c r="V90" s="58" t="str">
        <f>IF(ISNUMBER(MATCH(N90,Catalog!$B$4:$B$16, 0)), "Keep", "For Sale")</f>
        <v>For Sale</v>
      </c>
      <c r="W90" s="58">
        <f t="shared" si="10"/>
        <v>1</v>
      </c>
      <c r="X90" s="58">
        <f t="shared" si="11"/>
        <v>1</v>
      </c>
      <c r="Y90" s="60">
        <f t="shared" si="12"/>
        <v>37</v>
      </c>
      <c r="Z90" s="60">
        <f t="shared" si="13"/>
        <v>3</v>
      </c>
      <c r="AE90" t="s">
        <v>1560</v>
      </c>
      <c r="AF90"/>
      <c r="AG90" s="61">
        <v>173.5</v>
      </c>
      <c r="AH90"/>
      <c r="AI90" s="64" t="s">
        <v>1555</v>
      </c>
      <c r="AJ90" s="73">
        <v>1</v>
      </c>
    </row>
    <row r="91" spans="1:36" ht="14.4" x14ac:dyDescent="0.3">
      <c r="A91" s="13">
        <v>3225488</v>
      </c>
      <c r="B91" s="13" t="s">
        <v>1787</v>
      </c>
      <c r="C91" s="13" t="s">
        <v>1201</v>
      </c>
      <c r="D91" s="13">
        <v>2970</v>
      </c>
      <c r="E91" s="13" t="s">
        <v>171</v>
      </c>
      <c r="F91" s="13" t="s">
        <v>172</v>
      </c>
      <c r="H91" s="13" t="s">
        <v>1788</v>
      </c>
      <c r="I91" s="13">
        <v>2809</v>
      </c>
      <c r="J91" s="13">
        <v>1</v>
      </c>
      <c r="K91" s="14">
        <v>46195</v>
      </c>
      <c r="L91" s="14">
        <v>46194</v>
      </c>
      <c r="N91" s="13">
        <v>8</v>
      </c>
      <c r="P91" s="58" t="str">
        <f t="shared" si="7"/>
        <v>Michael Jordan</v>
      </c>
      <c r="Q91" s="58" t="str">
        <f>IFERROR(_xlfn.TEXTAFTER(_xlfn.XLOOKUP(A91,Collection!A:A,Collection!C:C,),"Cards "),C91)</f>
        <v>1994 E Motion</v>
      </c>
      <c r="R91" s="58" t="str">
        <f t="shared" si="8"/>
        <v>-</v>
      </c>
      <c r="S91" s="58" t="str">
        <f>IFERROR(_xlfn.TEXTAFTER(_xlfn.XLOOKUP(A91,Collection!A:A,Collection!B:B,),"#"),"")</f>
        <v>100</v>
      </c>
      <c r="T91" s="60">
        <f t="shared" si="9"/>
        <v>29.7</v>
      </c>
      <c r="U91" s="54" t="s">
        <v>1561</v>
      </c>
      <c r="V91" s="58" t="str">
        <f>IF(ISNUMBER(MATCH(N91,Catalog!$B$4:$B$16, 0)), "Keep", "For Sale")</f>
        <v>Keep</v>
      </c>
      <c r="W91" s="58">
        <f t="shared" si="10"/>
        <v>0</v>
      </c>
      <c r="X91" s="58">
        <f t="shared" si="11"/>
        <v>1</v>
      </c>
      <c r="Y91" s="60">
        <f t="shared" si="12"/>
        <v>36</v>
      </c>
      <c r="Z91" s="60">
        <f t="shared" si="13"/>
        <v>28</v>
      </c>
      <c r="AE91" t="s">
        <v>1689</v>
      </c>
      <c r="AF91"/>
      <c r="AG91" s="61">
        <v>170</v>
      </c>
      <c r="AH91"/>
      <c r="AI91" s="64" t="s">
        <v>1700</v>
      </c>
      <c r="AJ91" s="73">
        <v>1</v>
      </c>
    </row>
    <row r="92" spans="1:36" ht="14.4" x14ac:dyDescent="0.3">
      <c r="A92" s="13">
        <v>3279930</v>
      </c>
      <c r="B92" s="13" t="s">
        <v>345</v>
      </c>
      <c r="C92" s="13" t="s">
        <v>346</v>
      </c>
      <c r="D92" s="13">
        <v>2152</v>
      </c>
      <c r="E92" s="13" t="s">
        <v>171</v>
      </c>
      <c r="F92" s="13" t="s">
        <v>172</v>
      </c>
      <c r="I92" s="13">
        <v>0</v>
      </c>
      <c r="J92" s="13">
        <v>1</v>
      </c>
      <c r="K92" s="14">
        <v>46127</v>
      </c>
      <c r="N92" s="13">
        <v>10</v>
      </c>
      <c r="P92" s="58" t="str">
        <f t="shared" si="7"/>
        <v>Michael Jordan</v>
      </c>
      <c r="Q92" s="58" t="str">
        <f>IFERROR(_xlfn.TEXTAFTER(_xlfn.XLOOKUP(A92,Collection!A:A,Collection!C:C,),"Cards "),C92)</f>
        <v>1997 Upper Deck Teammates</v>
      </c>
      <c r="R92" s="58" t="str">
        <f t="shared" si="8"/>
        <v>-</v>
      </c>
      <c r="S92" s="58" t="str">
        <f>IFERROR(_xlfn.TEXTAFTER(_xlfn.XLOOKUP(A92,Collection!A:A,Collection!B:B,),"#"),"")</f>
        <v>T59</v>
      </c>
      <c r="T92" s="60">
        <f t="shared" si="9"/>
        <v>21.52</v>
      </c>
      <c r="U92" s="54" t="s">
        <v>1561</v>
      </c>
      <c r="V92" s="58" t="str">
        <f>IF(ISNUMBER(MATCH(N92,Catalog!$B$4:$B$16, 0)), "Keep", "For Sale")</f>
        <v>For Sale</v>
      </c>
      <c r="W92" s="58">
        <f t="shared" si="10"/>
        <v>1</v>
      </c>
      <c r="X92" s="58">
        <f t="shared" si="11"/>
        <v>1</v>
      </c>
      <c r="Y92" s="60">
        <f t="shared" si="12"/>
        <v>26</v>
      </c>
      <c r="Z92" s="60">
        <f t="shared" si="13"/>
        <v>22</v>
      </c>
      <c r="AE92" t="s">
        <v>1575</v>
      </c>
      <c r="AF92"/>
      <c r="AG92" s="61">
        <v>166</v>
      </c>
      <c r="AH92"/>
      <c r="AI92" s="64" t="s">
        <v>1651</v>
      </c>
      <c r="AJ92" s="73">
        <v>1</v>
      </c>
    </row>
    <row r="93" spans="1:36" ht="14.4" x14ac:dyDescent="0.3">
      <c r="A93" s="13">
        <v>1951621</v>
      </c>
      <c r="B93" s="13" t="s">
        <v>657</v>
      </c>
      <c r="C93" s="13" t="s">
        <v>658</v>
      </c>
      <c r="D93" s="13">
        <v>2034</v>
      </c>
      <c r="E93" s="13" t="s">
        <v>171</v>
      </c>
      <c r="F93" s="13" t="s">
        <v>172</v>
      </c>
      <c r="I93" s="13">
        <v>0</v>
      </c>
      <c r="J93" s="13">
        <v>1</v>
      </c>
      <c r="K93" s="14">
        <v>46129</v>
      </c>
      <c r="N93" s="13">
        <v>9</v>
      </c>
      <c r="P93" s="58" t="str">
        <f t="shared" si="7"/>
        <v>Michael Jordan</v>
      </c>
      <c r="Q93" s="58" t="str">
        <f>IFERROR(_xlfn.TEXTAFTER(_xlfn.XLOOKUP(A93,Collection!A:A,Collection!C:C,),"Cards "),C93)</f>
        <v>1991 Upper Deck</v>
      </c>
      <c r="R93" s="58" t="str">
        <f t="shared" si="8"/>
        <v>-</v>
      </c>
      <c r="S93" s="58" t="str">
        <f>IFERROR(_xlfn.TEXTAFTER(_xlfn.XLOOKUP(A93,Collection!A:A,Collection!B:B,),"#"),"")</f>
        <v>SP1</v>
      </c>
      <c r="T93" s="60">
        <f t="shared" si="9"/>
        <v>20.34</v>
      </c>
      <c r="U93" s="54" t="s">
        <v>1561</v>
      </c>
      <c r="V93" s="58" t="str">
        <f>IF(ISNUMBER(MATCH(N93,Catalog!$B$4:$B$16, 0)), "Keep", "For Sale")</f>
        <v>For Sale</v>
      </c>
      <c r="W93" s="58">
        <f t="shared" si="10"/>
        <v>1</v>
      </c>
      <c r="X93" s="58">
        <f t="shared" si="11"/>
        <v>1</v>
      </c>
      <c r="Y93" s="60">
        <f t="shared" si="12"/>
        <v>24</v>
      </c>
      <c r="Z93" s="60">
        <f t="shared" si="13"/>
        <v>20</v>
      </c>
      <c r="AE93" t="s">
        <v>1670</v>
      </c>
      <c r="AF93"/>
      <c r="AG93" s="61">
        <v>166</v>
      </c>
      <c r="AH93"/>
      <c r="AI93" s="8" t="s">
        <v>1804</v>
      </c>
      <c r="AJ93" s="73">
        <v>1</v>
      </c>
    </row>
    <row r="94" spans="1:36" ht="14.4" x14ac:dyDescent="0.3">
      <c r="A94" s="13">
        <v>85637</v>
      </c>
      <c r="B94" s="13" t="s">
        <v>256</v>
      </c>
      <c r="C94" s="13" t="s">
        <v>195</v>
      </c>
      <c r="D94" s="13">
        <v>1573</v>
      </c>
      <c r="E94" s="13" t="s">
        <v>171</v>
      </c>
      <c r="F94" s="13" t="s">
        <v>172</v>
      </c>
      <c r="I94" s="13">
        <v>0</v>
      </c>
      <c r="J94" s="13">
        <v>1</v>
      </c>
      <c r="K94" s="14">
        <v>46183</v>
      </c>
      <c r="N94" s="13">
        <v>17</v>
      </c>
      <c r="P94" s="58" t="str">
        <f t="shared" si="7"/>
        <v>Michael Jordan</v>
      </c>
      <c r="Q94" s="58" t="str">
        <f>IFERROR(_xlfn.TEXTAFTER(_xlfn.XLOOKUP(A94,Collection!A:A,Collection!C:C,),"Cards "),C94)</f>
        <v>1996 Skybox Premium</v>
      </c>
      <c r="R94" s="58" t="str">
        <f t="shared" si="8"/>
        <v>-</v>
      </c>
      <c r="S94" s="58" t="str">
        <f>IFERROR(_xlfn.TEXTAFTER(_xlfn.XLOOKUP(A94,Collection!A:A,Collection!B:B,),"#"),"")</f>
        <v>16</v>
      </c>
      <c r="T94" s="60">
        <f t="shared" si="9"/>
        <v>15.73</v>
      </c>
      <c r="U94" s="54" t="s">
        <v>1561</v>
      </c>
      <c r="V94" s="58" t="str">
        <f>IF(ISNUMBER(MATCH(N94,Catalog!$B$4:$B$16, 0)), "Keep", "For Sale")</f>
        <v>For Sale</v>
      </c>
      <c r="W94" s="58">
        <f t="shared" si="10"/>
        <v>2</v>
      </c>
      <c r="X94" s="58">
        <f t="shared" si="11"/>
        <v>1</v>
      </c>
      <c r="Y94" s="60">
        <f t="shared" si="12"/>
        <v>19</v>
      </c>
      <c r="Z94" s="60">
        <f t="shared" si="13"/>
        <v>13</v>
      </c>
      <c r="AE94" t="s">
        <v>1667</v>
      </c>
      <c r="AF94"/>
      <c r="AG94" s="61">
        <v>165.5</v>
      </c>
      <c r="AH94"/>
      <c r="AI94" s="64" t="s">
        <v>1680</v>
      </c>
      <c r="AJ94" s="73">
        <v>1</v>
      </c>
    </row>
    <row r="95" spans="1:36" ht="14.4" x14ac:dyDescent="0.3">
      <c r="A95" s="13">
        <v>85637</v>
      </c>
      <c r="B95" s="13" t="s">
        <v>256</v>
      </c>
      <c r="C95" s="13" t="s">
        <v>195</v>
      </c>
      <c r="D95" s="13">
        <v>1573</v>
      </c>
      <c r="E95" s="13" t="s">
        <v>171</v>
      </c>
      <c r="F95" s="13" t="s">
        <v>172</v>
      </c>
      <c r="I95" s="13">
        <v>0</v>
      </c>
      <c r="J95" s="13">
        <v>1</v>
      </c>
      <c r="K95" s="14">
        <v>46128</v>
      </c>
      <c r="L95" s="14">
        <v>46128</v>
      </c>
      <c r="N95" s="13">
        <v>18</v>
      </c>
      <c r="P95" s="58" t="str">
        <f t="shared" si="7"/>
        <v>Michael Jordan</v>
      </c>
      <c r="Q95" s="58" t="str">
        <f>IFERROR(_xlfn.TEXTAFTER(_xlfn.XLOOKUP(A95,Collection!A:A,Collection!C:C,),"Cards "),C95)</f>
        <v>1996 Skybox Premium</v>
      </c>
      <c r="R95" s="58" t="str">
        <f t="shared" si="8"/>
        <v>-</v>
      </c>
      <c r="S95" s="58" t="str">
        <f>IFERROR(_xlfn.TEXTAFTER(_xlfn.XLOOKUP(A95,Collection!A:A,Collection!B:B,),"#"),"")</f>
        <v>16</v>
      </c>
      <c r="T95" s="60">
        <f t="shared" si="9"/>
        <v>15.73</v>
      </c>
      <c r="U95" s="54" t="s">
        <v>1561</v>
      </c>
      <c r="V95" s="58" t="str">
        <f>IF(ISNUMBER(MATCH(N95,Catalog!$B$4:$B$16, 0)), "Keep", "For Sale")</f>
        <v>For Sale</v>
      </c>
      <c r="W95" s="58">
        <f t="shared" si="10"/>
        <v>2</v>
      </c>
      <c r="X95" s="58">
        <f t="shared" si="11"/>
        <v>1</v>
      </c>
      <c r="Y95" s="60">
        <f t="shared" si="12"/>
        <v>19</v>
      </c>
      <c r="Z95" s="60">
        <f t="shared" si="13"/>
        <v>13</v>
      </c>
      <c r="AE95" t="s">
        <v>1593</v>
      </c>
      <c r="AF95"/>
      <c r="AG95" s="61">
        <v>158</v>
      </c>
      <c r="AH95"/>
      <c r="AI95" s="64" t="s">
        <v>1653</v>
      </c>
      <c r="AJ95" s="73">
        <v>1</v>
      </c>
    </row>
    <row r="96" spans="1:36" ht="14.4" x14ac:dyDescent="0.3">
      <c r="A96" s="13">
        <v>8958970</v>
      </c>
      <c r="B96" s="13" t="s">
        <v>1219</v>
      </c>
      <c r="C96" s="13" t="s">
        <v>1220</v>
      </c>
      <c r="D96" s="13">
        <v>795</v>
      </c>
      <c r="E96" s="13" t="s">
        <v>171</v>
      </c>
      <c r="F96" s="13" t="s">
        <v>172</v>
      </c>
      <c r="I96" s="13">
        <v>0</v>
      </c>
      <c r="J96" s="13">
        <v>1</v>
      </c>
      <c r="K96" s="14">
        <v>46172</v>
      </c>
      <c r="N96" s="13">
        <v>37</v>
      </c>
      <c r="P96" s="58" t="str">
        <f t="shared" si="7"/>
        <v>Michael Jordan</v>
      </c>
      <c r="Q96" s="58" t="str">
        <f>IFERROR(_xlfn.TEXTAFTER(_xlfn.XLOOKUP(A96,Collection!A:A,Collection!C:C,),"Cards "),C96)</f>
        <v>1998 Upper Deck MJ23</v>
      </c>
      <c r="R96" s="58" t="str">
        <f t="shared" si="8"/>
        <v>-</v>
      </c>
      <c r="S96" s="58" t="str">
        <f>IFERROR(_xlfn.TEXTAFTER(_xlfn.XLOOKUP(A96,Collection!A:A,Collection!B:B,),"#"),"")</f>
        <v>M25</v>
      </c>
      <c r="T96" s="60">
        <f t="shared" si="9"/>
        <v>7.95</v>
      </c>
      <c r="U96" s="54" t="s">
        <v>1561</v>
      </c>
      <c r="V96" s="58" t="str">
        <f>IF(ISNUMBER(MATCH(N96,Catalog!$B$4:$B$16, 0)), "Keep", "For Sale")</f>
        <v>For Sale</v>
      </c>
      <c r="W96" s="58">
        <f t="shared" si="10"/>
        <v>1</v>
      </c>
      <c r="X96" s="58">
        <f t="shared" si="11"/>
        <v>1</v>
      </c>
      <c r="Y96" s="60">
        <f t="shared" si="12"/>
        <v>10</v>
      </c>
      <c r="Z96" s="60">
        <f t="shared" si="13"/>
        <v>8</v>
      </c>
      <c r="AE96" t="s">
        <v>1586</v>
      </c>
      <c r="AF96"/>
      <c r="AG96" s="61">
        <v>155</v>
      </c>
      <c r="AH96"/>
      <c r="AI96" s="8" t="s">
        <v>1821</v>
      </c>
      <c r="AJ96" s="73">
        <v>1</v>
      </c>
    </row>
    <row r="97" spans="1:36" ht="14.4" x14ac:dyDescent="0.3">
      <c r="A97" s="13">
        <v>154462</v>
      </c>
      <c r="B97" s="13" t="s">
        <v>453</v>
      </c>
      <c r="C97" s="13" t="s">
        <v>266</v>
      </c>
      <c r="D97" s="13">
        <v>507</v>
      </c>
      <c r="E97" s="13" t="s">
        <v>171</v>
      </c>
      <c r="F97" s="13" t="s">
        <v>172</v>
      </c>
      <c r="I97" s="13">
        <v>0</v>
      </c>
      <c r="J97" s="13">
        <v>1</v>
      </c>
      <c r="K97" s="14">
        <v>46127</v>
      </c>
      <c r="N97" s="13">
        <v>111</v>
      </c>
      <c r="P97" s="58" t="str">
        <f t="shared" si="7"/>
        <v>Michael Jordan</v>
      </c>
      <c r="Q97" s="58" t="str">
        <f>IFERROR(_xlfn.TEXTAFTER(_xlfn.XLOOKUP(A97,Collection!A:A,Collection!C:C,),"Cards "),C97)</f>
        <v>1991 Skybox</v>
      </c>
      <c r="R97" s="58" t="str">
        <f t="shared" si="8"/>
        <v>-</v>
      </c>
      <c r="S97" s="58" t="str">
        <f>IFERROR(_xlfn.TEXTAFTER(_xlfn.XLOOKUP(A97,Collection!A:A,Collection!B:B,),"#"),"")</f>
        <v>39</v>
      </c>
      <c r="T97" s="60">
        <f t="shared" si="9"/>
        <v>5.07</v>
      </c>
      <c r="U97" s="54" t="s">
        <v>1561</v>
      </c>
      <c r="V97" s="58" t="str">
        <f>IF(ISNUMBER(MATCH(N97,Catalog!$B$4:$B$16, 0)), "Keep", "For Sale")</f>
        <v>For Sale</v>
      </c>
      <c r="W97" s="58">
        <f t="shared" si="10"/>
        <v>1</v>
      </c>
      <c r="X97" s="58">
        <f t="shared" si="11"/>
        <v>1</v>
      </c>
      <c r="Y97" s="60">
        <f t="shared" si="12"/>
        <v>6</v>
      </c>
      <c r="Z97" s="60">
        <f t="shared" si="13"/>
        <v>5</v>
      </c>
      <c r="AE97" t="s">
        <v>1635</v>
      </c>
      <c r="AF97"/>
      <c r="AG97" s="61">
        <v>154</v>
      </c>
      <c r="AH97"/>
      <c r="AI97" s="64" t="s">
        <v>1613</v>
      </c>
      <c r="AJ97" s="73">
        <v>1</v>
      </c>
    </row>
    <row r="98" spans="1:36" ht="14.4" x14ac:dyDescent="0.3">
      <c r="A98" s="13">
        <v>87370</v>
      </c>
      <c r="B98" s="13" t="s">
        <v>256</v>
      </c>
      <c r="C98" s="13" t="s">
        <v>174</v>
      </c>
      <c r="D98" s="13">
        <v>399</v>
      </c>
      <c r="E98" s="13" t="s">
        <v>171</v>
      </c>
      <c r="F98" s="13" t="s">
        <v>172</v>
      </c>
      <c r="I98" s="13">
        <v>0</v>
      </c>
      <c r="J98" s="13">
        <v>1</v>
      </c>
      <c r="K98" s="14">
        <v>46127</v>
      </c>
      <c r="N98" s="13">
        <v>163</v>
      </c>
      <c r="P98" s="58" t="str">
        <f t="shared" si="7"/>
        <v>Michael Jordan</v>
      </c>
      <c r="Q98" s="58" t="str">
        <f>IFERROR(_xlfn.TEXTAFTER(_xlfn.XLOOKUP(A98,Collection!A:A,Collection!C:C,),"Cards "),C98)</f>
        <v>1996 Upper Deck</v>
      </c>
      <c r="R98" s="58" t="str">
        <f t="shared" si="8"/>
        <v>-</v>
      </c>
      <c r="S98" s="58" t="str">
        <f>IFERROR(_xlfn.TEXTAFTER(_xlfn.XLOOKUP(A98,Collection!A:A,Collection!B:B,),"#"),"")</f>
        <v>16</v>
      </c>
      <c r="T98" s="60">
        <f t="shared" si="9"/>
        <v>3.99</v>
      </c>
      <c r="U98" s="54" t="s">
        <v>1561</v>
      </c>
      <c r="V98" s="58" t="str">
        <f>IF(ISNUMBER(MATCH(N98,Catalog!$B$4:$B$16, 0)), "Keep", "For Sale")</f>
        <v>For Sale</v>
      </c>
      <c r="W98" s="58">
        <f t="shared" si="10"/>
        <v>1</v>
      </c>
      <c r="X98" s="58">
        <f t="shared" si="11"/>
        <v>1</v>
      </c>
      <c r="Y98" s="60">
        <f t="shared" si="12"/>
        <v>5</v>
      </c>
      <c r="Z98" s="60">
        <f t="shared" si="13"/>
        <v>4</v>
      </c>
      <c r="AE98" t="s">
        <v>1581</v>
      </c>
      <c r="AF98"/>
      <c r="AG98" s="61">
        <v>154</v>
      </c>
      <c r="AH98"/>
      <c r="AI98" s="64" t="s">
        <v>1635</v>
      </c>
      <c r="AJ98" s="73">
        <v>1</v>
      </c>
    </row>
    <row r="99" spans="1:36" ht="14.4" x14ac:dyDescent="0.3">
      <c r="A99" s="13">
        <v>2263220</v>
      </c>
      <c r="B99" s="13" t="s">
        <v>268</v>
      </c>
      <c r="C99" s="13" t="s">
        <v>269</v>
      </c>
      <c r="D99" s="13">
        <v>398</v>
      </c>
      <c r="E99" s="13" t="s">
        <v>171</v>
      </c>
      <c r="F99" s="13" t="s">
        <v>172</v>
      </c>
      <c r="I99" s="13">
        <v>0</v>
      </c>
      <c r="J99" s="13">
        <v>1</v>
      </c>
      <c r="K99" s="14">
        <v>46129</v>
      </c>
      <c r="N99" s="13">
        <v>161</v>
      </c>
      <c r="P99" s="58" t="str">
        <f t="shared" si="7"/>
        <v>Michael Jordan</v>
      </c>
      <c r="Q99" s="58" t="str">
        <f>IFERROR(_xlfn.TEXTAFTER(_xlfn.XLOOKUP(A99,Collection!A:A,Collection!C:C,),"Cards "),C99)</f>
        <v>1996 Collector's Choice Jordan Cut Above</v>
      </c>
      <c r="R99" s="58" t="str">
        <f t="shared" si="8"/>
        <v>-</v>
      </c>
      <c r="S99" s="58" t="str">
        <f>IFERROR(_xlfn.TEXTAFTER(_xlfn.XLOOKUP(A99,Collection!A:A,Collection!B:B,),"#"),"")</f>
        <v>CA10</v>
      </c>
      <c r="T99" s="60">
        <f t="shared" si="9"/>
        <v>3.98</v>
      </c>
      <c r="U99" s="54" t="s">
        <v>1561</v>
      </c>
      <c r="V99" s="58" t="str">
        <f>IF(ISNUMBER(MATCH(N99,Catalog!$B$4:$B$16, 0)), "Keep", "For Sale")</f>
        <v>For Sale</v>
      </c>
      <c r="W99" s="58">
        <f t="shared" si="10"/>
        <v>1</v>
      </c>
      <c r="X99" s="58">
        <f t="shared" si="11"/>
        <v>1</v>
      </c>
      <c r="Y99" s="60">
        <f t="shared" si="12"/>
        <v>5</v>
      </c>
      <c r="Z99" s="60">
        <f t="shared" si="13"/>
        <v>4</v>
      </c>
      <c r="AE99" t="s">
        <v>1596</v>
      </c>
      <c r="AF99"/>
      <c r="AG99" s="61">
        <v>150</v>
      </c>
      <c r="AH99"/>
      <c r="AI99" s="64" t="s">
        <v>1657</v>
      </c>
      <c r="AJ99" s="73">
        <v>1</v>
      </c>
    </row>
    <row r="100" spans="1:36" ht="14.4" x14ac:dyDescent="0.3">
      <c r="A100" s="13">
        <v>3296094</v>
      </c>
      <c r="B100" s="13" t="s">
        <v>379</v>
      </c>
      <c r="C100" s="13" t="s">
        <v>269</v>
      </c>
      <c r="D100" s="13">
        <v>397</v>
      </c>
      <c r="E100" s="13" t="s">
        <v>171</v>
      </c>
      <c r="F100" s="13" t="s">
        <v>172</v>
      </c>
      <c r="I100" s="13">
        <v>0</v>
      </c>
      <c r="J100" s="13">
        <v>1</v>
      </c>
      <c r="K100" s="14">
        <v>46129</v>
      </c>
      <c r="N100" s="13">
        <v>147</v>
      </c>
      <c r="P100" s="58" t="str">
        <f t="shared" si="7"/>
        <v>Michael Jordan</v>
      </c>
      <c r="Q100" s="58" t="str">
        <f>IFERROR(_xlfn.TEXTAFTER(_xlfn.XLOOKUP(A100,Collection!A:A,Collection!C:C,),"Cards "),C100)</f>
        <v>1996 Collector's Choice Jordan Cut Above</v>
      </c>
      <c r="R100" s="58" t="str">
        <f t="shared" si="8"/>
        <v>-</v>
      </c>
      <c r="S100" s="58" t="str">
        <f>IFERROR(_xlfn.TEXTAFTER(_xlfn.XLOOKUP(A100,Collection!A:A,Collection!B:B,),"#"),"")</f>
        <v>CA9</v>
      </c>
      <c r="T100" s="60">
        <f t="shared" si="9"/>
        <v>3.97</v>
      </c>
      <c r="U100" s="54" t="s">
        <v>1561</v>
      </c>
      <c r="V100" s="58" t="str">
        <f>IF(ISNUMBER(MATCH(N100,Catalog!$B$4:$B$16, 0)), "Keep", "For Sale")</f>
        <v>For Sale</v>
      </c>
      <c r="W100" s="58">
        <f t="shared" si="10"/>
        <v>1</v>
      </c>
      <c r="X100" s="58">
        <f t="shared" si="11"/>
        <v>1</v>
      </c>
      <c r="Y100" s="60">
        <f t="shared" si="12"/>
        <v>5</v>
      </c>
      <c r="Z100" s="60">
        <f t="shared" si="13"/>
        <v>4</v>
      </c>
      <c r="AE100" t="s">
        <v>1656</v>
      </c>
      <c r="AF100"/>
      <c r="AG100" s="61">
        <v>150</v>
      </c>
      <c r="AH100"/>
      <c r="AI100" s="64" t="s">
        <v>1674</v>
      </c>
      <c r="AJ100" s="73">
        <v>1</v>
      </c>
    </row>
    <row r="101" spans="1:36" ht="14.4" x14ac:dyDescent="0.3">
      <c r="A101" s="13">
        <v>5550603</v>
      </c>
      <c r="B101" s="13" t="s">
        <v>183</v>
      </c>
      <c r="C101" s="13" t="s">
        <v>184</v>
      </c>
      <c r="D101" s="13">
        <v>392</v>
      </c>
      <c r="E101" s="13" t="s">
        <v>171</v>
      </c>
      <c r="F101" s="13" t="s">
        <v>172</v>
      </c>
      <c r="I101" s="13">
        <v>0</v>
      </c>
      <c r="J101" s="13">
        <v>1</v>
      </c>
      <c r="K101" s="14">
        <v>46127</v>
      </c>
      <c r="N101" s="13">
        <v>135</v>
      </c>
      <c r="P101" s="58" t="str">
        <f t="shared" si="7"/>
        <v>Michael Jordan</v>
      </c>
      <c r="Q101" s="58" t="str">
        <f>IFERROR(_xlfn.TEXTAFTER(_xlfn.XLOOKUP(A101,Collection!A:A,Collection!C:C,),"Cards "),C101)</f>
        <v>1997 Upper Deck Jordan Air Time</v>
      </c>
      <c r="R101" s="58" t="str">
        <f t="shared" si="8"/>
        <v>-</v>
      </c>
      <c r="S101" s="58" t="str">
        <f>IFERROR(_xlfn.TEXTAFTER(_xlfn.XLOOKUP(A101,Collection!A:A,Collection!B:B,),"#"),"")</f>
        <v>AT3</v>
      </c>
      <c r="T101" s="60">
        <f t="shared" si="9"/>
        <v>3.92</v>
      </c>
      <c r="U101" s="54" t="s">
        <v>1561</v>
      </c>
      <c r="V101" s="58" t="str">
        <f>IF(ISNUMBER(MATCH(N101,Catalog!$B$4:$B$16, 0)), "Keep", "For Sale")</f>
        <v>For Sale</v>
      </c>
      <c r="W101" s="58">
        <f t="shared" si="10"/>
        <v>1</v>
      </c>
      <c r="X101" s="58">
        <f t="shared" si="11"/>
        <v>1</v>
      </c>
      <c r="Y101" s="60">
        <f t="shared" si="12"/>
        <v>5</v>
      </c>
      <c r="Z101" s="60">
        <f t="shared" si="13"/>
        <v>4</v>
      </c>
      <c r="AE101" t="s">
        <v>1686</v>
      </c>
      <c r="AF101"/>
      <c r="AG101" s="61">
        <v>150</v>
      </c>
      <c r="AH101"/>
      <c r="AI101" s="64" t="s">
        <v>1690</v>
      </c>
      <c r="AJ101" s="73">
        <v>1</v>
      </c>
    </row>
    <row r="102" spans="1:36" ht="14.4" x14ac:dyDescent="0.3">
      <c r="A102" s="13">
        <v>5550606</v>
      </c>
      <c r="B102" s="13" t="s">
        <v>353</v>
      </c>
      <c r="C102" s="13" t="s">
        <v>184</v>
      </c>
      <c r="D102" s="13">
        <v>376</v>
      </c>
      <c r="E102" s="13" t="s">
        <v>171</v>
      </c>
      <c r="F102" s="13" t="s">
        <v>172</v>
      </c>
      <c r="I102" s="13">
        <v>0</v>
      </c>
      <c r="J102" s="13">
        <v>1</v>
      </c>
      <c r="K102" s="14">
        <v>46149</v>
      </c>
      <c r="N102" s="13">
        <v>144</v>
      </c>
      <c r="P102" s="58" t="str">
        <f t="shared" si="7"/>
        <v>Michael Jordan</v>
      </c>
      <c r="Q102" s="58" t="str">
        <f>IFERROR(_xlfn.TEXTAFTER(_xlfn.XLOOKUP(A102,Collection!A:A,Collection!C:C,),"Cards "),C102)</f>
        <v>1997 Upper Deck Jordan Air Time</v>
      </c>
      <c r="R102" s="58" t="str">
        <f t="shared" si="8"/>
        <v>-</v>
      </c>
      <c r="S102" s="58" t="str">
        <f>IFERROR(_xlfn.TEXTAFTER(_xlfn.XLOOKUP(A102,Collection!A:A,Collection!B:B,),"#"),"")</f>
        <v>AT5</v>
      </c>
      <c r="T102" s="60">
        <f t="shared" si="9"/>
        <v>3.76</v>
      </c>
      <c r="U102" s="54" t="s">
        <v>1561</v>
      </c>
      <c r="V102" s="58" t="str">
        <f>IF(ISNUMBER(MATCH(N102,Catalog!$B$4:$B$16, 0)), "Keep", "For Sale")</f>
        <v>For Sale</v>
      </c>
      <c r="W102" s="58">
        <f t="shared" si="10"/>
        <v>1</v>
      </c>
      <c r="X102" s="58">
        <f t="shared" si="11"/>
        <v>1</v>
      </c>
      <c r="Y102" s="60">
        <f t="shared" si="12"/>
        <v>5</v>
      </c>
      <c r="Z102" s="60">
        <f t="shared" si="13"/>
        <v>4</v>
      </c>
      <c r="AE102" t="s">
        <v>1805</v>
      </c>
      <c r="AF102"/>
      <c r="AG102" s="61">
        <v>149</v>
      </c>
      <c r="AH102"/>
      <c r="AI102" s="64" t="s">
        <v>1699</v>
      </c>
      <c r="AJ102" s="73">
        <v>1</v>
      </c>
    </row>
    <row r="103" spans="1:36" ht="14.4" x14ac:dyDescent="0.3">
      <c r="A103" s="13">
        <v>83773</v>
      </c>
      <c r="B103" s="13" t="s">
        <v>344</v>
      </c>
      <c r="C103" s="13" t="s">
        <v>181</v>
      </c>
      <c r="D103" s="13">
        <v>350</v>
      </c>
      <c r="E103" s="13" t="s">
        <v>171</v>
      </c>
      <c r="F103" s="13" t="s">
        <v>172</v>
      </c>
      <c r="I103" s="13">
        <v>0</v>
      </c>
      <c r="J103" s="13">
        <v>1</v>
      </c>
      <c r="K103" s="14">
        <v>46129</v>
      </c>
      <c r="N103" s="13">
        <v>172</v>
      </c>
      <c r="P103" s="58" t="str">
        <f t="shared" si="7"/>
        <v>Michael Jordan</v>
      </c>
      <c r="Q103" s="58" t="str">
        <f>IFERROR(_xlfn.TEXTAFTER(_xlfn.XLOOKUP(A103,Collection!A:A,Collection!C:C,),"Cards "),C103)</f>
        <v>1995 Upper Deck</v>
      </c>
      <c r="R103" s="58" t="str">
        <f t="shared" si="8"/>
        <v>-</v>
      </c>
      <c r="S103" s="58" t="str">
        <f>IFERROR(_xlfn.TEXTAFTER(_xlfn.XLOOKUP(A103,Collection!A:A,Collection!B:B,),"#"),"")</f>
        <v>137</v>
      </c>
      <c r="T103" s="60">
        <f t="shared" si="9"/>
        <v>3.5</v>
      </c>
      <c r="U103" s="54" t="s">
        <v>1561</v>
      </c>
      <c r="V103" s="58" t="str">
        <f>IF(ISNUMBER(MATCH(N103,Catalog!$B$4:$B$16, 0)), "Keep", "For Sale")</f>
        <v>For Sale</v>
      </c>
      <c r="W103" s="58">
        <f t="shared" si="10"/>
        <v>1</v>
      </c>
      <c r="X103" s="58">
        <f t="shared" si="11"/>
        <v>1</v>
      </c>
      <c r="Y103" s="60">
        <f t="shared" si="12"/>
        <v>4</v>
      </c>
      <c r="Z103" s="60">
        <f t="shared" si="13"/>
        <v>4</v>
      </c>
      <c r="AE103" t="s">
        <v>1628</v>
      </c>
      <c r="AF103"/>
      <c r="AG103" s="61">
        <v>149</v>
      </c>
      <c r="AH103"/>
      <c r="AI103" s="64" t="s">
        <v>1611</v>
      </c>
      <c r="AJ103" s="73">
        <v>1</v>
      </c>
    </row>
    <row r="104" spans="1:36" ht="14.4" x14ac:dyDescent="0.3">
      <c r="A104" s="13">
        <v>83746</v>
      </c>
      <c r="B104" s="13" t="s">
        <v>192</v>
      </c>
      <c r="C104" s="13" t="s">
        <v>181</v>
      </c>
      <c r="D104" s="13">
        <v>330</v>
      </c>
      <c r="E104" s="13" t="s">
        <v>171</v>
      </c>
      <c r="F104" s="13" t="s">
        <v>172</v>
      </c>
      <c r="I104" s="13">
        <v>0</v>
      </c>
      <c r="J104" s="13">
        <v>1</v>
      </c>
      <c r="K104" s="14">
        <v>46183</v>
      </c>
      <c r="N104" s="13">
        <v>167</v>
      </c>
      <c r="P104" s="58" t="str">
        <f t="shared" si="7"/>
        <v>Michael Jordan</v>
      </c>
      <c r="Q104" s="58" t="str">
        <f>IFERROR(_xlfn.TEXTAFTER(_xlfn.XLOOKUP(A104,Collection!A:A,Collection!C:C,),"Cards "),C104)</f>
        <v>1995 Upper Deck</v>
      </c>
      <c r="R104" s="58" t="str">
        <f t="shared" si="8"/>
        <v>-</v>
      </c>
      <c r="S104" s="58" t="str">
        <f>IFERROR(_xlfn.TEXTAFTER(_xlfn.XLOOKUP(A104,Collection!A:A,Collection!B:B,),"#"),"")</f>
        <v>23</v>
      </c>
      <c r="T104" s="60">
        <f t="shared" si="9"/>
        <v>3.3</v>
      </c>
      <c r="U104" s="54" t="s">
        <v>1561</v>
      </c>
      <c r="V104" s="58" t="str">
        <f>IF(ISNUMBER(MATCH(N104,Catalog!$B$4:$B$16, 0)), "Keep", "For Sale")</f>
        <v>For Sale</v>
      </c>
      <c r="W104" s="58">
        <f t="shared" si="10"/>
        <v>2</v>
      </c>
      <c r="X104" s="58">
        <f t="shared" si="11"/>
        <v>1</v>
      </c>
      <c r="Y104" s="60">
        <f t="shared" si="12"/>
        <v>4</v>
      </c>
      <c r="Z104" s="60">
        <f t="shared" si="13"/>
        <v>3</v>
      </c>
      <c r="AE104" t="s">
        <v>1637</v>
      </c>
      <c r="AF104"/>
      <c r="AG104" s="61">
        <v>148</v>
      </c>
      <c r="AH104"/>
      <c r="AI104" s="64" t="s">
        <v>1666</v>
      </c>
      <c r="AJ104" s="73">
        <v>1</v>
      </c>
    </row>
    <row r="105" spans="1:36" ht="14.4" x14ac:dyDescent="0.3">
      <c r="A105" s="13">
        <v>83746</v>
      </c>
      <c r="B105" s="13" t="s">
        <v>192</v>
      </c>
      <c r="C105" s="13" t="s">
        <v>181</v>
      </c>
      <c r="D105" s="13">
        <v>330</v>
      </c>
      <c r="E105" s="13" t="s">
        <v>171</v>
      </c>
      <c r="F105" s="13" t="s">
        <v>172</v>
      </c>
      <c r="I105" s="13">
        <v>0</v>
      </c>
      <c r="J105" s="13">
        <v>1</v>
      </c>
      <c r="K105" s="14">
        <v>46127</v>
      </c>
      <c r="N105" s="13">
        <v>168</v>
      </c>
      <c r="P105" s="58" t="str">
        <f t="shared" si="7"/>
        <v>Michael Jordan</v>
      </c>
      <c r="Q105" s="58" t="str">
        <f>IFERROR(_xlfn.TEXTAFTER(_xlfn.XLOOKUP(A105,Collection!A:A,Collection!C:C,),"Cards "),C105)</f>
        <v>1995 Upper Deck</v>
      </c>
      <c r="R105" s="58" t="str">
        <f t="shared" si="8"/>
        <v>-</v>
      </c>
      <c r="S105" s="58" t="str">
        <f>IFERROR(_xlfn.TEXTAFTER(_xlfn.XLOOKUP(A105,Collection!A:A,Collection!B:B,),"#"),"")</f>
        <v>23</v>
      </c>
      <c r="T105" s="60">
        <f t="shared" si="9"/>
        <v>3.3</v>
      </c>
      <c r="U105" s="54" t="s">
        <v>1561</v>
      </c>
      <c r="V105" s="58" t="str">
        <f>IF(ISNUMBER(MATCH(N105,Catalog!$B$4:$B$16, 0)), "Keep", "For Sale")</f>
        <v>For Sale</v>
      </c>
      <c r="W105" s="58">
        <f t="shared" si="10"/>
        <v>2</v>
      </c>
      <c r="X105" s="58">
        <f t="shared" si="11"/>
        <v>1</v>
      </c>
      <c r="Y105" s="60">
        <f t="shared" si="12"/>
        <v>4</v>
      </c>
      <c r="Z105" s="60">
        <f t="shared" si="13"/>
        <v>3</v>
      </c>
      <c r="AE105" t="s">
        <v>1614</v>
      </c>
      <c r="AF105"/>
      <c r="AG105" s="61">
        <v>147</v>
      </c>
      <c r="AH105"/>
      <c r="AI105" s="64" t="s">
        <v>1671</v>
      </c>
      <c r="AJ105" s="73">
        <v>1</v>
      </c>
    </row>
    <row r="106" spans="1:36" ht="14.4" x14ac:dyDescent="0.3">
      <c r="A106" s="13">
        <v>2755758</v>
      </c>
      <c r="B106" s="13" t="s">
        <v>277</v>
      </c>
      <c r="C106" s="13" t="s">
        <v>269</v>
      </c>
      <c r="D106" s="13">
        <v>319</v>
      </c>
      <c r="E106" s="13" t="s">
        <v>171</v>
      </c>
      <c r="F106" s="13" t="s">
        <v>172</v>
      </c>
      <c r="I106" s="13">
        <v>0</v>
      </c>
      <c r="J106" s="13">
        <v>1</v>
      </c>
      <c r="K106" s="14">
        <v>46129</v>
      </c>
      <c r="N106" s="13">
        <v>166</v>
      </c>
      <c r="P106" s="58" t="str">
        <f t="shared" si="7"/>
        <v>Michael Jordan</v>
      </c>
      <c r="Q106" s="58" t="str">
        <f>IFERROR(_xlfn.TEXTAFTER(_xlfn.XLOOKUP(A106,Collection!A:A,Collection!C:C,),"Cards "),C106)</f>
        <v>1996 Collector's Choice Jordan Cut Above</v>
      </c>
      <c r="R106" s="58" t="str">
        <f t="shared" si="8"/>
        <v>-</v>
      </c>
      <c r="S106" s="58" t="str">
        <f>IFERROR(_xlfn.TEXTAFTER(_xlfn.XLOOKUP(A106,Collection!A:A,Collection!B:B,),"#"),"")</f>
        <v>CA1</v>
      </c>
      <c r="T106" s="60">
        <f t="shared" si="9"/>
        <v>3.19</v>
      </c>
      <c r="U106" s="54" t="s">
        <v>1561</v>
      </c>
      <c r="V106" s="58" t="str">
        <f>IF(ISNUMBER(MATCH(N106,Catalog!$B$4:$B$16, 0)), "Keep", "For Sale")</f>
        <v>For Sale</v>
      </c>
      <c r="W106" s="58">
        <f t="shared" si="10"/>
        <v>1</v>
      </c>
      <c r="X106" s="58">
        <f t="shared" si="11"/>
        <v>1</v>
      </c>
      <c r="Y106" s="60">
        <f t="shared" si="12"/>
        <v>4</v>
      </c>
      <c r="Z106" s="60">
        <f t="shared" si="13"/>
        <v>3</v>
      </c>
      <c r="AE106" t="s">
        <v>1602</v>
      </c>
      <c r="AF106"/>
      <c r="AG106" s="61">
        <v>146</v>
      </c>
      <c r="AH106"/>
      <c r="AI106" s="64" t="s">
        <v>1662</v>
      </c>
      <c r="AJ106" s="73">
        <v>1</v>
      </c>
    </row>
    <row r="107" spans="1:36" ht="14.4" x14ac:dyDescent="0.3">
      <c r="A107" s="13">
        <v>3296095</v>
      </c>
      <c r="B107" s="13" t="s">
        <v>431</v>
      </c>
      <c r="C107" s="13" t="s">
        <v>269</v>
      </c>
      <c r="D107" s="13">
        <v>309</v>
      </c>
      <c r="E107" s="13" t="s">
        <v>171</v>
      </c>
      <c r="F107" s="13" t="s">
        <v>172</v>
      </c>
      <c r="I107" s="13">
        <v>0</v>
      </c>
      <c r="J107" s="13">
        <v>1</v>
      </c>
      <c r="K107" s="14">
        <v>46129</v>
      </c>
      <c r="N107" s="13">
        <v>171</v>
      </c>
      <c r="P107" s="58" t="str">
        <f t="shared" si="7"/>
        <v>Michael Jordan</v>
      </c>
      <c r="Q107" s="58" t="str">
        <f>IFERROR(_xlfn.TEXTAFTER(_xlfn.XLOOKUP(A107,Collection!A:A,Collection!C:C,),"Cards "),C107)</f>
        <v>1996 Collector's Choice Jordan Cut Above</v>
      </c>
      <c r="R107" s="58" t="str">
        <f t="shared" si="8"/>
        <v>-</v>
      </c>
      <c r="S107" s="58" t="str">
        <f>IFERROR(_xlfn.TEXTAFTER(_xlfn.XLOOKUP(A107,Collection!A:A,Collection!B:B,),"#"),"")</f>
        <v>CA2</v>
      </c>
      <c r="T107" s="60">
        <f t="shared" si="9"/>
        <v>3.09</v>
      </c>
      <c r="U107" s="54" t="s">
        <v>1561</v>
      </c>
      <c r="V107" s="58" t="str">
        <f>IF(ISNUMBER(MATCH(N107,Catalog!$B$4:$B$16, 0)), "Keep", "For Sale")</f>
        <v>For Sale</v>
      </c>
      <c r="W107" s="58">
        <f t="shared" si="10"/>
        <v>1</v>
      </c>
      <c r="X107" s="58">
        <f t="shared" si="11"/>
        <v>1</v>
      </c>
      <c r="Y107" s="60">
        <f t="shared" si="12"/>
        <v>4</v>
      </c>
      <c r="Z107" s="60">
        <f t="shared" si="13"/>
        <v>3</v>
      </c>
      <c r="AE107" t="s">
        <v>1569</v>
      </c>
      <c r="AF107"/>
      <c r="AG107" s="61">
        <v>144.5</v>
      </c>
      <c r="AH107"/>
      <c r="AI107" s="64" t="s">
        <v>1693</v>
      </c>
      <c r="AJ107" s="73">
        <v>1</v>
      </c>
    </row>
    <row r="108" spans="1:36" ht="14.4" x14ac:dyDescent="0.3">
      <c r="A108" s="13">
        <v>93699</v>
      </c>
      <c r="B108" s="13" t="s">
        <v>192</v>
      </c>
      <c r="C108" s="13" t="s">
        <v>1249</v>
      </c>
      <c r="D108" s="13">
        <v>299</v>
      </c>
      <c r="E108" s="13" t="s">
        <v>171</v>
      </c>
      <c r="F108" s="13" t="s">
        <v>172</v>
      </c>
      <c r="I108" s="13">
        <v>0</v>
      </c>
      <c r="J108" s="13">
        <v>1</v>
      </c>
      <c r="K108" s="14">
        <v>46189</v>
      </c>
      <c r="N108" s="13">
        <v>181</v>
      </c>
      <c r="P108" s="58" t="str">
        <f t="shared" si="7"/>
        <v>Michael Jordan</v>
      </c>
      <c r="Q108" s="58" t="str">
        <f>IFERROR(_xlfn.TEXTAFTER(_xlfn.XLOOKUP(A108,Collection!A:A,Collection!C:C,),"Cards "),C108)</f>
        <v>1998 UD Choice</v>
      </c>
      <c r="R108" s="58" t="str">
        <f t="shared" si="8"/>
        <v>-</v>
      </c>
      <c r="S108" s="58" t="str">
        <f>IFERROR(_xlfn.TEXTAFTER(_xlfn.XLOOKUP(A108,Collection!A:A,Collection!B:B,),"#"),"")</f>
        <v>23</v>
      </c>
      <c r="T108" s="60">
        <f t="shared" si="9"/>
        <v>2.99</v>
      </c>
      <c r="U108" s="54" t="s">
        <v>1561</v>
      </c>
      <c r="V108" s="58" t="str">
        <f>IF(ISNUMBER(MATCH(N108,Catalog!$B$4:$B$16, 0)), "Keep", "For Sale")</f>
        <v>For Sale</v>
      </c>
      <c r="W108" s="58">
        <f t="shared" si="10"/>
        <v>1</v>
      </c>
      <c r="X108" s="58">
        <f t="shared" si="11"/>
        <v>1</v>
      </c>
      <c r="Y108" s="60">
        <f t="shared" si="12"/>
        <v>4</v>
      </c>
      <c r="Z108" s="60">
        <f t="shared" si="13"/>
        <v>3</v>
      </c>
      <c r="AE108" t="s">
        <v>1573</v>
      </c>
      <c r="AF108"/>
      <c r="AG108" s="61">
        <v>144.33333333333334</v>
      </c>
      <c r="AH108"/>
      <c r="AI108" s="64" t="s">
        <v>1582</v>
      </c>
      <c r="AJ108" s="73">
        <v>1</v>
      </c>
    </row>
    <row r="109" spans="1:36" ht="14.4" x14ac:dyDescent="0.3">
      <c r="A109" s="13">
        <v>154635</v>
      </c>
      <c r="B109" s="13" t="s">
        <v>270</v>
      </c>
      <c r="C109" s="13" t="s">
        <v>271</v>
      </c>
      <c r="D109" s="13">
        <v>298</v>
      </c>
      <c r="E109" s="13" t="s">
        <v>171</v>
      </c>
      <c r="F109" s="13" t="s">
        <v>172</v>
      </c>
      <c r="I109" s="13">
        <v>0</v>
      </c>
      <c r="J109" s="13">
        <v>1</v>
      </c>
      <c r="K109" s="14">
        <v>46129</v>
      </c>
      <c r="N109" s="13">
        <v>180</v>
      </c>
      <c r="P109" s="58" t="str">
        <f t="shared" si="7"/>
        <v>Michael Jordan</v>
      </c>
      <c r="Q109" s="58" t="str">
        <f>IFERROR(_xlfn.TEXTAFTER(_xlfn.XLOOKUP(A109,Collection!A:A,Collection!C:C,),"Cards "),C109)</f>
        <v>1991 Upper Deck</v>
      </c>
      <c r="R109" s="58" t="str">
        <f t="shared" si="8"/>
        <v>-</v>
      </c>
      <c r="S109" s="58" t="str">
        <f>IFERROR(_xlfn.TEXTAFTER(_xlfn.XLOOKUP(A109,Collection!A:A,Collection!B:B,),"#"),"")</f>
        <v>44</v>
      </c>
      <c r="T109" s="60">
        <f t="shared" si="9"/>
        <v>2.98</v>
      </c>
      <c r="U109" s="54" t="s">
        <v>1561</v>
      </c>
      <c r="V109" s="58" t="str">
        <f>IF(ISNUMBER(MATCH(N109,Catalog!$B$4:$B$16, 0)), "Keep", "For Sale")</f>
        <v>For Sale</v>
      </c>
      <c r="W109" s="58">
        <f t="shared" si="10"/>
        <v>1</v>
      </c>
      <c r="X109" s="58">
        <f t="shared" si="11"/>
        <v>1</v>
      </c>
      <c r="Y109" s="60">
        <f t="shared" si="12"/>
        <v>4</v>
      </c>
      <c r="Z109" s="60">
        <f t="shared" si="13"/>
        <v>3</v>
      </c>
      <c r="AE109" t="s">
        <v>1703</v>
      </c>
      <c r="AF109"/>
      <c r="AG109" s="61">
        <v>144</v>
      </c>
      <c r="AH109"/>
      <c r="AI109" s="64" t="s">
        <v>1675</v>
      </c>
      <c r="AJ109" s="73">
        <v>1</v>
      </c>
    </row>
    <row r="110" spans="1:36" ht="14.4" x14ac:dyDescent="0.3">
      <c r="A110" s="13">
        <v>3296099</v>
      </c>
      <c r="B110" s="13" t="s">
        <v>280</v>
      </c>
      <c r="C110" s="13" t="s">
        <v>269</v>
      </c>
      <c r="D110" s="13">
        <v>296</v>
      </c>
      <c r="E110" s="13" t="s">
        <v>171</v>
      </c>
      <c r="F110" s="13" t="s">
        <v>172</v>
      </c>
      <c r="I110" s="13">
        <v>0</v>
      </c>
      <c r="J110" s="13">
        <v>1</v>
      </c>
      <c r="K110" s="14">
        <v>46129</v>
      </c>
      <c r="N110" s="13">
        <v>187</v>
      </c>
      <c r="P110" s="58" t="str">
        <f t="shared" si="7"/>
        <v>Michael Jordan</v>
      </c>
      <c r="Q110" s="58" t="str">
        <f>IFERROR(_xlfn.TEXTAFTER(_xlfn.XLOOKUP(A110,Collection!A:A,Collection!C:C,),"Cards "),C110)</f>
        <v>1996 Collector's Choice Jordan Cut Above</v>
      </c>
      <c r="R110" s="58" t="str">
        <f t="shared" si="8"/>
        <v>-</v>
      </c>
      <c r="S110" s="58" t="str">
        <f>IFERROR(_xlfn.TEXTAFTER(_xlfn.XLOOKUP(A110,Collection!A:A,Collection!B:B,),"#"),"")</f>
        <v>CA7</v>
      </c>
      <c r="T110" s="60">
        <f t="shared" si="9"/>
        <v>2.96</v>
      </c>
      <c r="U110" s="54" t="s">
        <v>1561</v>
      </c>
      <c r="V110" s="58" t="str">
        <f>IF(ISNUMBER(MATCH(N110,Catalog!$B$4:$B$16, 0)), "Keep", "For Sale")</f>
        <v>For Sale</v>
      </c>
      <c r="W110" s="58">
        <f t="shared" si="10"/>
        <v>1</v>
      </c>
      <c r="X110" s="58">
        <f t="shared" si="11"/>
        <v>1</v>
      </c>
      <c r="Y110" s="60">
        <f t="shared" si="12"/>
        <v>4</v>
      </c>
      <c r="Z110" s="60">
        <f t="shared" si="13"/>
        <v>3</v>
      </c>
      <c r="AE110" t="s">
        <v>1665</v>
      </c>
      <c r="AF110"/>
      <c r="AG110" s="61">
        <v>144</v>
      </c>
      <c r="AH110"/>
      <c r="AI110" s="64" t="s">
        <v>1689</v>
      </c>
      <c r="AJ110" s="73">
        <v>1</v>
      </c>
    </row>
    <row r="111" spans="1:36" ht="14.4" x14ac:dyDescent="0.3">
      <c r="A111" s="13">
        <v>3296097</v>
      </c>
      <c r="B111" s="13" t="s">
        <v>416</v>
      </c>
      <c r="C111" s="13" t="s">
        <v>269</v>
      </c>
      <c r="D111" s="13">
        <v>293</v>
      </c>
      <c r="E111" s="13" t="s">
        <v>171</v>
      </c>
      <c r="F111" s="13" t="s">
        <v>172</v>
      </c>
      <c r="I111" s="13">
        <v>0</v>
      </c>
      <c r="J111" s="13">
        <v>1</v>
      </c>
      <c r="K111" s="14">
        <v>46129</v>
      </c>
      <c r="N111" s="13">
        <v>189</v>
      </c>
      <c r="P111" s="58" t="str">
        <f t="shared" si="7"/>
        <v>Michael Jordan</v>
      </c>
      <c r="Q111" s="58" t="str">
        <f>IFERROR(_xlfn.TEXTAFTER(_xlfn.XLOOKUP(A111,Collection!A:A,Collection!C:C,),"Cards "),C111)</f>
        <v>1996 Collector's Choice Jordan Cut Above</v>
      </c>
      <c r="R111" s="58" t="str">
        <f t="shared" si="8"/>
        <v>-</v>
      </c>
      <c r="S111" s="58" t="str">
        <f>IFERROR(_xlfn.TEXTAFTER(_xlfn.XLOOKUP(A111,Collection!A:A,Collection!B:B,),"#"),"")</f>
        <v>CA5</v>
      </c>
      <c r="T111" s="60">
        <f t="shared" si="9"/>
        <v>2.93</v>
      </c>
      <c r="U111" s="54" t="s">
        <v>1561</v>
      </c>
      <c r="V111" s="58" t="str">
        <f>IF(ISNUMBER(MATCH(N111,Catalog!$B$4:$B$16, 0)), "Keep", "For Sale")</f>
        <v>For Sale</v>
      </c>
      <c r="W111" s="58">
        <f t="shared" si="10"/>
        <v>1</v>
      </c>
      <c r="X111" s="58">
        <f t="shared" si="11"/>
        <v>1</v>
      </c>
      <c r="Y111" s="60">
        <f t="shared" si="12"/>
        <v>4</v>
      </c>
      <c r="Z111" s="60">
        <f t="shared" si="13"/>
        <v>3</v>
      </c>
      <c r="AE111" t="s">
        <v>1572</v>
      </c>
      <c r="AF111"/>
      <c r="AG111" s="61">
        <v>142.66666666666666</v>
      </c>
      <c r="AH111"/>
      <c r="AI111" s="64" t="s">
        <v>1610</v>
      </c>
      <c r="AJ111" s="73">
        <v>1</v>
      </c>
    </row>
    <row r="112" spans="1:36" ht="14.4" x14ac:dyDescent="0.3">
      <c r="A112" s="13">
        <v>3219585</v>
      </c>
      <c r="B112" s="13" t="s">
        <v>283</v>
      </c>
      <c r="C112" s="13" t="s">
        <v>269</v>
      </c>
      <c r="D112" s="13">
        <v>288</v>
      </c>
      <c r="E112" s="13" t="s">
        <v>171</v>
      </c>
      <c r="F112" s="13" t="s">
        <v>172</v>
      </c>
      <c r="I112" s="13">
        <v>0</v>
      </c>
      <c r="J112" s="13">
        <v>1</v>
      </c>
      <c r="K112" s="14">
        <v>46129</v>
      </c>
      <c r="N112" s="13">
        <v>188</v>
      </c>
      <c r="P112" s="58" t="str">
        <f t="shared" si="7"/>
        <v>Michael Jordan</v>
      </c>
      <c r="Q112" s="58" t="str">
        <f>IFERROR(_xlfn.TEXTAFTER(_xlfn.XLOOKUP(A112,Collection!A:A,Collection!C:C,),"Cards "),C112)</f>
        <v>1996 Collector's Choice Jordan Cut Above</v>
      </c>
      <c r="R112" s="58" t="str">
        <f t="shared" si="8"/>
        <v>-</v>
      </c>
      <c r="S112" s="58" t="str">
        <f>IFERROR(_xlfn.TEXTAFTER(_xlfn.XLOOKUP(A112,Collection!A:A,Collection!B:B,),"#"),"")</f>
        <v>CA4</v>
      </c>
      <c r="T112" s="60">
        <f t="shared" si="9"/>
        <v>2.88</v>
      </c>
      <c r="U112" s="54" t="s">
        <v>1561</v>
      </c>
      <c r="V112" s="58" t="str">
        <f>IF(ISNUMBER(MATCH(N112,Catalog!$B$4:$B$16, 0)), "Keep", "For Sale")</f>
        <v>For Sale</v>
      </c>
      <c r="W112" s="58">
        <f t="shared" si="10"/>
        <v>1</v>
      </c>
      <c r="X112" s="58">
        <f t="shared" si="11"/>
        <v>1</v>
      </c>
      <c r="Y112" s="60">
        <f t="shared" si="12"/>
        <v>3</v>
      </c>
      <c r="Z112" s="60">
        <f t="shared" si="13"/>
        <v>3</v>
      </c>
      <c r="AE112" t="s">
        <v>1681</v>
      </c>
      <c r="AF112"/>
      <c r="AG112" s="61">
        <v>142</v>
      </c>
      <c r="AH112"/>
      <c r="AI112" s="64" t="s">
        <v>1656</v>
      </c>
      <c r="AJ112" s="73">
        <v>1</v>
      </c>
    </row>
    <row r="113" spans="1:36" ht="14.4" x14ac:dyDescent="0.3">
      <c r="A113" s="13">
        <v>3296098</v>
      </c>
      <c r="B113" s="13" t="s">
        <v>405</v>
      </c>
      <c r="C113" s="13" t="s">
        <v>269</v>
      </c>
      <c r="D113" s="13">
        <v>272</v>
      </c>
      <c r="E113" s="13" t="s">
        <v>171</v>
      </c>
      <c r="F113" s="13" t="s">
        <v>172</v>
      </c>
      <c r="I113" s="13">
        <v>0</v>
      </c>
      <c r="J113" s="13">
        <v>1</v>
      </c>
      <c r="K113" s="14">
        <v>46129</v>
      </c>
      <c r="N113" s="13">
        <v>200</v>
      </c>
      <c r="P113" s="58" t="str">
        <f t="shared" si="7"/>
        <v>Michael Jordan</v>
      </c>
      <c r="Q113" s="58" t="str">
        <f>IFERROR(_xlfn.TEXTAFTER(_xlfn.XLOOKUP(A113,Collection!A:A,Collection!C:C,),"Cards "),C113)</f>
        <v>1996 Collector's Choice Jordan Cut Above</v>
      </c>
      <c r="R113" s="58" t="str">
        <f t="shared" si="8"/>
        <v>-</v>
      </c>
      <c r="S113" s="58" t="str">
        <f>IFERROR(_xlfn.TEXTAFTER(_xlfn.XLOOKUP(A113,Collection!A:A,Collection!B:B,),"#"),"")</f>
        <v>CA6</v>
      </c>
      <c r="T113" s="60">
        <f t="shared" si="9"/>
        <v>2.72</v>
      </c>
      <c r="U113" s="54" t="s">
        <v>1561</v>
      </c>
      <c r="V113" s="58" t="str">
        <f>IF(ISNUMBER(MATCH(N113,Catalog!$B$4:$B$16, 0)), "Keep", "For Sale")</f>
        <v>For Sale</v>
      </c>
      <c r="W113" s="58">
        <f t="shared" si="10"/>
        <v>1</v>
      </c>
      <c r="X113" s="58">
        <f t="shared" si="11"/>
        <v>1</v>
      </c>
      <c r="Y113" s="60">
        <f t="shared" si="12"/>
        <v>3</v>
      </c>
      <c r="Z113" s="60">
        <f t="shared" si="13"/>
        <v>3</v>
      </c>
      <c r="AE113" t="s">
        <v>1687</v>
      </c>
      <c r="AF113"/>
      <c r="AG113" s="61">
        <v>142</v>
      </c>
      <c r="AH113"/>
      <c r="AI113" s="8" t="s">
        <v>1802</v>
      </c>
      <c r="AJ113" s="73">
        <v>1</v>
      </c>
    </row>
    <row r="114" spans="1:36" ht="14.4" x14ac:dyDescent="0.3">
      <c r="A114" s="13">
        <v>5790767</v>
      </c>
      <c r="B114" s="13" t="s">
        <v>1248</v>
      </c>
      <c r="C114" s="13" t="s">
        <v>1249</v>
      </c>
      <c r="D114" s="13">
        <v>269</v>
      </c>
      <c r="E114" s="13" t="s">
        <v>171</v>
      </c>
      <c r="F114" s="13" t="s">
        <v>172</v>
      </c>
      <c r="I114" s="13">
        <v>0</v>
      </c>
      <c r="J114" s="13">
        <v>1</v>
      </c>
      <c r="K114" s="14">
        <v>46173</v>
      </c>
      <c r="N114" s="13">
        <v>195</v>
      </c>
      <c r="P114" s="58" t="str">
        <f t="shared" si="7"/>
        <v>Michael Jordan</v>
      </c>
      <c r="Q114" s="58" t="str">
        <f>IFERROR(_xlfn.TEXTAFTER(_xlfn.XLOOKUP(A114,Collection!A:A,Collection!C:C,),"Cards "),C114)</f>
        <v>1998 UD Choice</v>
      </c>
      <c r="R114" s="58" t="str">
        <f t="shared" si="8"/>
        <v>-</v>
      </c>
      <c r="S114" s="58" t="str">
        <f>IFERROR(_xlfn.TEXTAFTER(_xlfn.XLOOKUP(A114,Collection!A:A,Collection!B:B,),"#"),"")</f>
        <v>159</v>
      </c>
      <c r="T114" s="60">
        <f t="shared" si="9"/>
        <v>2.69</v>
      </c>
      <c r="U114" s="54" t="s">
        <v>1561</v>
      </c>
      <c r="V114" s="58" t="str">
        <f>IF(ISNUMBER(MATCH(N114,Catalog!$B$4:$B$16, 0)), "Keep", "For Sale")</f>
        <v>For Sale</v>
      </c>
      <c r="W114" s="58">
        <f t="shared" si="10"/>
        <v>1</v>
      </c>
      <c r="X114" s="58">
        <f t="shared" si="11"/>
        <v>1</v>
      </c>
      <c r="Y114" s="60">
        <f t="shared" si="12"/>
        <v>3</v>
      </c>
      <c r="Z114" s="60">
        <f t="shared" si="13"/>
        <v>3</v>
      </c>
      <c r="AE114" t="s">
        <v>1629</v>
      </c>
      <c r="AF114"/>
      <c r="AG114" s="61">
        <v>140.5</v>
      </c>
      <c r="AH114"/>
      <c r="AI114" s="64" t="s">
        <v>1583</v>
      </c>
      <c r="AJ114" s="73">
        <v>1</v>
      </c>
    </row>
    <row r="115" spans="1:36" ht="14.4" x14ac:dyDescent="0.3">
      <c r="A115" s="13">
        <v>4423452</v>
      </c>
      <c r="B115" s="13" t="s">
        <v>392</v>
      </c>
      <c r="C115" s="13" t="s">
        <v>269</v>
      </c>
      <c r="D115" s="13">
        <v>258</v>
      </c>
      <c r="E115" s="13" t="s">
        <v>171</v>
      </c>
      <c r="F115" s="13" t="s">
        <v>172</v>
      </c>
      <c r="I115" s="13">
        <v>0</v>
      </c>
      <c r="J115" s="13">
        <v>1</v>
      </c>
      <c r="K115" s="14">
        <v>46129</v>
      </c>
      <c r="N115" s="13">
        <v>204</v>
      </c>
      <c r="P115" s="58" t="str">
        <f t="shared" si="7"/>
        <v>Michael Jordan</v>
      </c>
      <c r="Q115" s="58" t="str">
        <f>IFERROR(_xlfn.TEXTAFTER(_xlfn.XLOOKUP(A115,Collection!A:A,Collection!C:C,),"Cards "),C115)</f>
        <v>1996 Collector's Choice Jordan Cut Above</v>
      </c>
      <c r="R115" s="58" t="str">
        <f t="shared" si="8"/>
        <v>-</v>
      </c>
      <c r="S115" s="58" t="str">
        <f>IFERROR(_xlfn.TEXTAFTER(_xlfn.XLOOKUP(A115,Collection!A:A,Collection!B:B,),"#"),"")</f>
        <v>CA8</v>
      </c>
      <c r="T115" s="60">
        <f t="shared" si="9"/>
        <v>2.58</v>
      </c>
      <c r="U115" s="54" t="s">
        <v>1561</v>
      </c>
      <c r="V115" s="58" t="str">
        <f>IF(ISNUMBER(MATCH(N115,Catalog!$B$4:$B$16, 0)), "Keep", "For Sale")</f>
        <v>For Sale</v>
      </c>
      <c r="W115" s="58">
        <f t="shared" si="10"/>
        <v>1</v>
      </c>
      <c r="X115" s="58">
        <f t="shared" si="11"/>
        <v>1</v>
      </c>
      <c r="Y115" s="60">
        <f t="shared" si="12"/>
        <v>3</v>
      </c>
      <c r="Z115" s="60">
        <f t="shared" si="13"/>
        <v>3</v>
      </c>
      <c r="AE115" t="s">
        <v>1582</v>
      </c>
      <c r="AF115"/>
      <c r="AG115" s="61">
        <v>138</v>
      </c>
      <c r="AH115"/>
      <c r="AI115" s="64" t="s">
        <v>1692</v>
      </c>
      <c r="AJ115" s="73">
        <v>1</v>
      </c>
    </row>
    <row r="116" spans="1:36" ht="14.4" x14ac:dyDescent="0.3">
      <c r="A116" s="13">
        <v>84142</v>
      </c>
      <c r="B116" s="13" t="s">
        <v>192</v>
      </c>
      <c r="C116" s="13" t="s">
        <v>220</v>
      </c>
      <c r="D116" s="13">
        <v>253</v>
      </c>
      <c r="E116" s="13" t="s">
        <v>171</v>
      </c>
      <c r="F116" s="13" t="s">
        <v>172</v>
      </c>
      <c r="I116" s="13">
        <v>0</v>
      </c>
      <c r="J116" s="13">
        <v>1</v>
      </c>
      <c r="K116" s="14">
        <v>46129</v>
      </c>
      <c r="N116" s="13">
        <v>184</v>
      </c>
      <c r="P116" s="58" t="str">
        <f t="shared" si="7"/>
        <v>Michael Jordan</v>
      </c>
      <c r="Q116" s="58" t="str">
        <f>IFERROR(_xlfn.TEXTAFTER(_xlfn.XLOOKUP(A116,Collection!A:A,Collection!C:C,),"Cards "),C116)</f>
        <v>1996 Collector's Choice</v>
      </c>
      <c r="R116" s="58" t="str">
        <f t="shared" si="8"/>
        <v>-</v>
      </c>
      <c r="S116" s="58" t="str">
        <f>IFERROR(_xlfn.TEXTAFTER(_xlfn.XLOOKUP(A116,Collection!A:A,Collection!B:B,),"#"),"")</f>
        <v>23</v>
      </c>
      <c r="T116" s="60">
        <f t="shared" si="9"/>
        <v>2.5299999999999998</v>
      </c>
      <c r="U116" s="54" t="s">
        <v>1561</v>
      </c>
      <c r="V116" s="58" t="str">
        <f>IF(ISNUMBER(MATCH(N116,Catalog!$B$4:$B$16, 0)), "Keep", "For Sale")</f>
        <v>For Sale</v>
      </c>
      <c r="W116" s="58">
        <f t="shared" si="10"/>
        <v>1</v>
      </c>
      <c r="X116" s="58">
        <f t="shared" si="11"/>
        <v>1</v>
      </c>
      <c r="Y116" s="60">
        <f t="shared" si="12"/>
        <v>3</v>
      </c>
      <c r="Z116" s="60">
        <f t="shared" si="13"/>
        <v>3</v>
      </c>
      <c r="AE116" t="s">
        <v>1693</v>
      </c>
      <c r="AF116"/>
      <c r="AG116" s="61">
        <v>138</v>
      </c>
      <c r="AH116"/>
      <c r="AI116" s="8" t="s">
        <v>1809</v>
      </c>
      <c r="AJ116" s="73">
        <v>1</v>
      </c>
    </row>
    <row r="117" spans="1:36" ht="14.4" x14ac:dyDescent="0.3">
      <c r="A117" s="13">
        <v>87411</v>
      </c>
      <c r="B117" s="13" t="s">
        <v>458</v>
      </c>
      <c r="C117" s="13" t="s">
        <v>174</v>
      </c>
      <c r="D117" s="13">
        <v>251</v>
      </c>
      <c r="E117" s="13" t="s">
        <v>171</v>
      </c>
      <c r="F117" s="13" t="s">
        <v>172</v>
      </c>
      <c r="I117" s="13">
        <v>0</v>
      </c>
      <c r="J117" s="13">
        <v>1</v>
      </c>
      <c r="K117" s="14">
        <v>46183</v>
      </c>
      <c r="N117" s="13">
        <v>197</v>
      </c>
      <c r="P117" s="58" t="str">
        <f t="shared" si="7"/>
        <v>Michael Jordan</v>
      </c>
      <c r="Q117" s="58" t="str">
        <f>IFERROR(_xlfn.TEXTAFTER(_xlfn.XLOOKUP(A117,Collection!A:A,Collection!C:C,),"Cards "),C117)</f>
        <v>1996 Upper Deck</v>
      </c>
      <c r="R117" s="58" t="str">
        <f t="shared" si="8"/>
        <v>-</v>
      </c>
      <c r="S117" s="58" t="str">
        <f>IFERROR(_xlfn.TEXTAFTER(_xlfn.XLOOKUP(A117,Collection!A:A,Collection!B:B,),"#"),"")</f>
        <v>165</v>
      </c>
      <c r="T117" s="60">
        <f t="shared" si="9"/>
        <v>2.5099999999999998</v>
      </c>
      <c r="U117" s="54" t="s">
        <v>1561</v>
      </c>
      <c r="V117" s="58" t="str">
        <f>IF(ISNUMBER(MATCH(N117,Catalog!$B$4:$B$16, 0)), "Keep", "For Sale")</f>
        <v>For Sale</v>
      </c>
      <c r="W117" s="58">
        <f t="shared" si="10"/>
        <v>2</v>
      </c>
      <c r="X117" s="58">
        <f t="shared" si="11"/>
        <v>1</v>
      </c>
      <c r="Y117" s="60">
        <f t="shared" si="12"/>
        <v>3</v>
      </c>
      <c r="Z117" s="60">
        <f t="shared" si="13"/>
        <v>2</v>
      </c>
      <c r="AE117" t="s">
        <v>1650</v>
      </c>
      <c r="AF117"/>
      <c r="AG117" s="61">
        <v>136</v>
      </c>
      <c r="AH117"/>
      <c r="AI117" s="64" t="s">
        <v>1646</v>
      </c>
      <c r="AJ117" s="73">
        <v>1</v>
      </c>
    </row>
    <row r="118" spans="1:36" ht="14.4" x14ac:dyDescent="0.3">
      <c r="A118" s="13">
        <v>87411</v>
      </c>
      <c r="B118" s="13" t="s">
        <v>458</v>
      </c>
      <c r="C118" s="13" t="s">
        <v>174</v>
      </c>
      <c r="D118" s="13">
        <v>251</v>
      </c>
      <c r="E118" s="13" t="s">
        <v>171</v>
      </c>
      <c r="F118" s="13" t="s">
        <v>172</v>
      </c>
      <c r="I118" s="13">
        <v>0</v>
      </c>
      <c r="J118" s="13">
        <v>1</v>
      </c>
      <c r="K118" s="14">
        <v>46129</v>
      </c>
      <c r="N118" s="13">
        <v>198</v>
      </c>
      <c r="P118" s="58" t="str">
        <f t="shared" si="7"/>
        <v>Michael Jordan</v>
      </c>
      <c r="Q118" s="58" t="str">
        <f>IFERROR(_xlfn.TEXTAFTER(_xlfn.XLOOKUP(A118,Collection!A:A,Collection!C:C,),"Cards "),C118)</f>
        <v>1996 Upper Deck</v>
      </c>
      <c r="R118" s="58" t="str">
        <f t="shared" si="8"/>
        <v>-</v>
      </c>
      <c r="S118" s="58" t="str">
        <f>IFERROR(_xlfn.TEXTAFTER(_xlfn.XLOOKUP(A118,Collection!A:A,Collection!B:B,),"#"),"")</f>
        <v>165</v>
      </c>
      <c r="T118" s="60">
        <f t="shared" si="9"/>
        <v>2.5099999999999998</v>
      </c>
      <c r="U118" s="54" t="s">
        <v>1561</v>
      </c>
      <c r="V118" s="58" t="str">
        <f>IF(ISNUMBER(MATCH(N118,Catalog!$B$4:$B$16, 0)), "Keep", "For Sale")</f>
        <v>For Sale</v>
      </c>
      <c r="W118" s="58">
        <f t="shared" si="10"/>
        <v>2</v>
      </c>
      <c r="X118" s="58">
        <f t="shared" si="11"/>
        <v>1</v>
      </c>
      <c r="Y118" s="60">
        <f t="shared" si="12"/>
        <v>3</v>
      </c>
      <c r="Z118" s="60">
        <f t="shared" si="13"/>
        <v>2</v>
      </c>
      <c r="AE118" t="s">
        <v>1563</v>
      </c>
      <c r="AF118"/>
      <c r="AG118" s="61">
        <v>133.80000000000001</v>
      </c>
      <c r="AH118"/>
      <c r="AI118" s="8" t="s">
        <v>1810</v>
      </c>
      <c r="AJ118" s="73">
        <v>1</v>
      </c>
    </row>
    <row r="119" spans="1:36" ht="14.4" x14ac:dyDescent="0.3">
      <c r="A119" s="13">
        <v>80786</v>
      </c>
      <c r="B119" s="13" t="s">
        <v>312</v>
      </c>
      <c r="C119" s="13" t="s">
        <v>313</v>
      </c>
      <c r="D119" s="13">
        <v>221</v>
      </c>
      <c r="E119" s="13" t="s">
        <v>171</v>
      </c>
      <c r="F119" s="13" t="s">
        <v>172</v>
      </c>
      <c r="I119" s="13">
        <v>0</v>
      </c>
      <c r="J119" s="13">
        <v>1</v>
      </c>
      <c r="K119" s="14">
        <v>46149</v>
      </c>
      <c r="N119" s="13">
        <v>169</v>
      </c>
      <c r="P119" s="58" t="str">
        <f t="shared" si="7"/>
        <v>Michael Jordan</v>
      </c>
      <c r="Q119" s="58" t="str">
        <f>IFERROR(_xlfn.TEXTAFTER(_xlfn.XLOOKUP(A119,Collection!A:A,Collection!C:C,),"Cards "),C119)</f>
        <v>1993 Topps</v>
      </c>
      <c r="R119" s="58" t="str">
        <f t="shared" si="8"/>
        <v>-</v>
      </c>
      <c r="S119" s="58" t="str">
        <f>IFERROR(_xlfn.TEXTAFTER(_xlfn.XLOOKUP(A119,Collection!A:A,Collection!B:B,),"#"),"")</f>
        <v>199</v>
      </c>
      <c r="T119" s="60">
        <f t="shared" si="9"/>
        <v>2.21</v>
      </c>
      <c r="U119" s="54" t="s">
        <v>1561</v>
      </c>
      <c r="V119" s="58" t="str">
        <f>IF(ISNUMBER(MATCH(N119,Catalog!$B$4:$B$16, 0)), "Keep", "For Sale")</f>
        <v>For Sale</v>
      </c>
      <c r="W119" s="58">
        <f t="shared" si="10"/>
        <v>1</v>
      </c>
      <c r="X119" s="58">
        <f t="shared" si="11"/>
        <v>1</v>
      </c>
      <c r="Y119" s="60">
        <f t="shared" si="12"/>
        <v>3</v>
      </c>
      <c r="Z119" s="60">
        <f t="shared" si="13"/>
        <v>2</v>
      </c>
      <c r="AE119" t="s">
        <v>1655</v>
      </c>
      <c r="AF119"/>
      <c r="AG119" s="61">
        <v>132</v>
      </c>
      <c r="AH119"/>
      <c r="AI119" s="64" t="s">
        <v>1687</v>
      </c>
      <c r="AJ119" s="73">
        <v>1</v>
      </c>
    </row>
    <row r="120" spans="1:36" ht="14.4" x14ac:dyDescent="0.3">
      <c r="A120" s="13">
        <v>154660</v>
      </c>
      <c r="B120" s="13" t="s">
        <v>1796</v>
      </c>
      <c r="C120" s="13" t="s">
        <v>271</v>
      </c>
      <c r="D120" s="13">
        <v>199</v>
      </c>
      <c r="E120" s="13" t="s">
        <v>171</v>
      </c>
      <c r="F120" s="13" t="s">
        <v>172</v>
      </c>
      <c r="I120" s="13">
        <v>0</v>
      </c>
      <c r="J120" s="13">
        <v>1</v>
      </c>
      <c r="K120" s="14">
        <v>46186</v>
      </c>
      <c r="N120" s="13">
        <v>229</v>
      </c>
      <c r="P120" s="58" t="str">
        <f t="shared" si="7"/>
        <v>Michael Jordan</v>
      </c>
      <c r="Q120" s="58" t="str">
        <f>IFERROR(_xlfn.TEXTAFTER(_xlfn.XLOOKUP(A120,Collection!A:A,Collection!C:C,),"Cards "),C120)</f>
        <v>1991 Upper Deck</v>
      </c>
      <c r="R120" s="58" t="str">
        <f t="shared" si="8"/>
        <v>-</v>
      </c>
      <c r="S120" s="58" t="str">
        <f>IFERROR(_xlfn.TEXTAFTER(_xlfn.XLOOKUP(A120,Collection!A:A,Collection!B:B,),"#"),"")</f>
        <v>69</v>
      </c>
      <c r="T120" s="60">
        <f t="shared" si="9"/>
        <v>1.99</v>
      </c>
      <c r="U120" s="54" t="s">
        <v>1561</v>
      </c>
      <c r="V120" s="58" t="str">
        <f>IF(ISNUMBER(MATCH(N120,Catalog!$B$4:$B$16, 0)), "Keep", "For Sale")</f>
        <v>For Sale</v>
      </c>
      <c r="W120" s="58">
        <f t="shared" si="10"/>
        <v>1</v>
      </c>
      <c r="X120" s="58">
        <f t="shared" si="11"/>
        <v>1</v>
      </c>
      <c r="Y120" s="60">
        <f t="shared" si="12"/>
        <v>2.5</v>
      </c>
      <c r="Z120" s="60">
        <f t="shared" si="13"/>
        <v>2</v>
      </c>
      <c r="AE120" t="s">
        <v>1659</v>
      </c>
      <c r="AF120"/>
      <c r="AG120" s="61">
        <v>129</v>
      </c>
      <c r="AH120"/>
      <c r="AI120" s="8" t="s">
        <v>1812</v>
      </c>
      <c r="AJ120" s="73">
        <v>1</v>
      </c>
    </row>
    <row r="121" spans="1:36" ht="14.4" x14ac:dyDescent="0.3">
      <c r="A121" s="13">
        <v>3225703</v>
      </c>
      <c r="B121" s="13" t="s">
        <v>178</v>
      </c>
      <c r="C121" s="13" t="s">
        <v>179</v>
      </c>
      <c r="D121" s="13">
        <v>0</v>
      </c>
      <c r="E121" s="13" t="s">
        <v>171</v>
      </c>
      <c r="F121" s="13" t="s">
        <v>172</v>
      </c>
      <c r="I121" s="13">
        <v>0</v>
      </c>
      <c r="J121" s="13">
        <v>1</v>
      </c>
      <c r="K121" s="14">
        <v>46149</v>
      </c>
      <c r="N121" s="13">
        <v>595</v>
      </c>
      <c r="P121" s="58" t="str">
        <f t="shared" si="7"/>
        <v>Michael Jordan</v>
      </c>
      <c r="Q121" s="58" t="str">
        <f>IFERROR(_xlfn.TEXTAFTER(_xlfn.XLOOKUP(A121,Collection!A:A,Collection!C:C,),"Cards "),C121)</f>
        <v>1997 Upper Deck Holojam</v>
      </c>
      <c r="R121" s="58" t="str">
        <f t="shared" si="8"/>
        <v>-</v>
      </c>
      <c r="S121" s="58" t="str">
        <f>IFERROR(_xlfn.TEXTAFTER(_xlfn.XLOOKUP(A121,Collection!A:A,Collection!B:B,),"#"),"")</f>
        <v>VP5</v>
      </c>
      <c r="T121" s="60">
        <f t="shared" si="9"/>
        <v>0</v>
      </c>
      <c r="U121" s="54" t="s">
        <v>1561</v>
      </c>
      <c r="V121" s="58" t="str">
        <f>IF(ISNUMBER(MATCH(N121,Catalog!$B$4:$B$16, 0)), "Keep", "For Sale")</f>
        <v>For Sale</v>
      </c>
      <c r="W121" s="58">
        <f t="shared" si="10"/>
        <v>1</v>
      </c>
      <c r="X121" s="58">
        <f t="shared" si="11"/>
        <v>1</v>
      </c>
      <c r="Y121" s="60">
        <f t="shared" si="12"/>
        <v>0.25</v>
      </c>
      <c r="Z121" s="60">
        <f t="shared" si="13"/>
        <v>0.25</v>
      </c>
      <c r="AE121" t="s">
        <v>1645</v>
      </c>
      <c r="AF121"/>
      <c r="AG121" s="61">
        <v>127</v>
      </c>
      <c r="AH121"/>
      <c r="AI121" s="64" t="s">
        <v>1669</v>
      </c>
      <c r="AJ121" s="73">
        <v>1</v>
      </c>
    </row>
    <row r="122" spans="1:36" ht="14.4" x14ac:dyDescent="0.3">
      <c r="A122" s="13">
        <v>9277532</v>
      </c>
      <c r="B122" s="13" t="s">
        <v>557</v>
      </c>
      <c r="C122" s="13" t="s">
        <v>558</v>
      </c>
      <c r="D122" s="13">
        <v>1649</v>
      </c>
      <c r="E122" s="13" t="s">
        <v>171</v>
      </c>
      <c r="F122" s="13" t="s">
        <v>172</v>
      </c>
      <c r="I122" s="13">
        <v>0</v>
      </c>
      <c r="J122" s="13">
        <v>1</v>
      </c>
      <c r="K122" s="14">
        <v>46129</v>
      </c>
      <c r="N122" s="13">
        <v>19</v>
      </c>
      <c r="P122" s="58" t="str">
        <f t="shared" si="7"/>
        <v>Spider-Man</v>
      </c>
      <c r="Q122" s="58" t="str">
        <f>IFERROR(_xlfn.TEXTAFTER(_xlfn.XLOOKUP(A122,Collection!A:A,Collection!C:C,),"Cards "),C122)</f>
        <v>Marvel 1994 Fleer Amazing Spider-Man Hologram</v>
      </c>
      <c r="R122" s="58" t="str">
        <f t="shared" si="8"/>
        <v>-</v>
      </c>
      <c r="S122" s="58" t="str">
        <f>IFERROR(_xlfn.TEXTAFTER(_xlfn.XLOOKUP(A122,Collection!A:A,Collection!B:B,),"#"),"")</f>
        <v>4</v>
      </c>
      <c r="T122" s="60">
        <f t="shared" si="9"/>
        <v>16.489999999999998</v>
      </c>
      <c r="U122" s="54" t="s">
        <v>1605</v>
      </c>
      <c r="V122" s="58" t="str">
        <f>IF(ISNUMBER(MATCH(N122,Catalog!$B$4:$B$16, 0)), "Keep", "For Sale")</f>
        <v>For Sale</v>
      </c>
      <c r="W122" s="58">
        <f t="shared" si="10"/>
        <v>1</v>
      </c>
      <c r="X122" s="58">
        <f t="shared" si="11"/>
        <v>1</v>
      </c>
      <c r="Y122" s="60">
        <f t="shared" si="12"/>
        <v>20</v>
      </c>
      <c r="Z122" s="60">
        <f t="shared" si="13"/>
        <v>16</v>
      </c>
      <c r="AE122" t="s">
        <v>1646</v>
      </c>
      <c r="AF122"/>
      <c r="AG122" s="61">
        <v>125</v>
      </c>
      <c r="AH122"/>
      <c r="AI122" s="64" t="s">
        <v>1679</v>
      </c>
      <c r="AJ122" s="73">
        <v>1</v>
      </c>
    </row>
    <row r="123" spans="1:36" ht="14.4" x14ac:dyDescent="0.3">
      <c r="A123" s="13">
        <v>7292331</v>
      </c>
      <c r="B123" s="13" t="s">
        <v>1292</v>
      </c>
      <c r="C123" s="13" t="s">
        <v>1180</v>
      </c>
      <c r="D123" s="13">
        <v>3400</v>
      </c>
      <c r="E123" s="13" t="s">
        <v>171</v>
      </c>
      <c r="F123" s="13" t="s">
        <v>172</v>
      </c>
      <c r="H123" s="13" t="s">
        <v>1293</v>
      </c>
      <c r="I123" s="13">
        <v>5062</v>
      </c>
      <c r="J123" s="13">
        <v>1</v>
      </c>
      <c r="K123" s="14">
        <v>46174</v>
      </c>
      <c r="L123" s="14">
        <v>46173</v>
      </c>
      <c r="N123" s="13">
        <v>6</v>
      </c>
      <c r="P123" s="58" t="str">
        <f t="shared" si="7"/>
        <v>Victor Wembanyama</v>
      </c>
      <c r="Q123" s="58" t="str">
        <f>IFERROR(_xlfn.TEXTAFTER(_xlfn.XLOOKUP(A123,Collection!A:A,Collection!C:C,),"Cards "),C123)</f>
        <v>2023 Topps Chrome</v>
      </c>
      <c r="R123" s="58" t="str">
        <f t="shared" si="8"/>
        <v>-</v>
      </c>
      <c r="S123" s="58" t="str">
        <f>IFERROR(_xlfn.TEXTAFTER(_xlfn.XLOOKUP(A123,Collection!A:A,Collection!B:B,),"#"),"")</f>
        <v>1</v>
      </c>
      <c r="T123" s="60">
        <f t="shared" si="9"/>
        <v>34</v>
      </c>
      <c r="U123" s="54" t="s">
        <v>1571</v>
      </c>
      <c r="V123" s="58" t="str">
        <f>IF(ISNUMBER(MATCH(N123,Catalog!$B$4:$B$16, 0)), "Keep", "For Sale")</f>
        <v>Keep</v>
      </c>
      <c r="W123" s="58">
        <f t="shared" si="10"/>
        <v>0</v>
      </c>
      <c r="X123" s="58">
        <f t="shared" si="11"/>
        <v>1</v>
      </c>
      <c r="Y123" s="60">
        <f t="shared" si="12"/>
        <v>61</v>
      </c>
      <c r="Z123" s="60">
        <f t="shared" si="13"/>
        <v>34</v>
      </c>
      <c r="AE123" t="s">
        <v>1617</v>
      </c>
      <c r="AF123"/>
      <c r="AG123" s="61">
        <v>125</v>
      </c>
      <c r="AH123"/>
      <c r="AI123" s="64" t="s">
        <v>1623</v>
      </c>
      <c r="AJ123" s="73">
        <v>1</v>
      </c>
    </row>
    <row r="124" spans="1:36" ht="14.4" x14ac:dyDescent="0.3">
      <c r="A124" s="13">
        <v>6066827</v>
      </c>
      <c r="B124" s="13" t="s">
        <v>1292</v>
      </c>
      <c r="C124" s="13" t="s">
        <v>1519</v>
      </c>
      <c r="D124" s="13">
        <v>1601</v>
      </c>
      <c r="E124" s="13" t="s">
        <v>171</v>
      </c>
      <c r="F124" s="13" t="s">
        <v>172</v>
      </c>
      <c r="H124" s="13" t="s">
        <v>1520</v>
      </c>
      <c r="I124" s="13">
        <v>1659</v>
      </c>
      <c r="J124" s="13">
        <v>1</v>
      </c>
      <c r="K124" s="14">
        <v>46183</v>
      </c>
      <c r="L124" s="14">
        <v>46182</v>
      </c>
      <c r="N124" s="13">
        <v>20</v>
      </c>
      <c r="P124" s="58" t="str">
        <f t="shared" si="7"/>
        <v>Victor Wembanyama</v>
      </c>
      <c r="Q124" s="58" t="str">
        <f>IFERROR(_xlfn.TEXTAFTER(_xlfn.XLOOKUP(A124,Collection!A:A,Collection!C:C,),"Cards "),C124)</f>
        <v>2023 Panini Hoops Attack the Rack</v>
      </c>
      <c r="R124" s="58" t="str">
        <f t="shared" si="8"/>
        <v>-</v>
      </c>
      <c r="S124" s="58" t="str">
        <f>IFERROR(_xlfn.TEXTAFTER(_xlfn.XLOOKUP(A124,Collection!A:A,Collection!B:B,),"#"),"")</f>
        <v>1</v>
      </c>
      <c r="T124" s="60">
        <f t="shared" si="9"/>
        <v>16.010000000000002</v>
      </c>
      <c r="U124" s="54" t="s">
        <v>1571</v>
      </c>
      <c r="V124" s="58" t="str">
        <f>IF(ISNUMBER(MATCH(N124,Catalog!$B$4:$B$16, 0)), "Keep", "For Sale")</f>
        <v>Keep</v>
      </c>
      <c r="W124" s="58">
        <f t="shared" si="10"/>
        <v>0</v>
      </c>
      <c r="X124" s="58">
        <f t="shared" si="11"/>
        <v>1</v>
      </c>
      <c r="Y124" s="60">
        <f t="shared" si="12"/>
        <v>20</v>
      </c>
      <c r="Z124" s="60">
        <f t="shared" si="13"/>
        <v>16</v>
      </c>
      <c r="AE124" t="s">
        <v>1584</v>
      </c>
      <c r="AF124"/>
      <c r="AG124" s="61">
        <v>124</v>
      </c>
      <c r="AH124"/>
      <c r="AI124" s="64" t="s">
        <v>1678</v>
      </c>
      <c r="AJ124" s="73">
        <v>1</v>
      </c>
    </row>
    <row r="125" spans="1:36" ht="14.4" x14ac:dyDescent="0.3">
      <c r="A125" s="13">
        <v>11909426</v>
      </c>
      <c r="B125" s="13" t="s">
        <v>980</v>
      </c>
      <c r="C125" s="13" t="s">
        <v>981</v>
      </c>
      <c r="D125" s="13">
        <v>1097</v>
      </c>
      <c r="E125" s="13" t="s">
        <v>171</v>
      </c>
      <c r="F125" s="13" t="s">
        <v>172</v>
      </c>
      <c r="H125" s="13" t="s">
        <v>982</v>
      </c>
      <c r="I125" s="13">
        <v>589</v>
      </c>
      <c r="J125" s="13">
        <v>1</v>
      </c>
      <c r="K125" s="14">
        <v>46164</v>
      </c>
      <c r="L125" s="14">
        <v>46157</v>
      </c>
      <c r="N125" s="13">
        <v>30</v>
      </c>
      <c r="P125" s="58" t="str">
        <f t="shared" si="7"/>
        <v>Victor Wembanyama</v>
      </c>
      <c r="Q125" s="58" t="str">
        <f>IFERROR(_xlfn.TEXTAFTER(_xlfn.XLOOKUP(A125,Collection!A:A,Collection!C:C,),"Cards "),C125)</f>
        <v>2025 Topps Match Attax In Motion</v>
      </c>
      <c r="R125" s="58" t="str">
        <f t="shared" si="8"/>
        <v>-</v>
      </c>
      <c r="S125" s="58" t="str">
        <f>IFERROR(_xlfn.TEXTAFTER(_xlfn.XLOOKUP(A125,Collection!A:A,Collection!B:B,),"#"),"")</f>
        <v>KI-VW</v>
      </c>
      <c r="T125" s="60">
        <f t="shared" si="9"/>
        <v>10.97</v>
      </c>
      <c r="U125" s="54" t="s">
        <v>1571</v>
      </c>
      <c r="V125" s="58" t="str">
        <f>IF(ISNUMBER(MATCH(N125,Catalog!$B$4:$B$16, 0)), "Keep", "For Sale")</f>
        <v>For Sale</v>
      </c>
      <c r="W125" s="58">
        <f t="shared" si="10"/>
        <v>1</v>
      </c>
      <c r="X125" s="58">
        <f t="shared" si="11"/>
        <v>1</v>
      </c>
      <c r="Y125" s="60">
        <f t="shared" si="12"/>
        <v>13</v>
      </c>
      <c r="Z125" s="60">
        <f t="shared" si="13"/>
        <v>6</v>
      </c>
      <c r="AE125" t="s">
        <v>1682</v>
      </c>
      <c r="AF125"/>
      <c r="AG125" s="61">
        <v>124</v>
      </c>
      <c r="AH125"/>
      <c r="AI125" s="64" t="s">
        <v>1703</v>
      </c>
      <c r="AJ125" s="73">
        <v>1</v>
      </c>
    </row>
    <row r="126" spans="1:36" ht="14.4" x14ac:dyDescent="0.3">
      <c r="A126" s="13">
        <v>11830213</v>
      </c>
      <c r="B126" s="13" t="s">
        <v>983</v>
      </c>
      <c r="C126" s="13" t="s">
        <v>930</v>
      </c>
      <c r="D126" s="13">
        <v>552</v>
      </c>
      <c r="E126" s="13" t="s">
        <v>171</v>
      </c>
      <c r="F126" s="13" t="s">
        <v>172</v>
      </c>
      <c r="H126" s="13" t="s">
        <v>1518</v>
      </c>
      <c r="I126" s="13">
        <v>370</v>
      </c>
      <c r="J126" s="13">
        <v>1</v>
      </c>
      <c r="K126" s="14">
        <v>46164</v>
      </c>
      <c r="L126" s="14">
        <v>46161</v>
      </c>
      <c r="N126" s="13">
        <v>44</v>
      </c>
      <c r="P126" s="58" t="str">
        <f t="shared" si="7"/>
        <v>Victor Wembanyama</v>
      </c>
      <c r="Q126" s="58" t="str">
        <f>IFERROR(_xlfn.TEXTAFTER(_xlfn.XLOOKUP(A126,Collection!A:A,Collection!C:C,),"Cards "),C126)</f>
        <v>2025 Topps Match Attax Breakthrough Baller</v>
      </c>
      <c r="R126" s="58" t="str">
        <f t="shared" si="8"/>
        <v>-</v>
      </c>
      <c r="S126" s="58" t="str">
        <f>IFERROR(_xlfn.TEXTAFTER(_xlfn.XLOOKUP(A126,Collection!A:A,Collection!B:B,),"#"),"")</f>
        <v>BB-VW</v>
      </c>
      <c r="T126" s="60">
        <f t="shared" si="9"/>
        <v>5.52</v>
      </c>
      <c r="U126" s="54" t="s">
        <v>1571</v>
      </c>
      <c r="V126" s="58" t="str">
        <f>IF(ISNUMBER(MATCH(N126,Catalog!$B$4:$B$16, 0)), "Keep", "For Sale")</f>
        <v>For Sale</v>
      </c>
      <c r="W126" s="58">
        <f t="shared" si="10"/>
        <v>4</v>
      </c>
      <c r="X126" s="58">
        <f t="shared" si="11"/>
        <v>1</v>
      </c>
      <c r="Y126" s="60">
        <f t="shared" si="12"/>
        <v>7</v>
      </c>
      <c r="Z126" s="60">
        <f t="shared" si="13"/>
        <v>3</v>
      </c>
      <c r="AE126" t="s">
        <v>1677</v>
      </c>
      <c r="AF126"/>
      <c r="AG126" s="61">
        <v>120.75</v>
      </c>
      <c r="AH126"/>
      <c r="AI126" s="64" t="s">
        <v>1624</v>
      </c>
      <c r="AJ126" s="73">
        <v>1</v>
      </c>
    </row>
    <row r="127" spans="1:36" ht="14.4" x14ac:dyDescent="0.3">
      <c r="A127" s="13">
        <v>11830213</v>
      </c>
      <c r="B127" s="13" t="s">
        <v>983</v>
      </c>
      <c r="C127" s="13" t="s">
        <v>930</v>
      </c>
      <c r="D127" s="13">
        <v>552</v>
      </c>
      <c r="E127" s="13" t="s">
        <v>171</v>
      </c>
      <c r="F127" s="13" t="s">
        <v>172</v>
      </c>
      <c r="H127" s="13" t="s">
        <v>1524</v>
      </c>
      <c r="I127" s="13">
        <v>529</v>
      </c>
      <c r="J127" s="13">
        <v>1</v>
      </c>
      <c r="K127" s="14">
        <v>46183</v>
      </c>
      <c r="L127" s="14">
        <v>46161</v>
      </c>
      <c r="N127" s="13">
        <v>45</v>
      </c>
      <c r="P127" s="58" t="str">
        <f t="shared" si="7"/>
        <v>Victor Wembanyama</v>
      </c>
      <c r="Q127" s="58" t="str">
        <f>IFERROR(_xlfn.TEXTAFTER(_xlfn.XLOOKUP(A127,Collection!A:A,Collection!C:C,),"Cards "),C127)</f>
        <v>2025 Topps Match Attax Breakthrough Baller</v>
      </c>
      <c r="R127" s="58" t="str">
        <f t="shared" si="8"/>
        <v>-</v>
      </c>
      <c r="S127" s="58" t="str">
        <f>IFERROR(_xlfn.TEXTAFTER(_xlfn.XLOOKUP(A127,Collection!A:A,Collection!B:B,),"#"),"")</f>
        <v>BB-VW</v>
      </c>
      <c r="T127" s="60">
        <f t="shared" si="9"/>
        <v>5.52</v>
      </c>
      <c r="U127" s="54" t="s">
        <v>1571</v>
      </c>
      <c r="V127" s="58" t="str">
        <f>IF(ISNUMBER(MATCH(N127,Catalog!$B$4:$B$16, 0)), "Keep", "For Sale")</f>
        <v>For Sale</v>
      </c>
      <c r="W127" s="58">
        <f t="shared" si="10"/>
        <v>4</v>
      </c>
      <c r="X127" s="58">
        <f t="shared" si="11"/>
        <v>1</v>
      </c>
      <c r="Y127" s="60">
        <f t="shared" si="12"/>
        <v>7</v>
      </c>
      <c r="Z127" s="60">
        <f t="shared" si="13"/>
        <v>4</v>
      </c>
      <c r="AE127" t="s">
        <v>1555</v>
      </c>
      <c r="AF127"/>
      <c r="AG127" s="61">
        <v>116</v>
      </c>
      <c r="AH127"/>
      <c r="AI127" s="64" t="s">
        <v>1695</v>
      </c>
      <c r="AJ127" s="73">
        <v>1</v>
      </c>
    </row>
    <row r="128" spans="1:36" ht="14.4" x14ac:dyDescent="0.3">
      <c r="A128" s="13">
        <v>11830213</v>
      </c>
      <c r="B128" s="13" t="s">
        <v>983</v>
      </c>
      <c r="C128" s="13" t="s">
        <v>930</v>
      </c>
      <c r="D128" s="13">
        <v>552</v>
      </c>
      <c r="E128" s="13" t="s">
        <v>171</v>
      </c>
      <c r="F128" s="13" t="s">
        <v>172</v>
      </c>
      <c r="H128" s="13" t="s">
        <v>1529</v>
      </c>
      <c r="I128" s="13">
        <v>370</v>
      </c>
      <c r="J128" s="13">
        <v>1</v>
      </c>
      <c r="K128" s="14">
        <v>46183</v>
      </c>
      <c r="L128" s="14">
        <v>46161</v>
      </c>
      <c r="N128" s="13">
        <v>46</v>
      </c>
      <c r="P128" s="58" t="str">
        <f t="shared" si="7"/>
        <v>Victor Wembanyama</v>
      </c>
      <c r="Q128" s="58" t="str">
        <f>IFERROR(_xlfn.TEXTAFTER(_xlfn.XLOOKUP(A128,Collection!A:A,Collection!C:C,),"Cards "),C128)</f>
        <v>2025 Topps Match Attax Breakthrough Baller</v>
      </c>
      <c r="R128" s="58" t="str">
        <f t="shared" si="8"/>
        <v>-</v>
      </c>
      <c r="S128" s="58" t="str">
        <f>IFERROR(_xlfn.TEXTAFTER(_xlfn.XLOOKUP(A128,Collection!A:A,Collection!B:B,),"#"),"")</f>
        <v>BB-VW</v>
      </c>
      <c r="T128" s="60">
        <f t="shared" si="9"/>
        <v>5.52</v>
      </c>
      <c r="U128" s="54" t="s">
        <v>1571</v>
      </c>
      <c r="V128" s="58" t="str">
        <f>IF(ISNUMBER(MATCH(N128,Catalog!$B$4:$B$16, 0)), "Keep", "For Sale")</f>
        <v>For Sale</v>
      </c>
      <c r="W128" s="58">
        <f t="shared" si="10"/>
        <v>4</v>
      </c>
      <c r="X128" s="58">
        <f t="shared" si="11"/>
        <v>1</v>
      </c>
      <c r="Y128" s="60">
        <f t="shared" si="12"/>
        <v>7</v>
      </c>
      <c r="Z128" s="60">
        <f t="shared" si="13"/>
        <v>3</v>
      </c>
      <c r="AE128" t="s">
        <v>1647</v>
      </c>
      <c r="AF128"/>
      <c r="AG128" s="61">
        <v>115</v>
      </c>
      <c r="AH128"/>
      <c r="AI128" s="8" t="s">
        <v>1806</v>
      </c>
      <c r="AJ128" s="73">
        <v>1</v>
      </c>
    </row>
    <row r="129" spans="1:36" ht="14.4" x14ac:dyDescent="0.3">
      <c r="A129" s="13">
        <v>11830213</v>
      </c>
      <c r="B129" s="13" t="s">
        <v>983</v>
      </c>
      <c r="C129" s="13" t="s">
        <v>930</v>
      </c>
      <c r="D129" s="13">
        <v>552</v>
      </c>
      <c r="E129" s="13" t="s">
        <v>171</v>
      </c>
      <c r="F129" s="13" t="s">
        <v>172</v>
      </c>
      <c r="H129" s="13" t="s">
        <v>1546</v>
      </c>
      <c r="I129" s="13">
        <v>370</v>
      </c>
      <c r="J129" s="13">
        <v>1</v>
      </c>
      <c r="K129" s="14">
        <v>46183</v>
      </c>
      <c r="L129" s="14">
        <v>46161</v>
      </c>
      <c r="N129" s="13">
        <v>47</v>
      </c>
      <c r="P129" s="58" t="str">
        <f t="shared" si="7"/>
        <v>Victor Wembanyama</v>
      </c>
      <c r="Q129" s="58" t="str">
        <f>IFERROR(_xlfn.TEXTAFTER(_xlfn.XLOOKUP(A129,Collection!A:A,Collection!C:C,),"Cards "),C129)</f>
        <v>2025 Topps Match Attax Breakthrough Baller</v>
      </c>
      <c r="R129" s="58" t="str">
        <f t="shared" si="8"/>
        <v>-</v>
      </c>
      <c r="S129" s="58" t="str">
        <f>IFERROR(_xlfn.TEXTAFTER(_xlfn.XLOOKUP(A129,Collection!A:A,Collection!B:B,),"#"),"")</f>
        <v>BB-VW</v>
      </c>
      <c r="T129" s="60">
        <f t="shared" si="9"/>
        <v>5.52</v>
      </c>
      <c r="U129" s="54" t="s">
        <v>1571</v>
      </c>
      <c r="V129" s="58" t="str">
        <f>IF(ISNUMBER(MATCH(N129,Catalog!$B$4:$B$16, 0)), "Keep", "For Sale")</f>
        <v>For Sale</v>
      </c>
      <c r="W129" s="58">
        <f t="shared" si="10"/>
        <v>4</v>
      </c>
      <c r="X129" s="58">
        <f t="shared" si="11"/>
        <v>1</v>
      </c>
      <c r="Y129" s="60">
        <f t="shared" si="12"/>
        <v>7</v>
      </c>
      <c r="Z129" s="60">
        <f t="shared" si="13"/>
        <v>3</v>
      </c>
      <c r="AE129" t="s">
        <v>1666</v>
      </c>
      <c r="AF129"/>
      <c r="AG129" s="61">
        <v>112</v>
      </c>
      <c r="AH129"/>
      <c r="AI129" s="64" t="s">
        <v>1688</v>
      </c>
      <c r="AJ129" s="73">
        <v>1</v>
      </c>
    </row>
    <row r="130" spans="1:36" ht="14.4" x14ac:dyDescent="0.3">
      <c r="A130" s="13">
        <v>11497700</v>
      </c>
      <c r="B130" s="13" t="s">
        <v>1214</v>
      </c>
      <c r="C130" s="13" t="s">
        <v>1215</v>
      </c>
      <c r="D130" s="13">
        <v>249</v>
      </c>
      <c r="E130" s="13" t="s">
        <v>171</v>
      </c>
      <c r="F130" s="13" t="s">
        <v>172</v>
      </c>
      <c r="H130" s="13" t="s">
        <v>1216</v>
      </c>
      <c r="I130" s="13">
        <v>1299</v>
      </c>
      <c r="J130" s="13">
        <v>1</v>
      </c>
      <c r="K130" s="14">
        <v>46182</v>
      </c>
      <c r="L130" s="14">
        <v>46181</v>
      </c>
      <c r="N130" s="13">
        <v>211</v>
      </c>
      <c r="P130" s="58" t="str">
        <f t="shared" ref="P130:P193" si="14">TRIM(LEFT(B130, MIN(IFERROR(FIND("[", B130), LEN(B130)+1), IFERROR(FIND("#", B130), LEN(B130)+1)) - 1))</f>
        <v>Victor Wembanyama</v>
      </c>
      <c r="Q130" s="58" t="str">
        <f>IFERROR(_xlfn.TEXTAFTER(_xlfn.XLOOKUP(A130,Collection!A:A,Collection!C:C,),"Cards "),C130)</f>
        <v>2025 Topps Chrome Inspirational</v>
      </c>
      <c r="R130" s="58" t="str">
        <f t="shared" ref="R130:R193" si="15">IFERROR(_xlfn.TEXTBEFORE(_xlfn.TEXTAFTER(B130, "["), "]"), "-")</f>
        <v>-</v>
      </c>
      <c r="S130" s="58" t="str">
        <f>IFERROR(_xlfn.TEXTAFTER(_xlfn.XLOOKUP(A130,Collection!A:A,Collection!B:B,),"#"),"")</f>
        <v>IP-6</v>
      </c>
      <c r="T130" s="60">
        <f t="shared" ref="T130:T193" si="16">D130/100</f>
        <v>2.4900000000000002</v>
      </c>
      <c r="U130" s="54" t="s">
        <v>1571</v>
      </c>
      <c r="V130" s="58" t="str">
        <f>IF(ISNUMBER(MATCH(N130,Catalog!$B$4:$B$16, 0)), "Keep", "For Sale")</f>
        <v>For Sale</v>
      </c>
      <c r="W130" s="58">
        <f t="shared" ref="W130:W193" si="17">COUNTIFS(V:V,"For Sale",A:A,A130)</f>
        <v>1</v>
      </c>
      <c r="X130" s="58">
        <f t="shared" ref="X130:X193" si="18">_xlfn.LET(
_xlpm.val,_xlfn.XLOOKUP(U130,AE:AE,AG:AG,)/100,
_xlpm.tier,IF(_xlpm.val&lt;1,5,IF(_xlpm.val&lt;2,4,IF(_xlpm.val&lt;5,3,IF(_xlpm.val&lt;10,2,1)))),
_xlpm.tier)</f>
        <v>1</v>
      </c>
      <c r="Y130" s="60">
        <f t="shared" ref="Y130:Y193" si="19">_xlfn.LET(
    _xlpm.price, (MAX(I130,D130,25)/100)*(1+$AC$3),
    _xlpm.rounder, IF(_xlpm.price &lt; 1.5, FLOOR(_xlpm.price, 0.25),
           IF(_xlpm.price &lt; 2.5, MROUND(_xlpm.price, 0.5),
               MROUND(_xlpm.price, 1))),
    MAX(0.25, _xlpm.rounder))</f>
        <v>16</v>
      </c>
      <c r="Z130" s="60">
        <f t="shared" ref="Z130:Z193" si="20">_xlfn.LET(
    _xlpm.price, IF(I130=0, IF(W130&gt;1,1-$AC$2,1)*(D130/100), MIN(IF(W130&gt;1,1-$AC$2,1)*(D130/100), IF(W130&gt;1,1-$AC$2,1)*(I130/100))),
    _xlpm.rounder, IF(_xlpm.price &lt; 1.5, FLOOR(_xlpm.price, 0.25),
           IF(_xlpm.price &lt; 2.5, MROUND(_xlpm.price, 0.5),
               MROUND(_xlpm.price, 1))),
    MAX(0.25, _xlpm.rounder))</f>
        <v>2.5</v>
      </c>
      <c r="AE130" t="s">
        <v>1570</v>
      </c>
      <c r="AF130"/>
      <c r="AG130" s="61">
        <v>109.5</v>
      </c>
      <c r="AH130"/>
      <c r="AI130" s="8" t="s">
        <v>1807</v>
      </c>
      <c r="AJ130" s="73">
        <v>1</v>
      </c>
    </row>
    <row r="131" spans="1:36" ht="14.4" x14ac:dyDescent="0.3">
      <c r="A131" s="13">
        <v>12957424</v>
      </c>
      <c r="B131" s="13" t="s">
        <v>1758</v>
      </c>
      <c r="C131" s="13" t="s">
        <v>972</v>
      </c>
      <c r="D131" s="13">
        <v>174</v>
      </c>
      <c r="E131" s="13" t="s">
        <v>171</v>
      </c>
      <c r="F131" s="13" t="s">
        <v>172</v>
      </c>
      <c r="I131" s="13">
        <v>0</v>
      </c>
      <c r="J131" s="13">
        <v>1</v>
      </c>
      <c r="K131" s="14">
        <v>46189</v>
      </c>
      <c r="N131" s="13">
        <v>214</v>
      </c>
      <c r="P131" s="58" t="str">
        <f t="shared" si="14"/>
        <v>Victor Wembanyama</v>
      </c>
      <c r="Q131" s="58" t="str">
        <f>IFERROR(_xlfn.TEXTAFTER(_xlfn.XLOOKUP(A131,Collection!A:A,Collection!C:C,),"Cards "),C131)</f>
        <v>2025 Topps NBA Hoops</v>
      </c>
      <c r="R131" s="58" t="str">
        <f t="shared" si="15"/>
        <v>-</v>
      </c>
      <c r="S131" s="58" t="str">
        <f>IFERROR(_xlfn.TEXTAFTER(_xlfn.XLOOKUP(A131,Collection!A:A,Collection!B:B,),"#"),"")</f>
        <v>289</v>
      </c>
      <c r="T131" s="60">
        <f t="shared" si="16"/>
        <v>1.74</v>
      </c>
      <c r="U131" s="54" t="s">
        <v>1571</v>
      </c>
      <c r="V131" s="58" t="str">
        <f>IF(ISNUMBER(MATCH(N131,Catalog!$B$4:$B$16, 0)), "Keep", "For Sale")</f>
        <v>For Sale</v>
      </c>
      <c r="W131" s="58">
        <f t="shared" si="17"/>
        <v>1</v>
      </c>
      <c r="X131" s="58">
        <f t="shared" si="18"/>
        <v>1</v>
      </c>
      <c r="Y131" s="60">
        <f t="shared" si="19"/>
        <v>2</v>
      </c>
      <c r="Z131" s="60">
        <f t="shared" si="20"/>
        <v>1.5</v>
      </c>
      <c r="AE131" t="s">
        <v>1556</v>
      </c>
      <c r="AF131"/>
      <c r="AG131" s="61">
        <v>109.4</v>
      </c>
      <c r="AH131"/>
      <c r="AI131" s="64" t="s">
        <v>1694</v>
      </c>
      <c r="AJ131" s="73">
        <v>1</v>
      </c>
    </row>
    <row r="132" spans="1:36" ht="14.4" x14ac:dyDescent="0.3">
      <c r="A132" s="13">
        <v>10819453</v>
      </c>
      <c r="B132" s="13" t="s">
        <v>1099</v>
      </c>
      <c r="C132" s="13" t="s">
        <v>307</v>
      </c>
      <c r="D132" s="13">
        <v>142</v>
      </c>
      <c r="E132" s="13" t="s">
        <v>171</v>
      </c>
      <c r="F132" s="13" t="s">
        <v>172</v>
      </c>
      <c r="H132" s="13" t="s">
        <v>1100</v>
      </c>
      <c r="I132" s="13">
        <v>276</v>
      </c>
      <c r="J132" s="13">
        <v>1</v>
      </c>
      <c r="K132" s="14">
        <v>46166</v>
      </c>
      <c r="L132" s="14">
        <v>46165</v>
      </c>
      <c r="N132" s="13">
        <v>530</v>
      </c>
      <c r="P132" s="58" t="str">
        <f t="shared" si="14"/>
        <v>Victor Wembanyama</v>
      </c>
      <c r="Q132" s="58" t="str">
        <f>IFERROR(_xlfn.TEXTAFTER(_xlfn.XLOOKUP(A132,Collection!A:A,Collection!C:C,),"Cards "),C132)</f>
        <v>2025 Topps</v>
      </c>
      <c r="R132" s="58" t="str">
        <f t="shared" si="15"/>
        <v>-</v>
      </c>
      <c r="S132" s="58" t="str">
        <f>IFERROR(_xlfn.TEXTAFTER(_xlfn.XLOOKUP(A132,Collection!A:A,Collection!B:B,),"#"),"")</f>
        <v>195</v>
      </c>
      <c r="T132" s="60">
        <f t="shared" si="16"/>
        <v>1.42</v>
      </c>
      <c r="U132" s="54" t="s">
        <v>1571</v>
      </c>
      <c r="V132" s="58" t="str">
        <f>IF(ISNUMBER(MATCH(N132,Catalog!$B$4:$B$16, 0)), "Keep", "For Sale")</f>
        <v>For Sale</v>
      </c>
      <c r="W132" s="58">
        <f t="shared" si="17"/>
        <v>1</v>
      </c>
      <c r="X132" s="58">
        <f t="shared" si="18"/>
        <v>1</v>
      </c>
      <c r="Y132" s="60">
        <f t="shared" si="19"/>
        <v>3</v>
      </c>
      <c r="Z132" s="60">
        <f t="shared" si="20"/>
        <v>1.25</v>
      </c>
      <c r="AE132" t="s">
        <v>1603</v>
      </c>
      <c r="AF132"/>
      <c r="AG132" s="61">
        <v>108</v>
      </c>
      <c r="AH132"/>
      <c r="AI132" s="64" t="s">
        <v>1645</v>
      </c>
      <c r="AJ132" s="73">
        <v>1</v>
      </c>
    </row>
    <row r="133" spans="1:36" ht="14.4" x14ac:dyDescent="0.3">
      <c r="A133" s="13">
        <v>12615262</v>
      </c>
      <c r="B133" s="13" t="s">
        <v>597</v>
      </c>
      <c r="C133" s="13" t="s">
        <v>560</v>
      </c>
      <c r="D133" s="13">
        <v>135</v>
      </c>
      <c r="E133" s="13" t="s">
        <v>171</v>
      </c>
      <c r="F133" s="13" t="s">
        <v>172</v>
      </c>
      <c r="H133" s="13" t="s">
        <v>1521</v>
      </c>
      <c r="I133" s="13">
        <v>136</v>
      </c>
      <c r="J133" s="13">
        <v>1</v>
      </c>
      <c r="K133" s="14">
        <v>46183</v>
      </c>
      <c r="L133" s="14">
        <v>46156</v>
      </c>
      <c r="N133" s="13">
        <v>414</v>
      </c>
      <c r="P133" s="58" t="str">
        <f t="shared" si="14"/>
        <v>Victor Wembanyama</v>
      </c>
      <c r="Q133" s="58" t="str">
        <f>IFERROR(_xlfn.TEXTAFTER(_xlfn.XLOOKUP(A133,Collection!A:A,Collection!C:C,),"Cards "),C133)</f>
        <v>2025 Bowman</v>
      </c>
      <c r="R133" s="58" t="str">
        <f t="shared" si="15"/>
        <v>-</v>
      </c>
      <c r="S133" s="58" t="str">
        <f>IFERROR(_xlfn.TEXTAFTER(_xlfn.XLOOKUP(A133,Collection!A:A,Collection!B:B,),"#"),"")</f>
        <v>143</v>
      </c>
      <c r="T133" s="60">
        <f t="shared" si="16"/>
        <v>1.35</v>
      </c>
      <c r="U133" s="54" t="s">
        <v>1571</v>
      </c>
      <c r="V133" s="58" t="str">
        <f>IF(ISNUMBER(MATCH(N133,Catalog!$B$4:$B$16, 0)), "Keep", "For Sale")</f>
        <v>For Sale</v>
      </c>
      <c r="W133" s="58">
        <f t="shared" si="17"/>
        <v>2</v>
      </c>
      <c r="X133" s="58">
        <f t="shared" si="18"/>
        <v>1</v>
      </c>
      <c r="Y133" s="60">
        <f t="shared" si="19"/>
        <v>1.5</v>
      </c>
      <c r="Z133" s="60">
        <f t="shared" si="20"/>
        <v>1</v>
      </c>
      <c r="AE133" t="s">
        <v>1578</v>
      </c>
      <c r="AF133"/>
      <c r="AG133" s="61">
        <v>107.25</v>
      </c>
      <c r="AH133"/>
      <c r="AI133" s="64" t="s">
        <v>1659</v>
      </c>
      <c r="AJ133" s="73">
        <v>1</v>
      </c>
    </row>
    <row r="134" spans="1:36" ht="14.4" x14ac:dyDescent="0.3">
      <c r="A134" s="13">
        <v>12615262</v>
      </c>
      <c r="B134" s="13" t="s">
        <v>597</v>
      </c>
      <c r="C134" s="13" t="s">
        <v>560</v>
      </c>
      <c r="D134" s="13">
        <v>135</v>
      </c>
      <c r="E134" s="13" t="s">
        <v>171</v>
      </c>
      <c r="F134" s="13" t="s">
        <v>172</v>
      </c>
      <c r="H134" s="13" t="s">
        <v>1528</v>
      </c>
      <c r="I134" s="13">
        <v>297</v>
      </c>
      <c r="J134" s="13">
        <v>1</v>
      </c>
      <c r="K134" s="14">
        <v>46154</v>
      </c>
      <c r="L134" s="14">
        <v>46150</v>
      </c>
      <c r="N134" s="13">
        <v>419</v>
      </c>
      <c r="P134" s="58" t="str">
        <f t="shared" si="14"/>
        <v>Victor Wembanyama</v>
      </c>
      <c r="Q134" s="58" t="str">
        <f>IFERROR(_xlfn.TEXTAFTER(_xlfn.XLOOKUP(A134,Collection!A:A,Collection!C:C,),"Cards "),C134)</f>
        <v>2025 Bowman</v>
      </c>
      <c r="R134" s="58" t="str">
        <f t="shared" si="15"/>
        <v>-</v>
      </c>
      <c r="S134" s="58" t="str">
        <f>IFERROR(_xlfn.TEXTAFTER(_xlfn.XLOOKUP(A134,Collection!A:A,Collection!B:B,),"#"),"")</f>
        <v>143</v>
      </c>
      <c r="T134" s="60">
        <f t="shared" si="16"/>
        <v>1.35</v>
      </c>
      <c r="U134" s="54" t="s">
        <v>1571</v>
      </c>
      <c r="V134" s="58" t="str">
        <f>IF(ISNUMBER(MATCH(N134,Catalog!$B$4:$B$16, 0)), "Keep", "For Sale")</f>
        <v>For Sale</v>
      </c>
      <c r="W134" s="58">
        <f t="shared" si="17"/>
        <v>2</v>
      </c>
      <c r="X134" s="58">
        <f t="shared" si="18"/>
        <v>1</v>
      </c>
      <c r="Y134" s="60">
        <f t="shared" si="19"/>
        <v>4</v>
      </c>
      <c r="Z134" s="60">
        <f t="shared" si="20"/>
        <v>1</v>
      </c>
      <c r="AE134" t="s">
        <v>1591</v>
      </c>
      <c r="AF134"/>
      <c r="AG134" s="61">
        <v>104.66666666666667</v>
      </c>
      <c r="AH134"/>
      <c r="AI134" s="64" t="s">
        <v>1664</v>
      </c>
      <c r="AJ134" s="73">
        <v>1</v>
      </c>
    </row>
    <row r="135" spans="1:36" ht="14.4" x14ac:dyDescent="0.3">
      <c r="A135" s="13">
        <v>5021346</v>
      </c>
      <c r="B135" s="13" t="s">
        <v>876</v>
      </c>
      <c r="C135" s="13" t="s">
        <v>877</v>
      </c>
      <c r="D135" s="13">
        <v>1129</v>
      </c>
      <c r="E135" s="13" t="s">
        <v>445</v>
      </c>
      <c r="F135" s="13" t="s">
        <v>172</v>
      </c>
      <c r="H135" s="13" t="s">
        <v>878</v>
      </c>
      <c r="I135" s="13">
        <v>1188</v>
      </c>
      <c r="J135" s="13">
        <v>1</v>
      </c>
      <c r="K135" s="14">
        <v>46159</v>
      </c>
      <c r="L135" s="14">
        <v>46159</v>
      </c>
      <c r="M135" s="13" t="s">
        <v>446</v>
      </c>
      <c r="N135" s="13">
        <v>79810203</v>
      </c>
      <c r="P135" s="58" t="str">
        <f t="shared" si="14"/>
        <v>Austin Reaves</v>
      </c>
      <c r="Q135" s="58" t="str">
        <f>IFERROR(_xlfn.TEXTAFTER(_xlfn.XLOOKUP(A135,Collection!A:A,Collection!C:C,),"Cards "),C135)</f>
        <v>2022 Panini Prizm</v>
      </c>
      <c r="R135" s="58" t="str">
        <f t="shared" si="15"/>
        <v>-</v>
      </c>
      <c r="S135" s="58" t="str">
        <f>IFERROR(_xlfn.TEXTAFTER(_xlfn.XLOOKUP(A135,Collection!A:A,Collection!B:B,),"#"),"")</f>
        <v>123</v>
      </c>
      <c r="T135" s="60">
        <f t="shared" si="16"/>
        <v>11.29</v>
      </c>
      <c r="U135" s="54" t="s">
        <v>1606</v>
      </c>
      <c r="V135" s="58" t="str">
        <f>IF(ISNUMBER(MATCH(N135,Catalog!$B$4:$B$16, 0)), "Keep", "For Sale")</f>
        <v>For Sale</v>
      </c>
      <c r="W135" s="58">
        <f t="shared" si="17"/>
        <v>1</v>
      </c>
      <c r="X135" s="58">
        <f t="shared" si="18"/>
        <v>2</v>
      </c>
      <c r="Y135" s="60">
        <f t="shared" si="19"/>
        <v>14</v>
      </c>
      <c r="Z135" s="60">
        <f t="shared" si="20"/>
        <v>11</v>
      </c>
      <c r="AE135" t="s">
        <v>1806</v>
      </c>
      <c r="AF135"/>
      <c r="AG135" s="61">
        <v>100</v>
      </c>
      <c r="AH135"/>
      <c r="AI135" s="64" t="s">
        <v>1654</v>
      </c>
      <c r="AJ135" s="73">
        <v>1</v>
      </c>
    </row>
    <row r="136" spans="1:36" ht="14.4" x14ac:dyDescent="0.3">
      <c r="A136" s="13">
        <v>11493558</v>
      </c>
      <c r="B136" s="13" t="s">
        <v>998</v>
      </c>
      <c r="C136" s="13" t="s">
        <v>999</v>
      </c>
      <c r="D136" s="13">
        <v>1000</v>
      </c>
      <c r="E136" s="13" t="s">
        <v>171</v>
      </c>
      <c r="F136" s="13" t="s">
        <v>172</v>
      </c>
      <c r="H136" s="13" t="s">
        <v>1000</v>
      </c>
      <c r="I136" s="13">
        <v>1018</v>
      </c>
      <c r="J136" s="13">
        <v>1</v>
      </c>
      <c r="K136" s="14">
        <v>46162</v>
      </c>
      <c r="L136" s="14">
        <v>46162</v>
      </c>
      <c r="N136" s="13">
        <v>31</v>
      </c>
      <c r="P136" s="58" t="str">
        <f t="shared" si="14"/>
        <v>Austin Reaves</v>
      </c>
      <c r="Q136" s="58" t="str">
        <f>IFERROR(_xlfn.TEXTAFTER(_xlfn.XLOOKUP(A136,Collection!A:A,Collection!C:C,),"Cards "),C136)</f>
        <v>2025 Topps Chrome Sleek Finishers</v>
      </c>
      <c r="R136" s="58" t="str">
        <f t="shared" si="15"/>
        <v>Refractor Green</v>
      </c>
      <c r="S136" s="58" t="str">
        <f>IFERROR(_xlfn.TEXTAFTER(_xlfn.XLOOKUP(A136,Collection!A:A,Collection!B:B,),"#"),"")</f>
        <v>SF-8</v>
      </c>
      <c r="T136" s="60">
        <f t="shared" si="16"/>
        <v>10</v>
      </c>
      <c r="U136" s="54" t="s">
        <v>1606</v>
      </c>
      <c r="V136" s="58" t="str">
        <f>IF(ISNUMBER(MATCH(N136,Catalog!$B$4:$B$16, 0)), "Keep", "For Sale")</f>
        <v>For Sale</v>
      </c>
      <c r="W136" s="58">
        <f t="shared" si="17"/>
        <v>1</v>
      </c>
      <c r="X136" s="58">
        <f t="shared" si="18"/>
        <v>2</v>
      </c>
      <c r="Y136" s="60">
        <f t="shared" si="19"/>
        <v>12</v>
      </c>
      <c r="Z136" s="60">
        <f t="shared" si="20"/>
        <v>10</v>
      </c>
      <c r="AE136" t="s">
        <v>1672</v>
      </c>
      <c r="AF136"/>
      <c r="AG136" s="61">
        <v>100</v>
      </c>
      <c r="AH136"/>
      <c r="AI136" s="64" t="s">
        <v>1586</v>
      </c>
      <c r="AJ136" s="73">
        <v>1</v>
      </c>
    </row>
    <row r="137" spans="1:36" ht="14.4" x14ac:dyDescent="0.3">
      <c r="A137" s="13">
        <v>3727445</v>
      </c>
      <c r="B137" s="13" t="s">
        <v>337</v>
      </c>
      <c r="C137" s="13" t="s">
        <v>338</v>
      </c>
      <c r="D137" s="13">
        <v>237</v>
      </c>
      <c r="E137" s="13" t="s">
        <v>171</v>
      </c>
      <c r="F137" s="13" t="s">
        <v>172</v>
      </c>
      <c r="H137" s="13" t="s">
        <v>339</v>
      </c>
      <c r="I137" s="13">
        <v>630</v>
      </c>
      <c r="J137" s="13">
        <v>1</v>
      </c>
      <c r="K137" s="14">
        <v>46151</v>
      </c>
      <c r="L137" s="14">
        <v>46146</v>
      </c>
      <c r="N137" s="13">
        <v>274</v>
      </c>
      <c r="P137" s="58" t="str">
        <f t="shared" si="14"/>
        <v>Austin Reaves</v>
      </c>
      <c r="Q137" s="58" t="str">
        <f>IFERROR(_xlfn.TEXTAFTER(_xlfn.XLOOKUP(A137,Collection!A:A,Collection!C:C,),"Cards "),C137)</f>
        <v>2021 Panini Prizm</v>
      </c>
      <c r="R137" s="58" t="str">
        <f t="shared" si="15"/>
        <v>-</v>
      </c>
      <c r="S137" s="58" t="str">
        <f>IFERROR(_xlfn.TEXTAFTER(_xlfn.XLOOKUP(A137,Collection!A:A,Collection!B:B,),"#"),"")</f>
        <v>165</v>
      </c>
      <c r="T137" s="60">
        <f t="shared" si="16"/>
        <v>2.37</v>
      </c>
      <c r="U137" s="54" t="s">
        <v>1606</v>
      </c>
      <c r="V137" s="58" t="str">
        <f>IF(ISNUMBER(MATCH(N137,Catalog!$B$4:$B$16, 0)), "Keep", "For Sale")</f>
        <v>For Sale</v>
      </c>
      <c r="W137" s="58">
        <f t="shared" si="17"/>
        <v>1</v>
      </c>
      <c r="X137" s="58">
        <f t="shared" si="18"/>
        <v>2</v>
      </c>
      <c r="Y137" s="60">
        <f t="shared" si="19"/>
        <v>8</v>
      </c>
      <c r="Z137" s="60">
        <f t="shared" si="20"/>
        <v>2.5</v>
      </c>
      <c r="AE137" t="s">
        <v>1651</v>
      </c>
      <c r="AF137"/>
      <c r="AG137" s="61">
        <v>100</v>
      </c>
      <c r="AH137"/>
      <c r="AI137" s="64" t="s">
        <v>1590</v>
      </c>
      <c r="AJ137" s="73">
        <v>1</v>
      </c>
    </row>
    <row r="138" spans="1:36" ht="14.4" x14ac:dyDescent="0.3">
      <c r="A138" s="13">
        <v>8776006</v>
      </c>
      <c r="B138" s="13" t="s">
        <v>567</v>
      </c>
      <c r="C138" s="13" t="s">
        <v>568</v>
      </c>
      <c r="D138" s="13">
        <v>213</v>
      </c>
      <c r="E138" s="13" t="s">
        <v>171</v>
      </c>
      <c r="F138" s="13" t="s">
        <v>172</v>
      </c>
      <c r="H138" s="13" t="s">
        <v>569</v>
      </c>
      <c r="I138" s="13">
        <v>574</v>
      </c>
      <c r="J138" s="13">
        <v>1</v>
      </c>
      <c r="K138" s="14">
        <v>46154</v>
      </c>
      <c r="L138" s="14">
        <v>46148</v>
      </c>
      <c r="N138" s="13">
        <v>253</v>
      </c>
      <c r="P138" s="58" t="str">
        <f t="shared" si="14"/>
        <v>Austin Reaves</v>
      </c>
      <c r="Q138" s="58" t="str">
        <f>IFERROR(_xlfn.TEXTAFTER(_xlfn.XLOOKUP(A138,Collection!A:A,Collection!C:C,),"Cards "),C138)</f>
        <v>2024 Panini Donruss</v>
      </c>
      <c r="R138" s="58" t="str">
        <f t="shared" si="15"/>
        <v>Storm</v>
      </c>
      <c r="S138" s="58" t="str">
        <f>IFERROR(_xlfn.TEXTAFTER(_xlfn.XLOOKUP(A138,Collection!A:A,Collection!B:B,),"#"),"")</f>
        <v>163</v>
      </c>
      <c r="T138" s="60">
        <f t="shared" si="16"/>
        <v>2.13</v>
      </c>
      <c r="U138" s="54" t="s">
        <v>1606</v>
      </c>
      <c r="V138" s="58" t="str">
        <f>IF(ISNUMBER(MATCH(N138,Catalog!$B$4:$B$16, 0)), "Keep", "For Sale")</f>
        <v>For Sale</v>
      </c>
      <c r="W138" s="58">
        <f t="shared" si="17"/>
        <v>1</v>
      </c>
      <c r="X138" s="58">
        <f t="shared" si="18"/>
        <v>2</v>
      </c>
      <c r="Y138" s="60">
        <f t="shared" si="19"/>
        <v>7</v>
      </c>
      <c r="Z138" s="60">
        <f t="shared" si="20"/>
        <v>2</v>
      </c>
      <c r="AE138" t="s">
        <v>1679</v>
      </c>
      <c r="AF138"/>
      <c r="AG138" s="61">
        <v>100</v>
      </c>
      <c r="AH138"/>
      <c r="AI138" s="64" t="s">
        <v>1663</v>
      </c>
      <c r="AJ138" s="73">
        <v>1</v>
      </c>
    </row>
    <row r="139" spans="1:36" ht="14.4" x14ac:dyDescent="0.3">
      <c r="A139" s="13">
        <v>8395765</v>
      </c>
      <c r="B139" s="13" t="s">
        <v>613</v>
      </c>
      <c r="C139" s="13" t="s">
        <v>614</v>
      </c>
      <c r="D139" s="13">
        <v>150</v>
      </c>
      <c r="E139" s="13" t="s">
        <v>171</v>
      </c>
      <c r="F139" s="13" t="s">
        <v>172</v>
      </c>
      <c r="H139" s="13" t="s">
        <v>615</v>
      </c>
      <c r="I139" s="13">
        <v>263</v>
      </c>
      <c r="J139" s="13">
        <v>1</v>
      </c>
      <c r="K139" s="14">
        <v>46154</v>
      </c>
      <c r="L139" s="14">
        <v>46149</v>
      </c>
      <c r="N139" s="13">
        <v>420</v>
      </c>
      <c r="P139" s="58" t="str">
        <f t="shared" si="14"/>
        <v>Austin Reaves</v>
      </c>
      <c r="Q139" s="58" t="str">
        <f>IFERROR(_xlfn.TEXTAFTER(_xlfn.XLOOKUP(A139,Collection!A:A,Collection!C:C,),"Cards "),C139)</f>
        <v>2024 Panini NBA Hoops</v>
      </c>
      <c r="R139" s="58" t="str">
        <f t="shared" si="15"/>
        <v>Winter</v>
      </c>
      <c r="S139" s="58" t="str">
        <f>IFERROR(_xlfn.TEXTAFTER(_xlfn.XLOOKUP(A139,Collection!A:A,Collection!B:B,),"#"),"")</f>
        <v>138</v>
      </c>
      <c r="T139" s="60">
        <f t="shared" si="16"/>
        <v>1.5</v>
      </c>
      <c r="U139" s="54" t="s">
        <v>1606</v>
      </c>
      <c r="V139" s="58" t="str">
        <f>IF(ISNUMBER(MATCH(N139,Catalog!$B$4:$B$16, 0)), "Keep", "For Sale")</f>
        <v>For Sale</v>
      </c>
      <c r="W139" s="58">
        <f t="shared" si="17"/>
        <v>1</v>
      </c>
      <c r="X139" s="58">
        <f t="shared" si="18"/>
        <v>2</v>
      </c>
      <c r="Y139" s="60">
        <f t="shared" si="19"/>
        <v>3</v>
      </c>
      <c r="Z139" s="60">
        <f t="shared" si="20"/>
        <v>1.5</v>
      </c>
      <c r="AE139" t="s">
        <v>1673</v>
      </c>
      <c r="AF139"/>
      <c r="AG139" s="61">
        <v>100</v>
      </c>
      <c r="AH139"/>
      <c r="AI139" s="64" t="s">
        <v>1575</v>
      </c>
      <c r="AJ139" s="73">
        <v>1</v>
      </c>
    </row>
    <row r="140" spans="1:36" ht="14.4" x14ac:dyDescent="0.3">
      <c r="A140" s="13">
        <v>94070</v>
      </c>
      <c r="B140" s="13" t="s">
        <v>426</v>
      </c>
      <c r="C140" s="13" t="s">
        <v>189</v>
      </c>
      <c r="D140" s="13">
        <v>2250</v>
      </c>
      <c r="E140" s="13" t="s">
        <v>171</v>
      </c>
      <c r="F140" s="13" t="s">
        <v>172</v>
      </c>
      <c r="I140" s="13">
        <v>0</v>
      </c>
      <c r="J140" s="13">
        <v>1</v>
      </c>
      <c r="K140" s="14">
        <v>46127</v>
      </c>
      <c r="N140" s="13">
        <v>12</v>
      </c>
      <c r="P140" s="58" t="str">
        <f t="shared" si="14"/>
        <v>Dirk Nowitzki</v>
      </c>
      <c r="Q140" s="58" t="str">
        <f>IFERROR(_xlfn.TEXTAFTER(_xlfn.XLOOKUP(A140,Collection!A:A,Collection!C:C,),"Cards "),C140)</f>
        <v>1998 Upper Deck Black Diamond</v>
      </c>
      <c r="R140" s="58" t="str">
        <f t="shared" si="15"/>
        <v>Double</v>
      </c>
      <c r="S140" s="58" t="str">
        <f>IFERROR(_xlfn.TEXTAFTER(_xlfn.XLOOKUP(A140,Collection!A:A,Collection!B:B,),"#"),"")</f>
        <v>92</v>
      </c>
      <c r="T140" s="60">
        <f t="shared" si="16"/>
        <v>22.5</v>
      </c>
      <c r="U140" s="54" t="s">
        <v>1601</v>
      </c>
      <c r="V140" s="58" t="str">
        <f>IF(ISNUMBER(MATCH(N140,Catalog!$B$4:$B$16, 0)), "Keep", "For Sale")</f>
        <v>For Sale</v>
      </c>
      <c r="W140" s="58">
        <f t="shared" si="17"/>
        <v>1</v>
      </c>
      <c r="X140" s="58">
        <f t="shared" si="18"/>
        <v>2</v>
      </c>
      <c r="Y140" s="60">
        <f t="shared" si="19"/>
        <v>27</v>
      </c>
      <c r="Z140" s="60">
        <f t="shared" si="20"/>
        <v>23</v>
      </c>
      <c r="AE140" t="s">
        <v>1590</v>
      </c>
      <c r="AF140"/>
      <c r="AG140" s="61">
        <v>100</v>
      </c>
      <c r="AH140"/>
      <c r="AI140" s="64" t="s">
        <v>1603</v>
      </c>
      <c r="AJ140" s="73">
        <v>1</v>
      </c>
    </row>
    <row r="141" spans="1:36" ht="14.4" x14ac:dyDescent="0.3">
      <c r="A141" s="13">
        <v>10819755</v>
      </c>
      <c r="B141" s="13" t="s">
        <v>895</v>
      </c>
      <c r="C141" s="13" t="s">
        <v>307</v>
      </c>
      <c r="D141" s="13">
        <v>173</v>
      </c>
      <c r="E141" s="13" t="s">
        <v>171</v>
      </c>
      <c r="F141" s="13" t="s">
        <v>172</v>
      </c>
      <c r="H141" s="13" t="s">
        <v>896</v>
      </c>
      <c r="I141" s="13">
        <v>400</v>
      </c>
      <c r="J141" s="13">
        <v>1</v>
      </c>
      <c r="K141" s="14">
        <v>46156</v>
      </c>
      <c r="L141" s="14">
        <v>46155</v>
      </c>
      <c r="N141" s="13">
        <v>338</v>
      </c>
      <c r="P141" s="58" t="str">
        <f t="shared" si="14"/>
        <v>Dirk Nowitzki</v>
      </c>
      <c r="Q141" s="58" t="str">
        <f>IFERROR(_xlfn.TEXTAFTER(_xlfn.XLOOKUP(A141,Collection!A:A,Collection!C:C,),"Cards "),C141)</f>
        <v>2025 Topps</v>
      </c>
      <c r="R141" s="58" t="str">
        <f t="shared" si="15"/>
        <v>Blackout</v>
      </c>
      <c r="S141" s="58" t="str">
        <f>IFERROR(_xlfn.TEXTAFTER(_xlfn.XLOOKUP(A141,Collection!A:A,Collection!B:B,),"#"),"")</f>
        <v>252</v>
      </c>
      <c r="T141" s="60">
        <f t="shared" si="16"/>
        <v>1.73</v>
      </c>
      <c r="U141" s="54" t="s">
        <v>1601</v>
      </c>
      <c r="V141" s="58" t="str">
        <f>IF(ISNUMBER(MATCH(N141,Catalog!$B$4:$B$16, 0)), "Keep", "For Sale")</f>
        <v>For Sale</v>
      </c>
      <c r="W141" s="58">
        <f t="shared" si="17"/>
        <v>1</v>
      </c>
      <c r="X141" s="58">
        <f t="shared" si="18"/>
        <v>2</v>
      </c>
      <c r="Y141" s="60">
        <f t="shared" si="19"/>
        <v>5</v>
      </c>
      <c r="Z141" s="60">
        <f t="shared" si="20"/>
        <v>1.5</v>
      </c>
      <c r="AE141" t="s">
        <v>1660</v>
      </c>
      <c r="AF141"/>
      <c r="AG141" s="61">
        <v>100</v>
      </c>
      <c r="AH141"/>
      <c r="AI141" s="64" t="s">
        <v>1661</v>
      </c>
      <c r="AJ141" s="73">
        <v>1</v>
      </c>
    </row>
    <row r="142" spans="1:36" ht="14.4" x14ac:dyDescent="0.3">
      <c r="A142" s="13">
        <v>11484094</v>
      </c>
      <c r="B142" s="13" t="s">
        <v>628</v>
      </c>
      <c r="C142" s="13" t="s">
        <v>186</v>
      </c>
      <c r="D142" s="13">
        <v>150</v>
      </c>
      <c r="E142" s="13" t="s">
        <v>171</v>
      </c>
      <c r="F142" s="13" t="s">
        <v>172</v>
      </c>
      <c r="H142" s="13" t="s">
        <v>1517</v>
      </c>
      <c r="I142" s="13">
        <v>148</v>
      </c>
      <c r="J142" s="13">
        <v>1</v>
      </c>
      <c r="K142" s="14">
        <v>46183</v>
      </c>
      <c r="L142" s="14">
        <v>46157</v>
      </c>
      <c r="N142" s="13">
        <v>475</v>
      </c>
      <c r="P142" s="58" t="str">
        <f t="shared" si="14"/>
        <v>Dirk Nowitzki</v>
      </c>
      <c r="Q142" s="58" t="str">
        <f>IFERROR(_xlfn.TEXTAFTER(_xlfn.XLOOKUP(A142,Collection!A:A,Collection!C:C,),"Cards "),C142)</f>
        <v>2025 Topps Chrome</v>
      </c>
      <c r="R142" s="58" t="str">
        <f t="shared" si="15"/>
        <v>Refractor</v>
      </c>
      <c r="S142" s="58" t="str">
        <f>IFERROR(_xlfn.TEXTAFTER(_xlfn.XLOOKUP(A142,Collection!A:A,Collection!B:B,),"#"),"")</f>
        <v>246</v>
      </c>
      <c r="T142" s="60">
        <f t="shared" si="16"/>
        <v>1.5</v>
      </c>
      <c r="U142" s="54" t="s">
        <v>1601</v>
      </c>
      <c r="V142" s="58" t="str">
        <f>IF(ISNUMBER(MATCH(N142,Catalog!$B$4:$B$16, 0)), "Keep", "For Sale")</f>
        <v>For Sale</v>
      </c>
      <c r="W142" s="58">
        <f t="shared" si="17"/>
        <v>2</v>
      </c>
      <c r="X142" s="58">
        <f t="shared" si="18"/>
        <v>2</v>
      </c>
      <c r="Y142" s="60">
        <f t="shared" si="19"/>
        <v>2</v>
      </c>
      <c r="Z142" s="60">
        <f t="shared" si="20"/>
        <v>1.25</v>
      </c>
      <c r="AE142" t="s">
        <v>1657</v>
      </c>
      <c r="AF142"/>
      <c r="AG142" s="61">
        <v>100</v>
      </c>
      <c r="AH142"/>
      <c r="AI142" s="64" t="s">
        <v>1621</v>
      </c>
      <c r="AJ142" s="73">
        <v>1</v>
      </c>
    </row>
    <row r="143" spans="1:36" ht="14.4" x14ac:dyDescent="0.3">
      <c r="A143" s="13">
        <v>11484094</v>
      </c>
      <c r="B143" s="13" t="s">
        <v>628</v>
      </c>
      <c r="C143" s="13" t="s">
        <v>186</v>
      </c>
      <c r="D143" s="13">
        <v>150</v>
      </c>
      <c r="E143" s="13" t="s">
        <v>171</v>
      </c>
      <c r="F143" s="13" t="s">
        <v>172</v>
      </c>
      <c r="H143" s="13" t="s">
        <v>1535</v>
      </c>
      <c r="I143" s="13">
        <v>302</v>
      </c>
      <c r="J143" s="13">
        <v>1</v>
      </c>
      <c r="K143" s="14">
        <v>46154</v>
      </c>
      <c r="L143" s="14">
        <v>46154</v>
      </c>
      <c r="N143" s="13">
        <v>479</v>
      </c>
      <c r="P143" s="58" t="str">
        <f t="shared" si="14"/>
        <v>Dirk Nowitzki</v>
      </c>
      <c r="Q143" s="58" t="str">
        <f>IFERROR(_xlfn.TEXTAFTER(_xlfn.XLOOKUP(A143,Collection!A:A,Collection!C:C,),"Cards "),C143)</f>
        <v>2025 Topps Chrome</v>
      </c>
      <c r="R143" s="58" t="str">
        <f t="shared" si="15"/>
        <v>Refractor</v>
      </c>
      <c r="S143" s="58" t="str">
        <f>IFERROR(_xlfn.TEXTAFTER(_xlfn.XLOOKUP(A143,Collection!A:A,Collection!B:B,),"#"),"")</f>
        <v>246</v>
      </c>
      <c r="T143" s="60">
        <f t="shared" si="16"/>
        <v>1.5</v>
      </c>
      <c r="U143" s="54" t="s">
        <v>1601</v>
      </c>
      <c r="V143" s="58" t="str">
        <f>IF(ISNUMBER(MATCH(N143,Catalog!$B$4:$B$16, 0)), "Keep", "For Sale")</f>
        <v>For Sale</v>
      </c>
      <c r="W143" s="58">
        <f t="shared" si="17"/>
        <v>2</v>
      </c>
      <c r="X143" s="58">
        <f t="shared" si="18"/>
        <v>2</v>
      </c>
      <c r="Y143" s="60">
        <f t="shared" si="19"/>
        <v>4</v>
      </c>
      <c r="Z143" s="60">
        <f t="shared" si="20"/>
        <v>1.25</v>
      </c>
      <c r="AE143" t="s">
        <v>1692</v>
      </c>
      <c r="AF143"/>
      <c r="AG143" s="61">
        <v>99</v>
      </c>
      <c r="AH143"/>
      <c r="AI143" s="64" t="s">
        <v>1696</v>
      </c>
      <c r="AJ143" s="73">
        <v>1</v>
      </c>
    </row>
    <row r="144" spans="1:36" ht="14.4" x14ac:dyDescent="0.3">
      <c r="A144" s="13">
        <v>13073269</v>
      </c>
      <c r="B144" s="13" t="s">
        <v>1711</v>
      </c>
      <c r="C144" s="13" t="s">
        <v>1712</v>
      </c>
      <c r="D144" s="13">
        <v>1325</v>
      </c>
      <c r="E144" s="13" t="s">
        <v>171</v>
      </c>
      <c r="F144" s="13" t="s">
        <v>172</v>
      </c>
      <c r="I144" s="13">
        <v>0</v>
      </c>
      <c r="J144" s="13">
        <v>1</v>
      </c>
      <c r="K144" s="14">
        <v>46185</v>
      </c>
      <c r="N144" s="13">
        <v>25</v>
      </c>
      <c r="P144" s="58" t="str">
        <f t="shared" si="14"/>
        <v>Gary Payton</v>
      </c>
      <c r="Q144" s="58" t="str">
        <f>IFERROR(_xlfn.TEXTAFTER(_xlfn.XLOOKUP(A144,Collection!A:A,Collection!C:C,),"Cards "),C144)</f>
        <v>1996 Skybox Premium Standouts</v>
      </c>
      <c r="R144" s="58" t="str">
        <f t="shared" si="15"/>
        <v>-</v>
      </c>
      <c r="S144" s="58" t="str">
        <f>IFERROR(_xlfn.TEXTAFTER(_xlfn.XLOOKUP(A144,Collection!A:A,Collection!B:B,),"#"),"")</f>
        <v>SO6</v>
      </c>
      <c r="T144" s="60">
        <f t="shared" si="16"/>
        <v>13.25</v>
      </c>
      <c r="U144" s="54" t="s">
        <v>1618</v>
      </c>
      <c r="V144" s="58" t="str">
        <f>IF(ISNUMBER(MATCH(N144,Catalog!$B$4:$B$16, 0)), "Keep", "For Sale")</f>
        <v>For Sale</v>
      </c>
      <c r="W144" s="58">
        <f t="shared" si="17"/>
        <v>1</v>
      </c>
      <c r="X144" s="58">
        <f t="shared" si="18"/>
        <v>2</v>
      </c>
      <c r="Y144" s="60">
        <f t="shared" si="19"/>
        <v>16</v>
      </c>
      <c r="Z144" s="60">
        <f t="shared" si="20"/>
        <v>13</v>
      </c>
      <c r="AE144" t="s">
        <v>1613</v>
      </c>
      <c r="AF144"/>
      <c r="AG144" s="61">
        <v>99</v>
      </c>
      <c r="AH144"/>
      <c r="AI144" s="64" t="s">
        <v>1660</v>
      </c>
      <c r="AJ144" s="73">
        <v>1</v>
      </c>
    </row>
    <row r="145" spans="1:36" ht="14.4" x14ac:dyDescent="0.3">
      <c r="A145" s="13">
        <v>6795696</v>
      </c>
      <c r="B145" s="13" t="s">
        <v>294</v>
      </c>
      <c r="C145" s="13" t="s">
        <v>274</v>
      </c>
      <c r="D145" s="13">
        <v>409</v>
      </c>
      <c r="E145" s="13" t="s">
        <v>171</v>
      </c>
      <c r="F145" s="13" t="s">
        <v>172</v>
      </c>
      <c r="I145" s="13">
        <v>0</v>
      </c>
      <c r="J145" s="13">
        <v>1</v>
      </c>
      <c r="K145" s="14">
        <v>46129</v>
      </c>
      <c r="N145" s="13">
        <v>118</v>
      </c>
      <c r="P145" s="58" t="str">
        <f t="shared" si="14"/>
        <v>Gary Payton</v>
      </c>
      <c r="Q145" s="58" t="str">
        <f>IFERROR(_xlfn.TEXTAFTER(_xlfn.XLOOKUP(A145,Collection!A:A,Collection!C:C,),"Cards "),C145)</f>
        <v>1997 Metal Universe Silver Slam</v>
      </c>
      <c r="R145" s="58" t="str">
        <f t="shared" si="15"/>
        <v>-</v>
      </c>
      <c r="S145" s="58" t="str">
        <f>IFERROR(_xlfn.TEXTAFTER(_xlfn.XLOOKUP(A145,Collection!A:A,Collection!B:B,),"#"),"")</f>
        <v>10</v>
      </c>
      <c r="T145" s="60">
        <f t="shared" si="16"/>
        <v>4.09</v>
      </c>
      <c r="U145" s="54" t="s">
        <v>1618</v>
      </c>
      <c r="V145" s="58" t="str">
        <f>IF(ISNUMBER(MATCH(N145,Catalog!$B$4:$B$16, 0)), "Keep", "For Sale")</f>
        <v>For Sale</v>
      </c>
      <c r="W145" s="58">
        <f t="shared" si="17"/>
        <v>1</v>
      </c>
      <c r="X145" s="58">
        <f t="shared" si="18"/>
        <v>2</v>
      </c>
      <c r="Y145" s="60">
        <f t="shared" si="19"/>
        <v>5</v>
      </c>
      <c r="Z145" s="60">
        <f t="shared" si="20"/>
        <v>4</v>
      </c>
      <c r="AE145" t="s">
        <v>1802</v>
      </c>
      <c r="AF145"/>
      <c r="AG145" s="61">
        <v>99</v>
      </c>
      <c r="AH145"/>
      <c r="AI145" s="64" t="s">
        <v>1599</v>
      </c>
      <c r="AJ145" s="73">
        <v>1</v>
      </c>
    </row>
    <row r="146" spans="1:36" ht="14.4" x14ac:dyDescent="0.3">
      <c r="A146" s="13">
        <v>3112963</v>
      </c>
      <c r="B146" s="13" t="s">
        <v>438</v>
      </c>
      <c r="C146" s="13" t="s">
        <v>328</v>
      </c>
      <c r="D146" s="13">
        <v>200</v>
      </c>
      <c r="E146" s="13" t="s">
        <v>171</v>
      </c>
      <c r="F146" s="13" t="s">
        <v>172</v>
      </c>
      <c r="I146" s="13">
        <v>0</v>
      </c>
      <c r="J146" s="13">
        <v>1</v>
      </c>
      <c r="K146" s="14">
        <v>46128</v>
      </c>
      <c r="L146" s="14">
        <v>46128</v>
      </c>
      <c r="N146" s="13">
        <v>263</v>
      </c>
      <c r="P146" s="58" t="str">
        <f t="shared" si="14"/>
        <v>Gary Payton</v>
      </c>
      <c r="Q146" s="58" t="str">
        <f>IFERROR(_xlfn.TEXTAFTER(_xlfn.XLOOKUP(A146,Collection!A:A,Collection!C:C,),"Cards "),C146)</f>
        <v>1996 Upper Deck Fast Break Connection</v>
      </c>
      <c r="R146" s="58" t="str">
        <f t="shared" si="15"/>
        <v>-</v>
      </c>
      <c r="S146" s="58" t="str">
        <f>IFERROR(_xlfn.TEXTAFTER(_xlfn.XLOOKUP(A146,Collection!A:A,Collection!B:B,),"#"),"")</f>
        <v>FB20</v>
      </c>
      <c r="T146" s="60">
        <f t="shared" si="16"/>
        <v>2</v>
      </c>
      <c r="U146" s="54" t="s">
        <v>1618</v>
      </c>
      <c r="V146" s="58" t="str">
        <f>IF(ISNUMBER(MATCH(N146,Catalog!$B$4:$B$16, 0)), "Keep", "For Sale")</f>
        <v>For Sale</v>
      </c>
      <c r="W146" s="58">
        <f t="shared" si="17"/>
        <v>1</v>
      </c>
      <c r="X146" s="58">
        <f t="shared" si="18"/>
        <v>2</v>
      </c>
      <c r="Y146" s="60">
        <f t="shared" si="19"/>
        <v>2.5</v>
      </c>
      <c r="Z146" s="60">
        <f t="shared" si="20"/>
        <v>2</v>
      </c>
      <c r="AE146" t="s">
        <v>1671</v>
      </c>
      <c r="AF146"/>
      <c r="AG146" s="61">
        <v>99</v>
      </c>
      <c r="AH146"/>
      <c r="AI146" s="64" t="s">
        <v>1577</v>
      </c>
      <c r="AJ146" s="73">
        <v>1</v>
      </c>
    </row>
    <row r="147" spans="1:36" ht="14.4" x14ac:dyDescent="0.3">
      <c r="A147" s="13">
        <v>83384</v>
      </c>
      <c r="B147" s="13" t="s">
        <v>250</v>
      </c>
      <c r="C147" s="13" t="s">
        <v>251</v>
      </c>
      <c r="D147" s="13">
        <v>155</v>
      </c>
      <c r="E147" s="13" t="s">
        <v>171</v>
      </c>
      <c r="F147" s="13" t="s">
        <v>172</v>
      </c>
      <c r="I147" s="13">
        <v>0</v>
      </c>
      <c r="J147" s="13">
        <v>1</v>
      </c>
      <c r="K147" s="14">
        <v>46129</v>
      </c>
      <c r="N147" s="13">
        <v>408</v>
      </c>
      <c r="P147" s="58" t="str">
        <f t="shared" si="14"/>
        <v>Gary Payton</v>
      </c>
      <c r="Q147" s="58" t="str">
        <f>IFERROR(_xlfn.TEXTAFTER(_xlfn.XLOOKUP(A147,Collection!A:A,Collection!C:C,),"Cards "),C147)</f>
        <v>1995 Metal</v>
      </c>
      <c r="R147" s="58" t="str">
        <f t="shared" si="15"/>
        <v>-</v>
      </c>
      <c r="S147" s="58" t="str">
        <f>IFERROR(_xlfn.TEXTAFTER(_xlfn.XLOOKUP(A147,Collection!A:A,Collection!B:B,),"#"),"")</f>
        <v>103</v>
      </c>
      <c r="T147" s="60">
        <f t="shared" si="16"/>
        <v>1.55</v>
      </c>
      <c r="U147" s="54" t="s">
        <v>1618</v>
      </c>
      <c r="V147" s="58" t="str">
        <f>IF(ISNUMBER(MATCH(N147,Catalog!$B$4:$B$16, 0)), "Keep", "For Sale")</f>
        <v>For Sale</v>
      </c>
      <c r="W147" s="58">
        <f t="shared" si="17"/>
        <v>1</v>
      </c>
      <c r="X147" s="58">
        <f t="shared" si="18"/>
        <v>2</v>
      </c>
      <c r="Y147" s="60">
        <f t="shared" si="19"/>
        <v>2</v>
      </c>
      <c r="Z147" s="60">
        <f t="shared" si="20"/>
        <v>1.5</v>
      </c>
      <c r="AE147" t="s">
        <v>1610</v>
      </c>
      <c r="AF147"/>
      <c r="AG147" s="61">
        <v>99</v>
      </c>
      <c r="AH147"/>
      <c r="AI147" s="64" t="s">
        <v>1665</v>
      </c>
      <c r="AJ147" s="73">
        <v>1</v>
      </c>
    </row>
    <row r="148" spans="1:36" ht="14.4" x14ac:dyDescent="0.3">
      <c r="A148" s="13">
        <v>10117339</v>
      </c>
      <c r="B148" s="13" t="s">
        <v>275</v>
      </c>
      <c r="C148" s="13" t="s">
        <v>276</v>
      </c>
      <c r="D148" s="13">
        <v>134</v>
      </c>
      <c r="E148" s="13" t="s">
        <v>171</v>
      </c>
      <c r="F148" s="13" t="s">
        <v>172</v>
      </c>
      <c r="I148" s="13">
        <v>0</v>
      </c>
      <c r="J148" s="13">
        <v>1</v>
      </c>
      <c r="K148" s="14">
        <v>46149</v>
      </c>
      <c r="N148" s="13">
        <v>437</v>
      </c>
      <c r="P148" s="58" t="str">
        <f t="shared" si="14"/>
        <v>Gary Payton</v>
      </c>
      <c r="Q148" s="58" t="str">
        <f>IFERROR(_xlfn.TEXTAFTER(_xlfn.XLOOKUP(A148,Collection!A:A,Collection!C:C,),"Cards "),C148)</f>
        <v>1995 Upper Deck Electric Court</v>
      </c>
      <c r="R148" s="58" t="str">
        <f t="shared" si="15"/>
        <v>-</v>
      </c>
      <c r="S148" s="58" t="str">
        <f>IFERROR(_xlfn.TEXTAFTER(_xlfn.XLOOKUP(A148,Collection!A:A,Collection!B:B,),"#"),"")</f>
        <v>17</v>
      </c>
      <c r="T148" s="60">
        <f t="shared" si="16"/>
        <v>1.34</v>
      </c>
      <c r="U148" s="54" t="s">
        <v>1618</v>
      </c>
      <c r="V148" s="58" t="str">
        <f>IF(ISNUMBER(MATCH(N148,Catalog!$B$4:$B$16, 0)), "Keep", "For Sale")</f>
        <v>For Sale</v>
      </c>
      <c r="W148" s="58">
        <f t="shared" si="17"/>
        <v>1</v>
      </c>
      <c r="X148" s="58">
        <f t="shared" si="18"/>
        <v>2</v>
      </c>
      <c r="Y148" s="60">
        <f t="shared" si="19"/>
        <v>1.5</v>
      </c>
      <c r="Z148" s="60">
        <f t="shared" si="20"/>
        <v>1.25</v>
      </c>
      <c r="AE148" t="s">
        <v>1684</v>
      </c>
      <c r="AF148"/>
      <c r="AG148" s="61">
        <v>97</v>
      </c>
      <c r="AH148"/>
      <c r="AI148" s="64" t="s">
        <v>1634</v>
      </c>
      <c r="AJ148" s="73">
        <v>1</v>
      </c>
    </row>
    <row r="149" spans="1:36" ht="14.4" x14ac:dyDescent="0.3">
      <c r="A149" s="13">
        <v>90556</v>
      </c>
      <c r="B149" s="13" t="s">
        <v>231</v>
      </c>
      <c r="C149" s="13" t="s">
        <v>232</v>
      </c>
      <c r="D149" s="13">
        <v>1248</v>
      </c>
      <c r="E149" s="13" t="s">
        <v>171</v>
      </c>
      <c r="F149" s="13" t="s">
        <v>172</v>
      </c>
      <c r="I149" s="13">
        <v>0</v>
      </c>
      <c r="J149" s="13">
        <v>1</v>
      </c>
      <c r="K149" s="14">
        <v>46127</v>
      </c>
      <c r="N149" s="13">
        <v>27</v>
      </c>
      <c r="P149" s="58" t="str">
        <f t="shared" si="14"/>
        <v>Grant Hill</v>
      </c>
      <c r="Q149" s="58" t="str">
        <f>IFERROR(_xlfn.TEXTAFTER(_xlfn.XLOOKUP(A149,Collection!A:A,Collection!C:C,),"Cards "),C149)</f>
        <v>1997 Ultra Star Power Plus</v>
      </c>
      <c r="R149" s="58" t="str">
        <f t="shared" si="15"/>
        <v>-</v>
      </c>
      <c r="S149" s="58" t="str">
        <f>IFERROR(_xlfn.TEXTAFTER(_xlfn.XLOOKUP(A149,Collection!A:A,Collection!B:B,),"#"),"")</f>
        <v>11</v>
      </c>
      <c r="T149" s="60">
        <f t="shared" si="16"/>
        <v>12.48</v>
      </c>
      <c r="U149" s="54" t="s">
        <v>1592</v>
      </c>
      <c r="V149" s="58" t="str">
        <f>IF(ISNUMBER(MATCH(N149,Catalog!$B$4:$B$16, 0)), "Keep", "For Sale")</f>
        <v>For Sale</v>
      </c>
      <c r="W149" s="58">
        <f t="shared" si="17"/>
        <v>1</v>
      </c>
      <c r="X149" s="58">
        <f t="shared" si="18"/>
        <v>2</v>
      </c>
      <c r="Y149" s="60">
        <f t="shared" si="19"/>
        <v>15</v>
      </c>
      <c r="Z149" s="60">
        <f t="shared" si="20"/>
        <v>12</v>
      </c>
      <c r="AE149" t="s">
        <v>1680</v>
      </c>
      <c r="AF149"/>
      <c r="AG149" s="61">
        <v>80</v>
      </c>
      <c r="AH149"/>
      <c r="AI149" s="64" t="s">
        <v>1643</v>
      </c>
      <c r="AJ149" s="73">
        <v>1</v>
      </c>
    </row>
    <row r="150" spans="1:36" ht="14.4" x14ac:dyDescent="0.3">
      <c r="A150" s="13">
        <v>8802260</v>
      </c>
      <c r="B150" s="13" t="s">
        <v>231</v>
      </c>
      <c r="C150" s="13" t="s">
        <v>365</v>
      </c>
      <c r="D150" s="13">
        <v>447</v>
      </c>
      <c r="E150" s="13" t="s">
        <v>171</v>
      </c>
      <c r="F150" s="13" t="s">
        <v>172</v>
      </c>
      <c r="I150" s="13">
        <v>0</v>
      </c>
      <c r="J150" s="13">
        <v>1</v>
      </c>
      <c r="K150" s="14">
        <v>46183</v>
      </c>
      <c r="N150" s="13">
        <v>126</v>
      </c>
      <c r="P150" s="58" t="str">
        <f t="shared" si="14"/>
        <v>Grant Hill</v>
      </c>
      <c r="Q150" s="58" t="str">
        <f>IFERROR(_xlfn.TEXTAFTER(_xlfn.XLOOKUP(A150,Collection!A:A,Collection!C:C,),"Cards "),C150)</f>
        <v>1997 Ultra View To A Thrill</v>
      </c>
      <c r="R150" s="58" t="str">
        <f t="shared" si="15"/>
        <v>-</v>
      </c>
      <c r="S150" s="58" t="str">
        <f>IFERROR(_xlfn.TEXTAFTER(_xlfn.XLOOKUP(A150,Collection!A:A,Collection!B:B,),"#"),"")</f>
        <v>11</v>
      </c>
      <c r="T150" s="60">
        <f t="shared" si="16"/>
        <v>4.47</v>
      </c>
      <c r="U150" s="54" t="s">
        <v>1592</v>
      </c>
      <c r="V150" s="58" t="str">
        <f>IF(ISNUMBER(MATCH(N150,Catalog!$B$4:$B$16, 0)), "Keep", "For Sale")</f>
        <v>For Sale</v>
      </c>
      <c r="W150" s="58">
        <f t="shared" si="17"/>
        <v>2</v>
      </c>
      <c r="X150" s="58">
        <f t="shared" si="18"/>
        <v>2</v>
      </c>
      <c r="Y150" s="60">
        <f t="shared" si="19"/>
        <v>5</v>
      </c>
      <c r="Z150" s="60">
        <f t="shared" si="20"/>
        <v>4</v>
      </c>
      <c r="AE150" t="s">
        <v>1594</v>
      </c>
      <c r="AF150"/>
      <c r="AG150" s="61">
        <v>77.5</v>
      </c>
      <c r="AH150"/>
      <c r="AI150" s="64" t="s">
        <v>1655</v>
      </c>
      <c r="AJ150" s="73">
        <v>1</v>
      </c>
    </row>
    <row r="151" spans="1:36" ht="14.4" x14ac:dyDescent="0.3">
      <c r="A151" s="13">
        <v>8802260</v>
      </c>
      <c r="B151" s="13" t="s">
        <v>231</v>
      </c>
      <c r="C151" s="13" t="s">
        <v>365</v>
      </c>
      <c r="D151" s="13">
        <v>447</v>
      </c>
      <c r="E151" s="13" t="s">
        <v>171</v>
      </c>
      <c r="F151" s="13" t="s">
        <v>172</v>
      </c>
      <c r="I151" s="13">
        <v>0</v>
      </c>
      <c r="J151" s="13">
        <v>1</v>
      </c>
      <c r="K151" s="14">
        <v>46129</v>
      </c>
      <c r="N151" s="13">
        <v>127</v>
      </c>
      <c r="P151" s="58" t="str">
        <f t="shared" si="14"/>
        <v>Grant Hill</v>
      </c>
      <c r="Q151" s="58" t="str">
        <f>IFERROR(_xlfn.TEXTAFTER(_xlfn.XLOOKUP(A151,Collection!A:A,Collection!C:C,),"Cards "),C151)</f>
        <v>1997 Ultra View To A Thrill</v>
      </c>
      <c r="R151" s="58" t="str">
        <f t="shared" si="15"/>
        <v>-</v>
      </c>
      <c r="S151" s="58" t="str">
        <f>IFERROR(_xlfn.TEXTAFTER(_xlfn.XLOOKUP(A151,Collection!A:A,Collection!B:B,),"#"),"")</f>
        <v>11</v>
      </c>
      <c r="T151" s="60">
        <f t="shared" si="16"/>
        <v>4.47</v>
      </c>
      <c r="U151" s="54" t="s">
        <v>1592</v>
      </c>
      <c r="V151" s="58" t="str">
        <f>IF(ISNUMBER(MATCH(N151,Catalog!$B$4:$B$16, 0)), "Keep", "For Sale")</f>
        <v>For Sale</v>
      </c>
      <c r="W151" s="58">
        <f t="shared" si="17"/>
        <v>2</v>
      </c>
      <c r="X151" s="58">
        <f t="shared" si="18"/>
        <v>2</v>
      </c>
      <c r="Y151" s="60">
        <f t="shared" si="19"/>
        <v>5</v>
      </c>
      <c r="Z151" s="60">
        <f t="shared" si="20"/>
        <v>4</v>
      </c>
      <c r="AE151" t="s">
        <v>1638</v>
      </c>
      <c r="AF151"/>
      <c r="AG151" s="61">
        <v>57.5</v>
      </c>
      <c r="AH151"/>
      <c r="AI151" s="8" t="s">
        <v>1799</v>
      </c>
      <c r="AJ151" s="73">
        <v>1</v>
      </c>
    </row>
    <row r="152" spans="1:36" ht="14.4" x14ac:dyDescent="0.3">
      <c r="A152" s="13">
        <v>3229566</v>
      </c>
      <c r="B152" s="13" t="s">
        <v>391</v>
      </c>
      <c r="C152" s="13" t="s">
        <v>374</v>
      </c>
      <c r="D152" s="13">
        <v>152</v>
      </c>
      <c r="E152" s="13" t="s">
        <v>171</v>
      </c>
      <c r="F152" s="13" t="s">
        <v>172</v>
      </c>
      <c r="I152" s="13">
        <v>0</v>
      </c>
      <c r="J152" s="13">
        <v>1</v>
      </c>
      <c r="K152" s="14">
        <v>46149</v>
      </c>
      <c r="N152" s="13">
        <v>472</v>
      </c>
      <c r="P152" s="58" t="str">
        <f t="shared" si="14"/>
        <v>Grant Hill</v>
      </c>
      <c r="Q152" s="58" t="str">
        <f>IFERROR(_xlfn.TEXTAFTER(_xlfn.XLOOKUP(A152,Collection!A:A,Collection!C:C,),"Cards "),C152)</f>
        <v>1994 Ultra</v>
      </c>
      <c r="R152" s="58" t="str">
        <f t="shared" si="15"/>
        <v>-</v>
      </c>
      <c r="S152" s="58" t="str">
        <f>IFERROR(_xlfn.TEXTAFTER(_xlfn.XLOOKUP(A152,Collection!A:A,Collection!B:B,),"#"),"")</f>
        <v>239</v>
      </c>
      <c r="T152" s="60">
        <f t="shared" si="16"/>
        <v>1.52</v>
      </c>
      <c r="U152" s="54" t="s">
        <v>1592</v>
      </c>
      <c r="V152" s="58" t="str">
        <f>IF(ISNUMBER(MATCH(N152,Catalog!$B$4:$B$16, 0)), "Keep", "For Sale")</f>
        <v>For Sale</v>
      </c>
      <c r="W152" s="58">
        <f t="shared" si="17"/>
        <v>1</v>
      </c>
      <c r="X152" s="58">
        <f t="shared" si="18"/>
        <v>2</v>
      </c>
      <c r="Y152" s="60">
        <f t="shared" si="19"/>
        <v>2</v>
      </c>
      <c r="Z152" s="60">
        <f t="shared" si="20"/>
        <v>1.5</v>
      </c>
      <c r="AE152" t="s">
        <v>1599</v>
      </c>
      <c r="AF152"/>
      <c r="AG152" s="61">
        <v>25</v>
      </c>
      <c r="AH152"/>
      <c r="AI152" s="64" t="s">
        <v>1564</v>
      </c>
      <c r="AJ152" s="73">
        <v>1</v>
      </c>
    </row>
    <row r="153" spans="1:36" ht="14.4" x14ac:dyDescent="0.3">
      <c r="A153" s="13">
        <v>3607582</v>
      </c>
      <c r="B153" s="13" t="s">
        <v>1539</v>
      </c>
      <c r="C153" s="13" t="s">
        <v>1073</v>
      </c>
      <c r="D153" s="13">
        <v>882</v>
      </c>
      <c r="E153" s="13" t="s">
        <v>171</v>
      </c>
      <c r="F153" s="13" t="s">
        <v>172</v>
      </c>
      <c r="H153" s="13" t="s">
        <v>1540</v>
      </c>
      <c r="I153" s="13">
        <v>1108</v>
      </c>
      <c r="J153" s="13">
        <v>1</v>
      </c>
      <c r="K153" s="14">
        <v>46183</v>
      </c>
      <c r="L153" s="14">
        <v>46182</v>
      </c>
      <c r="N153" s="13">
        <v>32</v>
      </c>
      <c r="P153" s="58" t="str">
        <f t="shared" si="14"/>
        <v>Jason Williams</v>
      </c>
      <c r="Q153" s="58" t="str">
        <f>IFERROR(_xlfn.TEXTAFTER(_xlfn.XLOOKUP(A153,Collection!A:A,Collection!C:C,),"Cards "),C153)</f>
        <v>2020 Panini Hoops SLAM</v>
      </c>
      <c r="R153" s="58" t="str">
        <f t="shared" si="15"/>
        <v>-</v>
      </c>
      <c r="S153" s="58" t="str">
        <f>IFERROR(_xlfn.TEXTAFTER(_xlfn.XLOOKUP(A153,Collection!A:A,Collection!B:B,),"#"),"")</f>
        <v>7</v>
      </c>
      <c r="T153" s="60">
        <f t="shared" si="16"/>
        <v>8.82</v>
      </c>
      <c r="U153" s="54" t="s">
        <v>1580</v>
      </c>
      <c r="V153" s="58" t="str">
        <f>IF(ISNUMBER(MATCH(N153,Catalog!$B$4:$B$16, 0)), "Keep", "For Sale")</f>
        <v>Keep</v>
      </c>
      <c r="W153" s="58">
        <f t="shared" si="17"/>
        <v>0</v>
      </c>
      <c r="X153" s="58">
        <f t="shared" si="18"/>
        <v>2</v>
      </c>
      <c r="Y153" s="60">
        <f t="shared" si="19"/>
        <v>13</v>
      </c>
      <c r="Z153" s="60">
        <f t="shared" si="20"/>
        <v>9</v>
      </c>
      <c r="AE153" t="s">
        <v>1640</v>
      </c>
      <c r="AF153"/>
      <c r="AG153" s="61">
        <v>25</v>
      </c>
      <c r="AH153"/>
      <c r="AI153" s="8" t="s">
        <v>1801</v>
      </c>
      <c r="AJ153" s="73">
        <v>1</v>
      </c>
    </row>
    <row r="154" spans="1:36" ht="14.4" x14ac:dyDescent="0.3">
      <c r="A154" s="13">
        <v>5862286</v>
      </c>
      <c r="B154" s="13" t="s">
        <v>1184</v>
      </c>
      <c r="C154" s="13" t="s">
        <v>1185</v>
      </c>
      <c r="D154" s="13">
        <v>874</v>
      </c>
      <c r="E154" s="13" t="s">
        <v>171</v>
      </c>
      <c r="F154" s="13" t="s">
        <v>172</v>
      </c>
      <c r="I154" s="13">
        <v>0</v>
      </c>
      <c r="J154" s="13">
        <v>1</v>
      </c>
      <c r="K154" s="14">
        <v>46173</v>
      </c>
      <c r="N154" s="13">
        <v>34</v>
      </c>
      <c r="P154" s="58" t="str">
        <f t="shared" si="14"/>
        <v>Jason Williams</v>
      </c>
      <c r="Q154" s="58" t="str">
        <f>IFERROR(_xlfn.TEXTAFTER(_xlfn.XLOOKUP(A154,Collection!A:A,Collection!C:C,),"Cards "),C154)</f>
        <v>1999 Topps Prodigy</v>
      </c>
      <c r="R154" s="58" t="str">
        <f t="shared" si="15"/>
        <v>-</v>
      </c>
      <c r="S154" s="58" t="str">
        <f>IFERROR(_xlfn.TEXTAFTER(_xlfn.XLOOKUP(A154,Collection!A:A,Collection!B:B,),"#"),"")</f>
        <v>PR12</v>
      </c>
      <c r="T154" s="60">
        <f t="shared" si="16"/>
        <v>8.74</v>
      </c>
      <c r="U154" s="54" t="s">
        <v>1580</v>
      </c>
      <c r="V154" s="58" t="str">
        <f>IF(ISNUMBER(MATCH(N154,Catalog!$B$4:$B$16, 0)), "Keep", "For Sale")</f>
        <v>For Sale</v>
      </c>
      <c r="W154" s="58">
        <f t="shared" si="17"/>
        <v>1</v>
      </c>
      <c r="X154" s="58">
        <f t="shared" si="18"/>
        <v>2</v>
      </c>
      <c r="Y154" s="60">
        <f t="shared" si="19"/>
        <v>10</v>
      </c>
      <c r="Z154" s="60">
        <f t="shared" si="20"/>
        <v>9</v>
      </c>
      <c r="AE154" t="s">
        <v>1697</v>
      </c>
      <c r="AF154"/>
      <c r="AG154" s="61">
        <v>25</v>
      </c>
      <c r="AH154"/>
      <c r="AI154" s="64" t="s">
        <v>1593</v>
      </c>
      <c r="AJ154" s="73">
        <v>1</v>
      </c>
    </row>
    <row r="155" spans="1:36" ht="14.4" x14ac:dyDescent="0.3">
      <c r="A155" s="13">
        <v>92303</v>
      </c>
      <c r="B155" s="13" t="s">
        <v>229</v>
      </c>
      <c r="C155" s="13" t="s">
        <v>230</v>
      </c>
      <c r="D155" s="13">
        <v>650</v>
      </c>
      <c r="E155" s="13" t="s">
        <v>171</v>
      </c>
      <c r="F155" s="13" t="s">
        <v>172</v>
      </c>
      <c r="I155" s="13">
        <v>0</v>
      </c>
      <c r="J155" s="13">
        <v>1</v>
      </c>
      <c r="K155" s="14">
        <v>46128</v>
      </c>
      <c r="L155" s="14">
        <v>46128</v>
      </c>
      <c r="N155" s="13">
        <v>35</v>
      </c>
      <c r="P155" s="58" t="str">
        <f t="shared" si="14"/>
        <v>Jason Williams</v>
      </c>
      <c r="Q155" s="58" t="str">
        <f>IFERROR(_xlfn.TEXTAFTER(_xlfn.XLOOKUP(A155,Collection!A:A,Collection!C:C,),"Cards "),C155)</f>
        <v>1998 Flair Showcase</v>
      </c>
      <c r="R155" s="58" t="str">
        <f t="shared" si="15"/>
        <v>Row 3</v>
      </c>
      <c r="S155" s="58" t="str">
        <f>IFERROR(_xlfn.TEXTAFTER(_xlfn.XLOOKUP(A155,Collection!A:A,Collection!B:B,),"#"),"")</f>
        <v>55</v>
      </c>
      <c r="T155" s="60">
        <f t="shared" si="16"/>
        <v>6.5</v>
      </c>
      <c r="U155" s="54" t="s">
        <v>1580</v>
      </c>
      <c r="V155" s="58" t="str">
        <f>IF(ISNUMBER(MATCH(N155,Catalog!$B$4:$B$16, 0)), "Keep", "For Sale")</f>
        <v>Keep</v>
      </c>
      <c r="W155" s="58">
        <f t="shared" si="17"/>
        <v>0</v>
      </c>
      <c r="X155" s="58">
        <f t="shared" si="18"/>
        <v>2</v>
      </c>
      <c r="Y155" s="60">
        <f t="shared" si="19"/>
        <v>8</v>
      </c>
      <c r="Z155" s="60">
        <f t="shared" si="20"/>
        <v>7</v>
      </c>
      <c r="AE155" t="s">
        <v>1800</v>
      </c>
      <c r="AF155"/>
      <c r="AG155" s="61">
        <v>25</v>
      </c>
      <c r="AH155"/>
      <c r="AI155" s="64" t="s">
        <v>1581</v>
      </c>
      <c r="AJ155" s="73">
        <v>1</v>
      </c>
    </row>
    <row r="156" spans="1:36" ht="14.4" x14ac:dyDescent="0.3">
      <c r="A156" s="13">
        <v>7149970</v>
      </c>
      <c r="B156" s="13" t="s">
        <v>202</v>
      </c>
      <c r="C156" s="13" t="s">
        <v>203</v>
      </c>
      <c r="D156" s="13">
        <v>599</v>
      </c>
      <c r="E156" s="13" t="s">
        <v>171</v>
      </c>
      <c r="F156" s="13" t="s">
        <v>172</v>
      </c>
      <c r="I156" s="13">
        <v>0</v>
      </c>
      <c r="J156" s="13">
        <v>1</v>
      </c>
      <c r="K156" s="14">
        <v>46127</v>
      </c>
      <c r="N156" s="13">
        <v>48</v>
      </c>
      <c r="P156" s="58" t="str">
        <f t="shared" si="14"/>
        <v>Jason Williams</v>
      </c>
      <c r="Q156" s="58" t="str">
        <f>IFERROR(_xlfn.TEXTAFTER(_xlfn.XLOOKUP(A156,Collection!A:A,Collection!C:C,),"Cards "),C156)</f>
        <v>1999 Flair Showcase</v>
      </c>
      <c r="R156" s="58" t="str">
        <f t="shared" si="15"/>
        <v>-</v>
      </c>
      <c r="S156" s="58" t="str">
        <f>IFERROR(_xlfn.TEXTAFTER(_xlfn.XLOOKUP(A156,Collection!A:A,Collection!B:B,),"#"),"")</f>
        <v>2-55</v>
      </c>
      <c r="T156" s="60">
        <f t="shared" si="16"/>
        <v>5.99</v>
      </c>
      <c r="U156" s="54" t="s">
        <v>1580</v>
      </c>
      <c r="V156" s="58" t="str">
        <f>IF(ISNUMBER(MATCH(N156,Catalog!$B$4:$B$16, 0)), "Keep", "For Sale")</f>
        <v>Keep</v>
      </c>
      <c r="W156" s="58">
        <f t="shared" si="17"/>
        <v>0</v>
      </c>
      <c r="X156" s="58">
        <f t="shared" si="18"/>
        <v>2</v>
      </c>
      <c r="Y156" s="60">
        <f t="shared" si="19"/>
        <v>7</v>
      </c>
      <c r="Z156" s="60">
        <f t="shared" si="20"/>
        <v>6</v>
      </c>
      <c r="AE156" t="s">
        <v>1612</v>
      </c>
      <c r="AF156"/>
      <c r="AG156" s="61">
        <v>20</v>
      </c>
      <c r="AH156"/>
      <c r="AI156" s="64" t="s">
        <v>1641</v>
      </c>
      <c r="AJ156" s="73">
        <v>1</v>
      </c>
    </row>
    <row r="157" spans="1:36" ht="14.4" x14ac:dyDescent="0.3">
      <c r="A157" s="13">
        <v>92108</v>
      </c>
      <c r="B157" s="13" t="s">
        <v>302</v>
      </c>
      <c r="C157" s="13" t="s">
        <v>303</v>
      </c>
      <c r="D157" s="13">
        <v>572</v>
      </c>
      <c r="E157" s="13" t="s">
        <v>171</v>
      </c>
      <c r="F157" s="13" t="s">
        <v>172</v>
      </c>
      <c r="I157" s="13">
        <v>0</v>
      </c>
      <c r="J157" s="13">
        <v>1</v>
      </c>
      <c r="K157" s="14">
        <v>46127</v>
      </c>
      <c r="N157" s="13">
        <v>115</v>
      </c>
      <c r="P157" s="58" t="str">
        <f t="shared" si="14"/>
        <v>Jason Williams</v>
      </c>
      <c r="Q157" s="58" t="str">
        <f>IFERROR(_xlfn.TEXTAFTER(_xlfn.XLOOKUP(A157,Collection!A:A,Collection!C:C,),"Cards "),C157)</f>
        <v>1998 Finest</v>
      </c>
      <c r="R157" s="58" t="str">
        <f t="shared" si="15"/>
        <v>-</v>
      </c>
      <c r="S157" s="58" t="str">
        <f>IFERROR(_xlfn.TEXTAFTER(_xlfn.XLOOKUP(A157,Collection!A:A,Collection!B:B,),"#"),"")</f>
        <v>232</v>
      </c>
      <c r="T157" s="60">
        <f t="shared" si="16"/>
        <v>5.72</v>
      </c>
      <c r="U157" s="54" t="s">
        <v>1580</v>
      </c>
      <c r="V157" s="58" t="str">
        <f>IF(ISNUMBER(MATCH(N157,Catalog!$B$4:$B$16, 0)), "Keep", "For Sale")</f>
        <v>For Sale</v>
      </c>
      <c r="W157" s="58">
        <f t="shared" si="17"/>
        <v>1</v>
      </c>
      <c r="X157" s="58">
        <f t="shared" si="18"/>
        <v>2</v>
      </c>
      <c r="Y157" s="60">
        <f t="shared" si="19"/>
        <v>7</v>
      </c>
      <c r="Z157" s="60">
        <f t="shared" si="20"/>
        <v>6</v>
      </c>
      <c r="AE157" t="s">
        <v>1674</v>
      </c>
      <c r="AF157"/>
      <c r="AG157" s="61">
        <v>0</v>
      </c>
      <c r="AH157"/>
      <c r="AI157" s="8" t="s">
        <v>1805</v>
      </c>
      <c r="AJ157" s="73">
        <v>1</v>
      </c>
    </row>
    <row r="158" spans="1:36" ht="14.4" x14ac:dyDescent="0.3">
      <c r="A158" s="13">
        <v>5885838</v>
      </c>
      <c r="B158" s="13" t="s">
        <v>252</v>
      </c>
      <c r="C158" s="13" t="s">
        <v>253</v>
      </c>
      <c r="D158" s="13">
        <v>570</v>
      </c>
      <c r="E158" s="13" t="s">
        <v>171</v>
      </c>
      <c r="F158" s="13" t="s">
        <v>172</v>
      </c>
      <c r="I158" s="13">
        <v>0</v>
      </c>
      <c r="J158" s="13">
        <v>1</v>
      </c>
      <c r="K158" s="14">
        <v>46129</v>
      </c>
      <c r="N158" s="13">
        <v>49</v>
      </c>
      <c r="P158" s="58" t="str">
        <f t="shared" si="14"/>
        <v>Jason Williams</v>
      </c>
      <c r="Q158" s="58" t="str">
        <f>IFERROR(_xlfn.TEXTAFTER(_xlfn.XLOOKUP(A158,Collection!A:A,Collection!C:C,),"Cards "),C158)</f>
        <v>1999 Stadium Club Chrome Eyes of the Game</v>
      </c>
      <c r="R158" s="58" t="str">
        <f t="shared" si="15"/>
        <v>-</v>
      </c>
      <c r="S158" s="58" t="str">
        <f>IFERROR(_xlfn.TEXTAFTER(_xlfn.XLOOKUP(A158,Collection!A:A,Collection!B:B,),"#"),"")</f>
        <v>EG2</v>
      </c>
      <c r="T158" s="60">
        <f t="shared" si="16"/>
        <v>5.7</v>
      </c>
      <c r="U158" s="54" t="s">
        <v>1580</v>
      </c>
      <c r="V158" s="58" t="str">
        <f>IF(ISNUMBER(MATCH(N158,Catalog!$B$4:$B$16, 0)), "Keep", "For Sale")</f>
        <v>For Sale</v>
      </c>
      <c r="W158" s="58">
        <f t="shared" si="17"/>
        <v>1</v>
      </c>
      <c r="X158" s="58">
        <f t="shared" si="18"/>
        <v>2</v>
      </c>
      <c r="Y158" s="60">
        <f t="shared" si="19"/>
        <v>7</v>
      </c>
      <c r="Z158" s="60">
        <f t="shared" si="20"/>
        <v>6</v>
      </c>
      <c r="AE158" t="s">
        <v>1624</v>
      </c>
      <c r="AF158"/>
      <c r="AG158" s="61">
        <v>0</v>
      </c>
      <c r="AH158"/>
      <c r="AI158" s="64" t="s">
        <v>1585</v>
      </c>
      <c r="AJ158" s="73">
        <v>1</v>
      </c>
    </row>
    <row r="159" spans="1:36" ht="14.4" x14ac:dyDescent="0.3">
      <c r="A159" s="13">
        <v>10604045</v>
      </c>
      <c r="B159" s="13" t="s">
        <v>362</v>
      </c>
      <c r="C159" s="13" t="s">
        <v>363</v>
      </c>
      <c r="D159" s="13">
        <v>481</v>
      </c>
      <c r="E159" s="13" t="s">
        <v>171</v>
      </c>
      <c r="F159" s="13" t="s">
        <v>172</v>
      </c>
      <c r="I159" s="13">
        <v>0</v>
      </c>
      <c r="J159" s="13">
        <v>1</v>
      </c>
      <c r="K159" s="14">
        <v>46129</v>
      </c>
      <c r="N159" s="13">
        <v>120</v>
      </c>
      <c r="P159" s="58" t="str">
        <f t="shared" si="14"/>
        <v>Jason Williams</v>
      </c>
      <c r="Q159" s="58" t="str">
        <f>IFERROR(_xlfn.TEXTAFTER(_xlfn.XLOOKUP(A159,Collection!A:A,Collection!C:C,),"Cards "),C159)</f>
        <v>1999 SPX Masters</v>
      </c>
      <c r="R159" s="58" t="str">
        <f t="shared" si="15"/>
        <v>-</v>
      </c>
      <c r="S159" s="58" t="str">
        <f>IFERROR(_xlfn.TEXTAFTER(_xlfn.XLOOKUP(A159,Collection!A:A,Collection!B:B,),"#"),"")</f>
        <v>M15</v>
      </c>
      <c r="T159" s="60">
        <f t="shared" si="16"/>
        <v>4.8099999999999996</v>
      </c>
      <c r="U159" s="54" t="s">
        <v>1580</v>
      </c>
      <c r="V159" s="58" t="str">
        <f>IF(ISNUMBER(MATCH(N159,Catalog!$B$4:$B$16, 0)), "Keep", "For Sale")</f>
        <v>For Sale</v>
      </c>
      <c r="W159" s="58">
        <f t="shared" si="17"/>
        <v>1</v>
      </c>
      <c r="X159" s="58">
        <f t="shared" si="18"/>
        <v>2</v>
      </c>
      <c r="Y159" s="60">
        <f t="shared" si="19"/>
        <v>6</v>
      </c>
      <c r="Z159" s="60">
        <f t="shared" si="20"/>
        <v>5</v>
      </c>
      <c r="AE159" t="s">
        <v>1807</v>
      </c>
      <c r="AF159"/>
      <c r="AG159" s="61">
        <v>0</v>
      </c>
      <c r="AH159"/>
      <c r="AI159" s="64" t="s">
        <v>1701</v>
      </c>
      <c r="AJ159" s="73">
        <v>1</v>
      </c>
    </row>
    <row r="160" spans="1:36" ht="14.4" x14ac:dyDescent="0.3">
      <c r="A160" s="13">
        <v>92496</v>
      </c>
      <c r="B160" s="13" t="s">
        <v>629</v>
      </c>
      <c r="C160" s="13" t="s">
        <v>630</v>
      </c>
      <c r="D160" s="13">
        <v>328</v>
      </c>
      <c r="E160" s="13" t="s">
        <v>171</v>
      </c>
      <c r="F160" s="13" t="s">
        <v>172</v>
      </c>
      <c r="H160" s="13" t="s">
        <v>631</v>
      </c>
      <c r="I160" s="13">
        <v>695</v>
      </c>
      <c r="J160" s="13">
        <v>1</v>
      </c>
      <c r="K160" s="14">
        <v>46154</v>
      </c>
      <c r="L160" s="14">
        <v>46153</v>
      </c>
      <c r="N160" s="13">
        <v>152</v>
      </c>
      <c r="P160" s="58" t="str">
        <f t="shared" si="14"/>
        <v>Jason Williams</v>
      </c>
      <c r="Q160" s="58" t="str">
        <f>IFERROR(_xlfn.TEXTAFTER(_xlfn.XLOOKUP(A160,Collection!A:A,Collection!C:C,),"Cards "),C160)</f>
        <v>1998 Fleer Brilliants</v>
      </c>
      <c r="R160" s="58" t="str">
        <f t="shared" si="15"/>
        <v>-</v>
      </c>
      <c r="S160" s="58" t="str">
        <f>IFERROR(_xlfn.TEXTAFTER(_xlfn.XLOOKUP(A160,Collection!A:A,Collection!B:B,),"#"),"")</f>
        <v>107</v>
      </c>
      <c r="T160" s="60">
        <f t="shared" si="16"/>
        <v>3.28</v>
      </c>
      <c r="U160" s="54" t="s">
        <v>1580</v>
      </c>
      <c r="V160" s="58" t="str">
        <f>IF(ISNUMBER(MATCH(N160,Catalog!$B$4:$B$16, 0)), "Keep", "For Sale")</f>
        <v>For Sale</v>
      </c>
      <c r="W160" s="58">
        <f t="shared" si="17"/>
        <v>1</v>
      </c>
      <c r="X160" s="58">
        <f t="shared" si="18"/>
        <v>2</v>
      </c>
      <c r="Y160" s="60">
        <f t="shared" si="19"/>
        <v>8</v>
      </c>
      <c r="Z160" s="60">
        <f t="shared" si="20"/>
        <v>3</v>
      </c>
      <c r="AE160" t="s">
        <v>1808</v>
      </c>
      <c r="AF160"/>
      <c r="AG160" s="61">
        <v>0</v>
      </c>
      <c r="AH160"/>
      <c r="AI160" s="8" t="s">
        <v>1808</v>
      </c>
      <c r="AJ160" s="73">
        <v>1</v>
      </c>
    </row>
    <row r="161" spans="1:36" ht="14.4" x14ac:dyDescent="0.3">
      <c r="A161" s="13">
        <v>8672420</v>
      </c>
      <c r="B161" s="13" t="s">
        <v>288</v>
      </c>
      <c r="C161" s="13" t="s">
        <v>289</v>
      </c>
      <c r="D161" s="13">
        <v>312</v>
      </c>
      <c r="E161" s="13" t="s">
        <v>171</v>
      </c>
      <c r="F161" s="13" t="s">
        <v>172</v>
      </c>
      <c r="I161" s="13">
        <v>0</v>
      </c>
      <c r="J161" s="13">
        <v>1</v>
      </c>
      <c r="K161" s="14">
        <v>46129</v>
      </c>
      <c r="N161" s="13">
        <v>199</v>
      </c>
      <c r="P161" s="58" t="str">
        <f t="shared" si="14"/>
        <v>Jason Williams</v>
      </c>
      <c r="Q161" s="58" t="str">
        <f>IFERROR(_xlfn.TEXTAFTER(_xlfn.XLOOKUP(A161,Collection!A:A,Collection!C:C,),"Cards "),C161)</f>
        <v>1998 Stadium Club Never Compromise</v>
      </c>
      <c r="R161" s="58" t="str">
        <f t="shared" si="15"/>
        <v>-</v>
      </c>
      <c r="S161" s="58" t="str">
        <f>IFERROR(_xlfn.TEXTAFTER(_xlfn.XLOOKUP(A161,Collection!A:A,Collection!B:B,),"#"),"")</f>
        <v>NC17</v>
      </c>
      <c r="T161" s="60">
        <f t="shared" si="16"/>
        <v>3.12</v>
      </c>
      <c r="U161" s="54" t="s">
        <v>1580</v>
      </c>
      <c r="V161" s="58" t="str">
        <f>IF(ISNUMBER(MATCH(N161,Catalog!$B$4:$B$16, 0)), "Keep", "For Sale")</f>
        <v>For Sale</v>
      </c>
      <c r="W161" s="58">
        <f t="shared" si="17"/>
        <v>1</v>
      </c>
      <c r="X161" s="58">
        <f t="shared" si="18"/>
        <v>2</v>
      </c>
      <c r="Y161" s="60">
        <f t="shared" si="19"/>
        <v>4</v>
      </c>
      <c r="Z161" s="60">
        <f t="shared" si="20"/>
        <v>3</v>
      </c>
      <c r="AE161" t="s">
        <v>1688</v>
      </c>
      <c r="AF161"/>
      <c r="AG161" s="61">
        <v>0</v>
      </c>
      <c r="AH161"/>
      <c r="AI161" s="64" t="s">
        <v>1640</v>
      </c>
      <c r="AJ161" s="73">
        <v>1</v>
      </c>
    </row>
    <row r="162" spans="1:36" ht="14.4" x14ac:dyDescent="0.3">
      <c r="A162" s="13">
        <v>8192392</v>
      </c>
      <c r="B162" s="13" t="s">
        <v>1061</v>
      </c>
      <c r="C162" s="13" t="s">
        <v>1062</v>
      </c>
      <c r="D162" s="13">
        <v>299</v>
      </c>
      <c r="E162" s="13" t="s">
        <v>171</v>
      </c>
      <c r="F162" s="13" t="s">
        <v>172</v>
      </c>
      <c r="H162" s="13" t="s">
        <v>1063</v>
      </c>
      <c r="I162" s="13">
        <v>417</v>
      </c>
      <c r="J162" s="13">
        <v>1</v>
      </c>
      <c r="K162" s="14">
        <v>46170</v>
      </c>
      <c r="L162" s="14">
        <v>46167</v>
      </c>
      <c r="N162" s="13">
        <v>179</v>
      </c>
      <c r="P162" s="58" t="str">
        <f t="shared" si="14"/>
        <v>Jason Williams</v>
      </c>
      <c r="Q162" s="58" t="str">
        <f>IFERROR(_xlfn.TEXTAFTER(_xlfn.XLOOKUP(A162,Collection!A:A,Collection!C:C,),"Cards "),C162)</f>
        <v>1999 Skybox E-X Generation E-X</v>
      </c>
      <c r="R162" s="58" t="str">
        <f t="shared" si="15"/>
        <v>-</v>
      </c>
      <c r="S162" s="58" t="str">
        <f>IFERROR(_xlfn.TEXTAFTER(_xlfn.XLOOKUP(A162,Collection!A:A,Collection!B:B,),"#"),"")</f>
        <v>7GX</v>
      </c>
      <c r="T162" s="60">
        <f t="shared" si="16"/>
        <v>2.99</v>
      </c>
      <c r="U162" s="54" t="s">
        <v>1580</v>
      </c>
      <c r="V162" s="58" t="str">
        <f>IF(ISNUMBER(MATCH(N162,Catalog!$B$4:$B$16, 0)), "Keep", "For Sale")</f>
        <v>For Sale</v>
      </c>
      <c r="W162" s="58">
        <f t="shared" si="17"/>
        <v>1</v>
      </c>
      <c r="X162" s="58">
        <f t="shared" si="18"/>
        <v>2</v>
      </c>
      <c r="Y162" s="60">
        <f t="shared" si="19"/>
        <v>5</v>
      </c>
      <c r="Z162" s="60">
        <f t="shared" si="20"/>
        <v>3</v>
      </c>
      <c r="AE162" t="s">
        <v>1564</v>
      </c>
      <c r="AF162"/>
      <c r="AG162" s="61">
        <v>0</v>
      </c>
      <c r="AH162"/>
      <c r="AI162" s="64" t="s">
        <v>1627</v>
      </c>
      <c r="AJ162" s="73">
        <v>1</v>
      </c>
    </row>
    <row r="163" spans="1:36" ht="14.4" x14ac:dyDescent="0.3">
      <c r="A163" s="13">
        <v>10052322</v>
      </c>
      <c r="B163" s="13" t="s">
        <v>398</v>
      </c>
      <c r="C163" s="13" t="s">
        <v>399</v>
      </c>
      <c r="D163" s="13">
        <v>295</v>
      </c>
      <c r="E163" s="13" t="s">
        <v>171</v>
      </c>
      <c r="F163" s="13" t="s">
        <v>172</v>
      </c>
      <c r="I163" s="13">
        <v>0</v>
      </c>
      <c r="J163" s="13">
        <v>1</v>
      </c>
      <c r="K163" s="14">
        <v>46129</v>
      </c>
      <c r="N163" s="13">
        <v>185</v>
      </c>
      <c r="P163" s="58" t="str">
        <f t="shared" si="14"/>
        <v>Jason Williams</v>
      </c>
      <c r="Q163" s="58" t="str">
        <f>IFERROR(_xlfn.TEXTAFTER(_xlfn.XLOOKUP(A163,Collection!A:A,Collection!C:C,),"Cards "),C163)</f>
        <v>1998 Press Pass Authentics</v>
      </c>
      <c r="R163" s="58" t="str">
        <f t="shared" si="15"/>
        <v>-</v>
      </c>
      <c r="S163" s="58" t="str">
        <f>IFERROR(_xlfn.TEXTAFTER(_xlfn.XLOOKUP(A163,Collection!A:A,Collection!B:B,),"#"),"")</f>
        <v>6</v>
      </c>
      <c r="T163" s="60">
        <f t="shared" si="16"/>
        <v>2.95</v>
      </c>
      <c r="U163" s="54" t="s">
        <v>1580</v>
      </c>
      <c r="V163" s="58" t="str">
        <f>IF(ISNUMBER(MATCH(N163,Catalog!$B$4:$B$16, 0)), "Keep", "For Sale")</f>
        <v>For Sale</v>
      </c>
      <c r="W163" s="58">
        <f t="shared" si="17"/>
        <v>1</v>
      </c>
      <c r="X163" s="58">
        <f t="shared" si="18"/>
        <v>2</v>
      </c>
      <c r="Y163" s="60">
        <f t="shared" si="19"/>
        <v>4</v>
      </c>
      <c r="Z163" s="60">
        <f t="shared" si="20"/>
        <v>3</v>
      </c>
      <c r="AE163" t="s">
        <v>1676</v>
      </c>
      <c r="AF163"/>
      <c r="AG163" s="61">
        <v>0</v>
      </c>
      <c r="AH163"/>
      <c r="AI163" s="8" t="s">
        <v>1811</v>
      </c>
      <c r="AJ163" s="73">
        <v>1</v>
      </c>
    </row>
    <row r="164" spans="1:36" ht="14.4" x14ac:dyDescent="0.3">
      <c r="A164" s="13">
        <v>93096</v>
      </c>
      <c r="B164" s="13" t="s">
        <v>1265</v>
      </c>
      <c r="C164" s="13" t="s">
        <v>1266</v>
      </c>
      <c r="D164" s="13">
        <v>284</v>
      </c>
      <c r="E164" s="13" t="s">
        <v>171</v>
      </c>
      <c r="F164" s="13" t="s">
        <v>172</v>
      </c>
      <c r="I164" s="13">
        <v>0</v>
      </c>
      <c r="J164" s="13">
        <v>1</v>
      </c>
      <c r="K164" s="14">
        <v>46173</v>
      </c>
      <c r="N164" s="13">
        <v>201</v>
      </c>
      <c r="P164" s="58" t="str">
        <f t="shared" si="14"/>
        <v>Jason Williams</v>
      </c>
      <c r="Q164" s="58" t="str">
        <f>IFERROR(_xlfn.TEXTAFTER(_xlfn.XLOOKUP(A164,Collection!A:A,Collection!C:C,),"Cards "),C164)</f>
        <v>1998 SP Top Prospects</v>
      </c>
      <c r="R164" s="58" t="str">
        <f t="shared" si="15"/>
        <v>-</v>
      </c>
      <c r="S164" s="58" t="str">
        <f>IFERROR(_xlfn.TEXTAFTER(_xlfn.XLOOKUP(A164,Collection!A:A,Collection!B:B,),"#"),"")</f>
        <v>50</v>
      </c>
      <c r="T164" s="60">
        <f t="shared" si="16"/>
        <v>2.84</v>
      </c>
      <c r="U164" s="54" t="s">
        <v>1580</v>
      </c>
      <c r="V164" s="58" t="str">
        <f>IF(ISNUMBER(MATCH(N164,Catalog!$B$4:$B$16, 0)), "Keep", "For Sale")</f>
        <v>For Sale</v>
      </c>
      <c r="W164" s="58">
        <f t="shared" si="17"/>
        <v>1</v>
      </c>
      <c r="X164" s="58">
        <f t="shared" si="18"/>
        <v>2</v>
      </c>
      <c r="Y164" s="60">
        <f t="shared" si="19"/>
        <v>3</v>
      </c>
      <c r="Z164" s="60">
        <f t="shared" si="20"/>
        <v>3</v>
      </c>
      <c r="AE164" t="s">
        <v>1801</v>
      </c>
      <c r="AF164"/>
      <c r="AG164" s="61">
        <v>0</v>
      </c>
      <c r="AH164"/>
      <c r="AI164" s="64" t="s">
        <v>1626</v>
      </c>
      <c r="AJ164" s="73">
        <v>1</v>
      </c>
    </row>
    <row r="165" spans="1:36" ht="14.4" x14ac:dyDescent="0.3">
      <c r="A165" s="13">
        <v>5837032</v>
      </c>
      <c r="B165" s="13" t="s">
        <v>1294</v>
      </c>
      <c r="C165" s="13" t="s">
        <v>1295</v>
      </c>
      <c r="D165" s="13">
        <v>252</v>
      </c>
      <c r="E165" s="13" t="s">
        <v>171</v>
      </c>
      <c r="F165" s="13" t="s">
        <v>172</v>
      </c>
      <c r="I165" s="13">
        <v>0</v>
      </c>
      <c r="J165" s="13">
        <v>1</v>
      </c>
      <c r="K165" s="14">
        <v>46183</v>
      </c>
      <c r="N165" s="13">
        <v>243</v>
      </c>
      <c r="P165" s="58" t="str">
        <f t="shared" si="14"/>
        <v>Jason Williams</v>
      </c>
      <c r="Q165" s="58" t="str">
        <f>IFERROR(_xlfn.TEXTAFTER(_xlfn.XLOOKUP(A165,Collection!A:A,Collection!C:C,),"Cards "),C165)</f>
        <v>1999 SkyBox Premium</v>
      </c>
      <c r="R165" s="58" t="str">
        <f t="shared" si="15"/>
        <v>-</v>
      </c>
      <c r="S165" s="58" t="str">
        <f>IFERROR(_xlfn.TEXTAFTER(_xlfn.XLOOKUP(A165,Collection!A:A,Collection!B:B,),"#"),"")</f>
        <v>51</v>
      </c>
      <c r="T165" s="60">
        <f t="shared" si="16"/>
        <v>2.52</v>
      </c>
      <c r="U165" s="54" t="s">
        <v>1580</v>
      </c>
      <c r="V165" s="58" t="str">
        <f>IF(ISNUMBER(MATCH(N165,Catalog!$B$4:$B$16, 0)), "Keep", "For Sale")</f>
        <v>For Sale</v>
      </c>
      <c r="W165" s="58">
        <f t="shared" si="17"/>
        <v>2</v>
      </c>
      <c r="X165" s="58">
        <f t="shared" si="18"/>
        <v>2</v>
      </c>
      <c r="Y165" s="60">
        <f t="shared" si="19"/>
        <v>3</v>
      </c>
      <c r="Z165" s="60">
        <f t="shared" si="20"/>
        <v>2</v>
      </c>
      <c r="AE165" t="s">
        <v>1799</v>
      </c>
      <c r="AF165"/>
      <c r="AG165" s="61">
        <v>0</v>
      </c>
      <c r="AH165"/>
      <c r="AI165" s="64" t="s">
        <v>1612</v>
      </c>
      <c r="AJ165" s="73">
        <v>1</v>
      </c>
    </row>
    <row r="166" spans="1:36" ht="14.4" x14ac:dyDescent="0.3">
      <c r="A166" s="13">
        <v>5837032</v>
      </c>
      <c r="B166" s="13" t="s">
        <v>1294</v>
      </c>
      <c r="C166" s="13" t="s">
        <v>1295</v>
      </c>
      <c r="D166" s="13">
        <v>252</v>
      </c>
      <c r="E166" s="13" t="s">
        <v>171</v>
      </c>
      <c r="F166" s="13" t="s">
        <v>172</v>
      </c>
      <c r="I166" s="13">
        <v>0</v>
      </c>
      <c r="J166" s="13">
        <v>1</v>
      </c>
      <c r="K166" s="14">
        <v>46173</v>
      </c>
      <c r="N166" s="13">
        <v>244</v>
      </c>
      <c r="P166" s="58" t="str">
        <f t="shared" si="14"/>
        <v>Jason Williams</v>
      </c>
      <c r="Q166" s="58" t="str">
        <f>IFERROR(_xlfn.TEXTAFTER(_xlfn.XLOOKUP(A166,Collection!A:A,Collection!C:C,),"Cards "),C166)</f>
        <v>1999 SkyBox Premium</v>
      </c>
      <c r="R166" s="58" t="str">
        <f t="shared" si="15"/>
        <v>-</v>
      </c>
      <c r="S166" s="58" t="str">
        <f>IFERROR(_xlfn.TEXTAFTER(_xlfn.XLOOKUP(A166,Collection!A:A,Collection!B:B,),"#"),"")</f>
        <v>51</v>
      </c>
      <c r="T166" s="60">
        <f t="shared" si="16"/>
        <v>2.52</v>
      </c>
      <c r="U166" s="54" t="s">
        <v>1580</v>
      </c>
      <c r="V166" s="58" t="str">
        <f>IF(ISNUMBER(MATCH(N166,Catalog!$B$4:$B$16, 0)), "Keep", "For Sale")</f>
        <v>For Sale</v>
      </c>
      <c r="W166" s="58">
        <f t="shared" si="17"/>
        <v>2</v>
      </c>
      <c r="X166" s="58">
        <f t="shared" si="18"/>
        <v>2</v>
      </c>
      <c r="Y166" s="60">
        <f t="shared" si="19"/>
        <v>3</v>
      </c>
      <c r="Z166" s="60">
        <f t="shared" si="20"/>
        <v>2</v>
      </c>
      <c r="AE166" t="s">
        <v>1813</v>
      </c>
      <c r="AF166"/>
      <c r="AG166" s="61"/>
      <c r="AH166"/>
      <c r="AI166" s="64" t="s">
        <v>1672</v>
      </c>
      <c r="AJ166" s="73">
        <v>1</v>
      </c>
    </row>
    <row r="167" spans="1:36" ht="14.4" x14ac:dyDescent="0.3">
      <c r="A167" s="13">
        <v>8950906</v>
      </c>
      <c r="B167" s="13" t="s">
        <v>1202</v>
      </c>
      <c r="C167" s="13" t="s">
        <v>1203</v>
      </c>
      <c r="D167" s="13">
        <v>199</v>
      </c>
      <c r="E167" s="13" t="s">
        <v>171</v>
      </c>
      <c r="F167" s="13" t="s">
        <v>172</v>
      </c>
      <c r="I167" s="13">
        <v>0</v>
      </c>
      <c r="J167" s="13">
        <v>1</v>
      </c>
      <c r="K167" s="14">
        <v>46173</v>
      </c>
      <c r="N167" s="13">
        <v>267</v>
      </c>
      <c r="P167" s="58" t="str">
        <f t="shared" si="14"/>
        <v>Jason Williams</v>
      </c>
      <c r="Q167" s="58" t="str">
        <f>IFERROR(_xlfn.TEXTAFTER(_xlfn.XLOOKUP(A167,Collection!A:A,Collection!C:C,),"Cards "),C167)</f>
        <v>1998 Upper Deck Century Legends</v>
      </c>
      <c r="R167" s="58" t="str">
        <f t="shared" si="15"/>
        <v>-</v>
      </c>
      <c r="S167" s="58" t="str">
        <f>IFERROR(_xlfn.TEXTAFTER(_xlfn.XLOOKUP(A167,Collection!A:A,Collection!B:B,),"#"),"")</f>
        <v>57</v>
      </c>
      <c r="T167" s="60">
        <f t="shared" si="16"/>
        <v>1.99</v>
      </c>
      <c r="U167" s="54" t="s">
        <v>1580</v>
      </c>
      <c r="V167" s="58" t="str">
        <f>IF(ISNUMBER(MATCH(N167,Catalog!$B$4:$B$16, 0)), "Keep", "For Sale")</f>
        <v>For Sale</v>
      </c>
      <c r="W167" s="58">
        <f t="shared" si="17"/>
        <v>1</v>
      </c>
      <c r="X167" s="58">
        <f t="shared" si="18"/>
        <v>2</v>
      </c>
      <c r="Y167" s="60">
        <f t="shared" si="19"/>
        <v>2.5</v>
      </c>
      <c r="Z167" s="60">
        <f t="shared" si="20"/>
        <v>2</v>
      </c>
      <c r="AE167" t="s">
        <v>1663</v>
      </c>
      <c r="AF167"/>
      <c r="AG167" s="61">
        <v>0</v>
      </c>
      <c r="AH167"/>
      <c r="AI167" s="64" t="s">
        <v>1685</v>
      </c>
      <c r="AJ167" s="73">
        <v>1</v>
      </c>
    </row>
    <row r="168" spans="1:36" ht="14.4" x14ac:dyDescent="0.3">
      <c r="A168" s="13">
        <v>8355826</v>
      </c>
      <c r="B168" s="13" t="s">
        <v>1207</v>
      </c>
      <c r="C168" s="13" t="s">
        <v>1208</v>
      </c>
      <c r="D168" s="13">
        <v>188</v>
      </c>
      <c r="E168" s="13" t="s">
        <v>171</v>
      </c>
      <c r="F168" s="13" t="s">
        <v>172</v>
      </c>
      <c r="I168" s="13">
        <v>0</v>
      </c>
      <c r="J168" s="13">
        <v>1</v>
      </c>
      <c r="K168" s="14">
        <v>46173</v>
      </c>
      <c r="N168" s="13">
        <v>358</v>
      </c>
      <c r="P168" s="58" t="str">
        <f t="shared" si="14"/>
        <v>Jason Williams</v>
      </c>
      <c r="Q168" s="58" t="str">
        <f>IFERROR(_xlfn.TEXTAFTER(_xlfn.XLOOKUP(A168,Collection!A:A,Collection!C:C,),"Cards "),C168)</f>
        <v>1999 Fleer Force Special Forces</v>
      </c>
      <c r="R168" s="58" t="str">
        <f t="shared" si="15"/>
        <v>-</v>
      </c>
      <c r="S168" s="58" t="str">
        <f>IFERROR(_xlfn.TEXTAFTER(_xlfn.XLOOKUP(A168,Collection!A:A,Collection!B:B,),"#"),"")</f>
        <v>8SF</v>
      </c>
      <c r="T168" s="60">
        <f t="shared" si="16"/>
        <v>1.88</v>
      </c>
      <c r="U168" s="54" t="s">
        <v>1580</v>
      </c>
      <c r="V168" s="58" t="str">
        <f>IF(ISNUMBER(MATCH(N168,Catalog!$B$4:$B$16, 0)), "Keep", "For Sale")</f>
        <v>For Sale</v>
      </c>
      <c r="W168" s="58">
        <f t="shared" si="17"/>
        <v>1</v>
      </c>
      <c r="X168" s="58">
        <f t="shared" si="18"/>
        <v>2</v>
      </c>
      <c r="Y168" s="60">
        <f t="shared" si="19"/>
        <v>2.5</v>
      </c>
      <c r="Z168" s="60">
        <f t="shared" si="20"/>
        <v>2</v>
      </c>
      <c r="AE168" t="s">
        <v>1675</v>
      </c>
      <c r="AF168"/>
      <c r="AG168" s="61">
        <v>0</v>
      </c>
      <c r="AH168"/>
      <c r="AI168" s="8" t="s">
        <v>1813</v>
      </c>
      <c r="AJ168" s="73"/>
    </row>
    <row r="169" spans="1:36" ht="14.4" x14ac:dyDescent="0.3">
      <c r="A169" s="13">
        <v>93345</v>
      </c>
      <c r="B169" s="13" t="s">
        <v>1270</v>
      </c>
      <c r="C169" s="13" t="s">
        <v>305</v>
      </c>
      <c r="D169" s="13">
        <v>186</v>
      </c>
      <c r="E169" s="13" t="s">
        <v>171</v>
      </c>
      <c r="F169" s="13" t="s">
        <v>172</v>
      </c>
      <c r="I169" s="13">
        <v>0</v>
      </c>
      <c r="J169" s="13">
        <v>1</v>
      </c>
      <c r="K169" s="14">
        <v>46173</v>
      </c>
      <c r="N169" s="13">
        <v>360</v>
      </c>
      <c r="P169" s="58" t="str">
        <f t="shared" si="14"/>
        <v>Jason Williams</v>
      </c>
      <c r="Q169" s="58" t="str">
        <f>IFERROR(_xlfn.TEXTAFTER(_xlfn.XLOOKUP(A169,Collection!A:A,Collection!C:C,),"Cards "),C169)</f>
        <v>1998 Stadium Club</v>
      </c>
      <c r="R169" s="58" t="str">
        <f t="shared" si="15"/>
        <v>-</v>
      </c>
      <c r="S169" s="58" t="str">
        <f>IFERROR(_xlfn.TEXTAFTER(_xlfn.XLOOKUP(A169,Collection!A:A,Collection!B:B,),"#"),"")</f>
        <v>200</v>
      </c>
      <c r="T169" s="60">
        <f t="shared" si="16"/>
        <v>1.86</v>
      </c>
      <c r="U169" s="54" t="s">
        <v>1580</v>
      </c>
      <c r="V169" s="58" t="str">
        <f>IF(ISNUMBER(MATCH(N169,Catalog!$B$4:$B$16, 0)), "Keep", "For Sale")</f>
        <v>For Sale</v>
      </c>
      <c r="W169" s="58">
        <f t="shared" si="17"/>
        <v>1</v>
      </c>
      <c r="X169" s="58">
        <f t="shared" si="18"/>
        <v>2</v>
      </c>
      <c r="Y169" s="60">
        <f t="shared" si="19"/>
        <v>2</v>
      </c>
      <c r="Z169" s="60">
        <f t="shared" si="20"/>
        <v>2</v>
      </c>
      <c r="AE169" t="s">
        <v>1149</v>
      </c>
      <c r="AF169"/>
      <c r="AG169" s="61">
        <v>590.63299663299665</v>
      </c>
      <c r="AH169"/>
      <c r="AI169" s="8" t="s">
        <v>1149</v>
      </c>
      <c r="AJ169" s="73">
        <v>557</v>
      </c>
    </row>
    <row r="170" spans="1:36" ht="14.4" x14ac:dyDescent="0.3">
      <c r="A170" s="13">
        <v>8306386</v>
      </c>
      <c r="B170" s="13" t="s">
        <v>1213</v>
      </c>
      <c r="C170" s="13" t="s">
        <v>213</v>
      </c>
      <c r="D170" s="13">
        <v>186</v>
      </c>
      <c r="E170" s="13" t="s">
        <v>171</v>
      </c>
      <c r="F170" s="13" t="s">
        <v>172</v>
      </c>
      <c r="I170" s="13">
        <v>0</v>
      </c>
      <c r="J170" s="13">
        <v>1</v>
      </c>
      <c r="K170" s="14">
        <v>46173</v>
      </c>
      <c r="N170" s="13">
        <v>299</v>
      </c>
      <c r="P170" s="58" t="str">
        <f t="shared" si="14"/>
        <v>Jason Williams</v>
      </c>
      <c r="Q170" s="58" t="str">
        <f>IFERROR(_xlfn.TEXTAFTER(_xlfn.XLOOKUP(A170,Collection!A:A,Collection!C:C,),"Cards "),C170)</f>
        <v>1999 SP Authentic</v>
      </c>
      <c r="R170" s="58" t="str">
        <f t="shared" si="15"/>
        <v>-</v>
      </c>
      <c r="S170" s="58" t="str">
        <f>IFERROR(_xlfn.TEXTAFTER(_xlfn.XLOOKUP(A170,Collection!A:A,Collection!B:B,),"#"),"")</f>
        <v>69</v>
      </c>
      <c r="T170" s="60">
        <f t="shared" si="16"/>
        <v>1.86</v>
      </c>
      <c r="U170" s="54" t="s">
        <v>1580</v>
      </c>
      <c r="V170" s="58" t="str">
        <f>IF(ISNUMBER(MATCH(N170,Catalog!$B$4:$B$16, 0)), "Keep", "For Sale")</f>
        <v>For Sale</v>
      </c>
      <c r="W170" s="58">
        <f t="shared" si="17"/>
        <v>2</v>
      </c>
      <c r="X170" s="58">
        <f t="shared" si="18"/>
        <v>2</v>
      </c>
      <c r="Y170" s="60">
        <f t="shared" si="19"/>
        <v>2</v>
      </c>
      <c r="Z170" s="60">
        <f t="shared" si="20"/>
        <v>1.5</v>
      </c>
      <c r="AE170"/>
      <c r="AF170"/>
      <c r="AG170"/>
      <c r="AH170"/>
    </row>
    <row r="171" spans="1:36" ht="14.4" x14ac:dyDescent="0.3">
      <c r="A171" s="13">
        <v>8306386</v>
      </c>
      <c r="B171" s="13" t="s">
        <v>1213</v>
      </c>
      <c r="C171" s="13" t="s">
        <v>213</v>
      </c>
      <c r="D171" s="13">
        <v>186</v>
      </c>
      <c r="E171" s="13" t="s">
        <v>171</v>
      </c>
      <c r="F171" s="13" t="s">
        <v>172</v>
      </c>
      <c r="I171" s="13">
        <v>0</v>
      </c>
      <c r="J171" s="13">
        <v>1</v>
      </c>
      <c r="K171" s="14">
        <v>46183</v>
      </c>
      <c r="N171" s="13">
        <v>301</v>
      </c>
      <c r="P171" s="58" t="str">
        <f t="shared" si="14"/>
        <v>Jason Williams</v>
      </c>
      <c r="Q171" s="58" t="str">
        <f>IFERROR(_xlfn.TEXTAFTER(_xlfn.XLOOKUP(A171,Collection!A:A,Collection!C:C,),"Cards "),C171)</f>
        <v>1999 SP Authentic</v>
      </c>
      <c r="R171" s="58" t="str">
        <f t="shared" si="15"/>
        <v>-</v>
      </c>
      <c r="S171" s="58" t="str">
        <f>IFERROR(_xlfn.TEXTAFTER(_xlfn.XLOOKUP(A171,Collection!A:A,Collection!B:B,),"#"),"")</f>
        <v>69</v>
      </c>
      <c r="T171" s="60">
        <f t="shared" si="16"/>
        <v>1.86</v>
      </c>
      <c r="U171" s="54" t="s">
        <v>1580</v>
      </c>
      <c r="V171" s="58" t="str">
        <f>IF(ISNUMBER(MATCH(N171,Catalog!$B$4:$B$16, 0)), "Keep", "For Sale")</f>
        <v>For Sale</v>
      </c>
      <c r="W171" s="58">
        <f t="shared" si="17"/>
        <v>2</v>
      </c>
      <c r="X171" s="58">
        <f t="shared" si="18"/>
        <v>2</v>
      </c>
      <c r="Y171" s="60">
        <f t="shared" si="19"/>
        <v>2</v>
      </c>
      <c r="Z171" s="60">
        <f t="shared" si="20"/>
        <v>1.5</v>
      </c>
      <c r="AE171"/>
      <c r="AF171"/>
      <c r="AG171"/>
      <c r="AH171"/>
    </row>
    <row r="172" spans="1:36" ht="14.4" x14ac:dyDescent="0.3">
      <c r="A172" s="13">
        <v>10597436</v>
      </c>
      <c r="B172" s="13" t="s">
        <v>1300</v>
      </c>
      <c r="C172" s="13" t="s">
        <v>1301</v>
      </c>
      <c r="D172" s="13">
        <v>169</v>
      </c>
      <c r="E172" s="13" t="s">
        <v>171</v>
      </c>
      <c r="F172" s="13" t="s">
        <v>172</v>
      </c>
      <c r="I172" s="13">
        <v>0</v>
      </c>
      <c r="J172" s="13">
        <v>1</v>
      </c>
      <c r="K172" s="14">
        <v>46173</v>
      </c>
      <c r="N172" s="13">
        <v>350</v>
      </c>
      <c r="P172" s="58" t="str">
        <f t="shared" si="14"/>
        <v>Jason Williams</v>
      </c>
      <c r="Q172" s="58" t="str">
        <f>IFERROR(_xlfn.TEXTAFTER(_xlfn.XLOOKUP(A172,Collection!A:A,Collection!C:C,),"Cards "),C172)</f>
        <v>2001 Topps Tcc</v>
      </c>
      <c r="R172" s="58" t="str">
        <f t="shared" si="15"/>
        <v>-</v>
      </c>
      <c r="S172" s="58" t="str">
        <f>IFERROR(_xlfn.TEXTAFTER(_xlfn.XLOOKUP(A172,Collection!A:A,Collection!B:B,),"#"),"")</f>
        <v>2</v>
      </c>
      <c r="T172" s="60">
        <f t="shared" si="16"/>
        <v>1.69</v>
      </c>
      <c r="U172" s="54" t="s">
        <v>1580</v>
      </c>
      <c r="V172" s="58" t="str">
        <f>IF(ISNUMBER(MATCH(N172,Catalog!$B$4:$B$16, 0)), "Keep", "For Sale")</f>
        <v>For Sale</v>
      </c>
      <c r="W172" s="58">
        <f t="shared" si="17"/>
        <v>1</v>
      </c>
      <c r="X172" s="58">
        <f t="shared" si="18"/>
        <v>2</v>
      </c>
      <c r="Y172" s="60">
        <f t="shared" si="19"/>
        <v>2</v>
      </c>
      <c r="Z172" s="60">
        <f t="shared" si="20"/>
        <v>1.5</v>
      </c>
      <c r="AE172"/>
      <c r="AF172"/>
      <c r="AG172"/>
      <c r="AH172"/>
    </row>
    <row r="173" spans="1:36" ht="14.4" x14ac:dyDescent="0.3">
      <c r="A173" s="13">
        <v>6314978</v>
      </c>
      <c r="B173" s="13" t="s">
        <v>1318</v>
      </c>
      <c r="C173" s="13" t="s">
        <v>1319</v>
      </c>
      <c r="D173" s="13">
        <v>160</v>
      </c>
      <c r="E173" s="13" t="s">
        <v>171</v>
      </c>
      <c r="F173" s="13" t="s">
        <v>172</v>
      </c>
      <c r="I173" s="13">
        <v>0</v>
      </c>
      <c r="J173" s="13">
        <v>1</v>
      </c>
      <c r="K173" s="14">
        <v>46173</v>
      </c>
      <c r="N173" s="13">
        <v>402</v>
      </c>
      <c r="P173" s="58" t="str">
        <f t="shared" si="14"/>
        <v>Jason Williams</v>
      </c>
      <c r="Q173" s="58" t="str">
        <f>IFERROR(_xlfn.TEXTAFTER(_xlfn.XLOOKUP(A173,Collection!A:A,Collection!C:C,),"Cards "),C173)</f>
        <v>1998 Collectors Edge Impulse</v>
      </c>
      <c r="R173" s="58" t="str">
        <f t="shared" si="15"/>
        <v>All American</v>
      </c>
      <c r="S173" s="58" t="str">
        <f>IFERROR(_xlfn.TEXTAFTER(_xlfn.XLOOKUP(A173,Collection!A:A,Collection!B:B,),"#"),"")</f>
        <v>37</v>
      </c>
      <c r="T173" s="60">
        <f t="shared" si="16"/>
        <v>1.6</v>
      </c>
      <c r="U173" s="54" t="s">
        <v>1580</v>
      </c>
      <c r="V173" s="58" t="str">
        <f>IF(ISNUMBER(MATCH(N173,Catalog!$B$4:$B$16, 0)), "Keep", "For Sale")</f>
        <v>For Sale</v>
      </c>
      <c r="W173" s="58">
        <f t="shared" si="17"/>
        <v>1</v>
      </c>
      <c r="X173" s="58">
        <f t="shared" si="18"/>
        <v>2</v>
      </c>
      <c r="Y173" s="60">
        <f t="shared" si="19"/>
        <v>2</v>
      </c>
      <c r="Z173" s="60">
        <f t="shared" si="20"/>
        <v>1.5</v>
      </c>
      <c r="AE173"/>
      <c r="AF173"/>
      <c r="AG173"/>
      <c r="AH173"/>
    </row>
    <row r="174" spans="1:36" ht="14.4" x14ac:dyDescent="0.3">
      <c r="A174" s="13">
        <v>4476384</v>
      </c>
      <c r="B174" s="13" t="s">
        <v>1323</v>
      </c>
      <c r="C174" s="13" t="s">
        <v>1324</v>
      </c>
      <c r="D174" s="13">
        <v>153</v>
      </c>
      <c r="E174" s="13" t="s">
        <v>171</v>
      </c>
      <c r="F174" s="13" t="s">
        <v>172</v>
      </c>
      <c r="I174" s="13">
        <v>0</v>
      </c>
      <c r="J174" s="13">
        <v>1</v>
      </c>
      <c r="K174" s="14">
        <v>46173</v>
      </c>
      <c r="N174" s="13">
        <v>409</v>
      </c>
      <c r="P174" s="58" t="str">
        <f t="shared" si="14"/>
        <v>jason williams</v>
      </c>
      <c r="Q174" s="58" t="str">
        <f>IFERROR(_xlfn.TEXTAFTER(_xlfn.XLOOKUP(A174,Collection!A:A,Collection!C:C,),"Cards "),C174)</f>
        <v>1999 Topps</v>
      </c>
      <c r="R174" s="58" t="str">
        <f t="shared" si="15"/>
        <v>-</v>
      </c>
      <c r="S174" s="58" t="str">
        <f>IFERROR(_xlfn.TEXTAFTER(_xlfn.XLOOKUP(A174,Collection!A:A,Collection!B:B,),"#"),"")</f>
        <v>61</v>
      </c>
      <c r="T174" s="60">
        <f t="shared" si="16"/>
        <v>1.53</v>
      </c>
      <c r="U174" s="54" t="s">
        <v>1702</v>
      </c>
      <c r="V174" s="58" t="str">
        <f>IF(ISNUMBER(MATCH(N174,Catalog!$B$4:$B$16, 0)), "Keep", "For Sale")</f>
        <v>For Sale</v>
      </c>
      <c r="W174" s="58">
        <f t="shared" si="17"/>
        <v>1</v>
      </c>
      <c r="X174" s="58">
        <f t="shared" si="18"/>
        <v>2</v>
      </c>
      <c r="Y174" s="60">
        <f t="shared" si="19"/>
        <v>2</v>
      </c>
      <c r="Z174" s="60">
        <f t="shared" si="20"/>
        <v>1.5</v>
      </c>
      <c r="AE174"/>
      <c r="AF174"/>
      <c r="AG174"/>
      <c r="AH174"/>
    </row>
    <row r="175" spans="1:36" ht="14.4" x14ac:dyDescent="0.3">
      <c r="A175" s="13">
        <v>5923661</v>
      </c>
      <c r="B175" s="13" t="s">
        <v>403</v>
      </c>
      <c r="C175" s="13" t="s">
        <v>404</v>
      </c>
      <c r="D175" s="13">
        <v>152</v>
      </c>
      <c r="E175" s="13" t="s">
        <v>171</v>
      </c>
      <c r="F175" s="13" t="s">
        <v>172</v>
      </c>
      <c r="I175" s="13">
        <v>31</v>
      </c>
      <c r="J175" s="13">
        <v>1</v>
      </c>
      <c r="K175" s="14">
        <v>46148</v>
      </c>
      <c r="L175" s="14">
        <v>46130</v>
      </c>
      <c r="N175" s="13">
        <v>391</v>
      </c>
      <c r="P175" s="58" t="str">
        <f t="shared" si="14"/>
        <v>Jason Williams</v>
      </c>
      <c r="Q175" s="58" t="str">
        <f>IFERROR(_xlfn.TEXTAFTER(_xlfn.XLOOKUP(A175,Collection!A:A,Collection!C:C,),"Cards "),C175)</f>
        <v>1999 Metal</v>
      </c>
      <c r="R175" s="58" t="str">
        <f t="shared" si="15"/>
        <v>-</v>
      </c>
      <c r="S175" s="58" t="str">
        <f>IFERROR(_xlfn.TEXTAFTER(_xlfn.XLOOKUP(A175,Collection!A:A,Collection!B:B,),"#"),"")</f>
        <v>121</v>
      </c>
      <c r="T175" s="60">
        <f t="shared" si="16"/>
        <v>1.52</v>
      </c>
      <c r="U175" s="54" t="s">
        <v>1580</v>
      </c>
      <c r="V175" s="58" t="str">
        <f>IF(ISNUMBER(MATCH(N175,Catalog!$B$4:$B$16, 0)), "Keep", "For Sale")</f>
        <v>For Sale</v>
      </c>
      <c r="W175" s="58">
        <f t="shared" si="17"/>
        <v>2</v>
      </c>
      <c r="X175" s="58">
        <f t="shared" si="18"/>
        <v>2</v>
      </c>
      <c r="Y175" s="60">
        <f t="shared" si="19"/>
        <v>2</v>
      </c>
      <c r="Z175" s="60">
        <f t="shared" si="20"/>
        <v>0.25</v>
      </c>
      <c r="AE175"/>
      <c r="AF175"/>
      <c r="AG175"/>
      <c r="AH175"/>
    </row>
    <row r="176" spans="1:36" ht="14.4" x14ac:dyDescent="0.3">
      <c r="A176" s="13">
        <v>5923661</v>
      </c>
      <c r="B176" s="13" t="s">
        <v>403</v>
      </c>
      <c r="C176" s="13" t="s">
        <v>404</v>
      </c>
      <c r="D176" s="13">
        <v>152</v>
      </c>
      <c r="E176" s="13" t="s">
        <v>171</v>
      </c>
      <c r="F176" s="13" t="s">
        <v>172</v>
      </c>
      <c r="I176" s="13">
        <v>0</v>
      </c>
      <c r="J176" s="13">
        <v>1</v>
      </c>
      <c r="K176" s="14">
        <v>46173</v>
      </c>
      <c r="N176" s="13">
        <v>392</v>
      </c>
      <c r="P176" s="58" t="str">
        <f t="shared" si="14"/>
        <v>Jason Williams</v>
      </c>
      <c r="Q176" s="58" t="str">
        <f>IFERROR(_xlfn.TEXTAFTER(_xlfn.XLOOKUP(A176,Collection!A:A,Collection!C:C,),"Cards "),C176)</f>
        <v>1999 Metal</v>
      </c>
      <c r="R176" s="58" t="str">
        <f t="shared" si="15"/>
        <v>-</v>
      </c>
      <c r="S176" s="58" t="str">
        <f>IFERROR(_xlfn.TEXTAFTER(_xlfn.XLOOKUP(A176,Collection!A:A,Collection!B:B,),"#"),"")</f>
        <v>121</v>
      </c>
      <c r="T176" s="60">
        <f t="shared" si="16"/>
        <v>1.52</v>
      </c>
      <c r="U176" s="54" t="s">
        <v>1580</v>
      </c>
      <c r="V176" s="58" t="str">
        <f>IF(ISNUMBER(MATCH(N176,Catalog!$B$4:$B$16, 0)), "Keep", "For Sale")</f>
        <v>For Sale</v>
      </c>
      <c r="W176" s="58">
        <f t="shared" si="17"/>
        <v>2</v>
      </c>
      <c r="X176" s="58">
        <f t="shared" si="18"/>
        <v>2</v>
      </c>
      <c r="Y176" s="60">
        <f t="shared" si="19"/>
        <v>2</v>
      </c>
      <c r="Z176" s="60">
        <f t="shared" si="20"/>
        <v>1.25</v>
      </c>
      <c r="AE176"/>
      <c r="AF176"/>
      <c r="AG176"/>
    </row>
    <row r="177" spans="1:33" ht="14.4" x14ac:dyDescent="0.3">
      <c r="A177" s="13">
        <v>10597513</v>
      </c>
      <c r="B177" s="13" t="s">
        <v>1187</v>
      </c>
      <c r="C177" s="13" t="s">
        <v>1188</v>
      </c>
      <c r="D177" s="13">
        <v>127</v>
      </c>
      <c r="E177" s="13" t="s">
        <v>171</v>
      </c>
      <c r="F177" s="13" t="s">
        <v>172</v>
      </c>
      <c r="I177" s="13">
        <v>0</v>
      </c>
      <c r="J177" s="13">
        <v>1</v>
      </c>
      <c r="K177" s="14">
        <v>46173</v>
      </c>
      <c r="N177" s="13">
        <v>482</v>
      </c>
      <c r="P177" s="58" t="str">
        <f t="shared" si="14"/>
        <v>Jason Williams</v>
      </c>
      <c r="Q177" s="58" t="str">
        <f>IFERROR(_xlfn.TEXTAFTER(_xlfn.XLOOKUP(A177,Collection!A:A,Collection!C:C,),"Cards "),C177)</f>
        <v>2000 Upper Deck True Talents</v>
      </c>
      <c r="R177" s="58" t="str">
        <f t="shared" si="15"/>
        <v>-</v>
      </c>
      <c r="S177" s="58" t="str">
        <f>IFERROR(_xlfn.TEXTAFTER(_xlfn.XLOOKUP(A177,Collection!A:A,Collection!B:B,),"#"),"")</f>
        <v>TT11</v>
      </c>
      <c r="T177" s="60">
        <f t="shared" si="16"/>
        <v>1.27</v>
      </c>
      <c r="U177" s="54" t="s">
        <v>1580</v>
      </c>
      <c r="V177" s="58" t="str">
        <f>IF(ISNUMBER(MATCH(N177,Catalog!$B$4:$B$16, 0)), "Keep", "For Sale")</f>
        <v>For Sale</v>
      </c>
      <c r="W177" s="58">
        <f t="shared" si="17"/>
        <v>1</v>
      </c>
      <c r="X177" s="58">
        <f t="shared" si="18"/>
        <v>2</v>
      </c>
      <c r="Y177" s="60">
        <f t="shared" si="19"/>
        <v>1.5</v>
      </c>
      <c r="Z177" s="60">
        <f t="shared" si="20"/>
        <v>1.25</v>
      </c>
      <c r="AE177"/>
      <c r="AF177"/>
      <c r="AG177"/>
    </row>
    <row r="178" spans="1:33" ht="14.4" x14ac:dyDescent="0.3">
      <c r="A178" s="13">
        <v>7211541</v>
      </c>
      <c r="B178" s="13" t="s">
        <v>1274</v>
      </c>
      <c r="C178" s="13" t="s">
        <v>1275</v>
      </c>
      <c r="D178" s="13">
        <v>123</v>
      </c>
      <c r="E178" s="13" t="s">
        <v>171</v>
      </c>
      <c r="F178" s="13" t="s">
        <v>172</v>
      </c>
      <c r="I178" s="13">
        <v>0</v>
      </c>
      <c r="J178" s="13">
        <v>1</v>
      </c>
      <c r="K178" s="14">
        <v>46173</v>
      </c>
      <c r="N178" s="13">
        <v>487</v>
      </c>
      <c r="P178" s="58" t="str">
        <f t="shared" si="14"/>
        <v>Jason Williams</v>
      </c>
      <c r="Q178" s="58" t="str">
        <f>IFERROR(_xlfn.TEXTAFTER(_xlfn.XLOOKUP(A178,Collection!A:A,Collection!C:C,),"Cards "),C178)</f>
        <v>1999 Upper Deck</v>
      </c>
      <c r="R178" s="58" t="str">
        <f t="shared" si="15"/>
        <v>-</v>
      </c>
      <c r="S178" s="58" t="str">
        <f>IFERROR(_xlfn.TEXTAFTER(_xlfn.XLOOKUP(A178,Collection!A:A,Collection!B:B,),"#"),"")</f>
        <v>101</v>
      </c>
      <c r="T178" s="60">
        <f t="shared" si="16"/>
        <v>1.23</v>
      </c>
      <c r="U178" s="54" t="s">
        <v>1580</v>
      </c>
      <c r="V178" s="58" t="str">
        <f>IF(ISNUMBER(MATCH(N178,Catalog!$B$4:$B$16, 0)), "Keep", "For Sale")</f>
        <v>For Sale</v>
      </c>
      <c r="W178" s="58">
        <f t="shared" si="17"/>
        <v>1</v>
      </c>
      <c r="X178" s="58">
        <f t="shared" si="18"/>
        <v>2</v>
      </c>
      <c r="Y178" s="60">
        <f t="shared" si="19"/>
        <v>1.25</v>
      </c>
      <c r="Z178" s="60">
        <f t="shared" si="20"/>
        <v>1</v>
      </c>
      <c r="AE178"/>
      <c r="AF178"/>
      <c r="AG178"/>
    </row>
    <row r="179" spans="1:33" ht="14.4" x14ac:dyDescent="0.3">
      <c r="A179" s="13">
        <v>8326198</v>
      </c>
      <c r="B179" s="13" t="s">
        <v>1276</v>
      </c>
      <c r="C179" s="13" t="s">
        <v>1277</v>
      </c>
      <c r="D179" s="13">
        <v>119</v>
      </c>
      <c r="E179" s="13" t="s">
        <v>171</v>
      </c>
      <c r="F179" s="13" t="s">
        <v>172</v>
      </c>
      <c r="I179" s="13">
        <v>0</v>
      </c>
      <c r="J179" s="13">
        <v>1</v>
      </c>
      <c r="K179" s="14">
        <v>46173</v>
      </c>
      <c r="N179" s="13">
        <v>473</v>
      </c>
      <c r="P179" s="58" t="str">
        <f t="shared" si="14"/>
        <v>Jason Williams</v>
      </c>
      <c r="Q179" s="58" t="str">
        <f>IFERROR(_xlfn.TEXTAFTER(_xlfn.XLOOKUP(A179,Collection!A:A,Collection!C:C,),"Cards "),C179)</f>
        <v>1999 Finest</v>
      </c>
      <c r="R179" s="58" t="str">
        <f t="shared" si="15"/>
        <v>-</v>
      </c>
      <c r="S179" s="58" t="str">
        <f>IFERROR(_xlfn.TEXTAFTER(_xlfn.XLOOKUP(A179,Collection!A:A,Collection!B:B,),"#"),"")</f>
        <v>214</v>
      </c>
      <c r="T179" s="60">
        <f t="shared" si="16"/>
        <v>1.19</v>
      </c>
      <c r="U179" s="54" t="s">
        <v>1580</v>
      </c>
      <c r="V179" s="58" t="str">
        <f>IF(ISNUMBER(MATCH(N179,Catalog!$B$4:$B$16, 0)), "Keep", "For Sale")</f>
        <v>For Sale</v>
      </c>
      <c r="W179" s="58">
        <f t="shared" si="17"/>
        <v>1</v>
      </c>
      <c r="X179" s="58">
        <f t="shared" si="18"/>
        <v>2</v>
      </c>
      <c r="Y179" s="60">
        <f t="shared" si="19"/>
        <v>1.25</v>
      </c>
      <c r="Z179" s="60">
        <f t="shared" si="20"/>
        <v>1</v>
      </c>
      <c r="AE179"/>
      <c r="AF179"/>
      <c r="AG179"/>
    </row>
    <row r="180" spans="1:33" ht="14.4" x14ac:dyDescent="0.3">
      <c r="A180" s="13">
        <v>12757105</v>
      </c>
      <c r="B180" s="13" t="s">
        <v>1221</v>
      </c>
      <c r="C180" s="13" t="s">
        <v>1222</v>
      </c>
      <c r="D180" s="13">
        <v>0</v>
      </c>
      <c r="E180" s="13" t="s">
        <v>171</v>
      </c>
      <c r="F180" s="13" t="s">
        <v>172</v>
      </c>
      <c r="I180" s="13">
        <v>0</v>
      </c>
      <c r="J180" s="13">
        <v>1</v>
      </c>
      <c r="K180" s="14">
        <v>46173</v>
      </c>
      <c r="N180" s="13">
        <v>602</v>
      </c>
      <c r="P180" s="58" t="str">
        <f t="shared" si="14"/>
        <v>Jason Williams</v>
      </c>
      <c r="Q180" s="58" t="str">
        <f>IFERROR(_xlfn.TEXTAFTER(_xlfn.XLOOKUP(A180,Collection!A:A,Collection!C:C,),"Cards "),C180)</f>
        <v>2000 Fleer E-X</v>
      </c>
      <c r="R180" s="58" t="str">
        <f t="shared" si="15"/>
        <v>-</v>
      </c>
      <c r="S180" s="58" t="str">
        <f>IFERROR(_xlfn.TEXTAFTER(_xlfn.XLOOKUP(A180,Collection!A:A,Collection!B:B,),"#"),"")</f>
        <v>77</v>
      </c>
      <c r="T180" s="60">
        <f t="shared" si="16"/>
        <v>0</v>
      </c>
      <c r="U180" s="54" t="s">
        <v>1580</v>
      </c>
      <c r="V180" s="58" t="str">
        <f>IF(ISNUMBER(MATCH(N180,Catalog!$B$4:$B$16, 0)), "Keep", "For Sale")</f>
        <v>For Sale</v>
      </c>
      <c r="W180" s="58">
        <f t="shared" si="17"/>
        <v>1</v>
      </c>
      <c r="X180" s="58">
        <f t="shared" si="18"/>
        <v>2</v>
      </c>
      <c r="Y180" s="60">
        <f t="shared" si="19"/>
        <v>0.25</v>
      </c>
      <c r="Z180" s="60">
        <f t="shared" si="20"/>
        <v>0.25</v>
      </c>
      <c r="AE180"/>
      <c r="AF180"/>
      <c r="AG180"/>
    </row>
    <row r="181" spans="1:33" ht="14.4" x14ac:dyDescent="0.3">
      <c r="A181" s="13">
        <v>1943272</v>
      </c>
      <c r="B181" s="13" t="s">
        <v>594</v>
      </c>
      <c r="C181" s="13" t="s">
        <v>595</v>
      </c>
      <c r="D181" s="13">
        <v>1072</v>
      </c>
      <c r="E181" s="13" t="s">
        <v>171</v>
      </c>
      <c r="F181" s="13" t="s">
        <v>172</v>
      </c>
      <c r="I181" s="13">
        <v>0</v>
      </c>
      <c r="J181" s="13">
        <v>1</v>
      </c>
      <c r="K181" s="14">
        <v>46129</v>
      </c>
      <c r="N181" s="13">
        <v>43</v>
      </c>
      <c r="P181" s="58" t="str">
        <f t="shared" si="14"/>
        <v>Ken Griffey Jr.</v>
      </c>
      <c r="Q181" s="58" t="str">
        <f>IFERROR(_xlfn.TEXTAFTER(_xlfn.XLOOKUP(A181,Collection!A:A,Collection!C:C,),"Cards "),C181)</f>
        <v>1990 Topps Tiffany</v>
      </c>
      <c r="R181" s="58" t="str">
        <f t="shared" si="15"/>
        <v>-</v>
      </c>
      <c r="S181" s="58" t="str">
        <f>IFERROR(_xlfn.TEXTAFTER(_xlfn.XLOOKUP(A181,Collection!A:A,Collection!B:B,),"#"),"")</f>
        <v>336</v>
      </c>
      <c r="T181" s="60">
        <f t="shared" si="16"/>
        <v>10.72</v>
      </c>
      <c r="U181" s="54" t="s">
        <v>1636</v>
      </c>
      <c r="V181" s="58" t="str">
        <f>IF(ISNUMBER(MATCH(N181,Catalog!$B$4:$B$16, 0)), "Keep", "For Sale")</f>
        <v>For Sale</v>
      </c>
      <c r="W181" s="58">
        <f t="shared" si="17"/>
        <v>1</v>
      </c>
      <c r="X181" s="58">
        <f t="shared" si="18"/>
        <v>2</v>
      </c>
      <c r="Y181" s="60">
        <f t="shared" si="19"/>
        <v>13</v>
      </c>
      <c r="Z181" s="60">
        <f t="shared" si="20"/>
        <v>11</v>
      </c>
      <c r="AE181"/>
      <c r="AF181"/>
      <c r="AG181"/>
    </row>
    <row r="182" spans="1:33" ht="14.4" x14ac:dyDescent="0.3">
      <c r="A182" s="13">
        <v>1958261</v>
      </c>
      <c r="B182" s="13" t="s">
        <v>592</v>
      </c>
      <c r="C182" s="13" t="s">
        <v>593</v>
      </c>
      <c r="D182" s="13">
        <v>160</v>
      </c>
      <c r="E182" s="13" t="s">
        <v>171</v>
      </c>
      <c r="F182" s="13" t="s">
        <v>172</v>
      </c>
      <c r="I182" s="13">
        <v>0</v>
      </c>
      <c r="J182" s="13">
        <v>1</v>
      </c>
      <c r="K182" s="14">
        <v>46129</v>
      </c>
      <c r="N182" s="13">
        <v>373</v>
      </c>
      <c r="P182" s="58" t="str">
        <f t="shared" si="14"/>
        <v>Ken Griffey Jr.</v>
      </c>
      <c r="Q182" s="58" t="str">
        <f>IFERROR(_xlfn.TEXTAFTER(_xlfn.XLOOKUP(A182,Collection!A:A,Collection!C:C,),"Cards "),C182)</f>
        <v>1992 Upper Deck</v>
      </c>
      <c r="R182" s="58" t="str">
        <f t="shared" si="15"/>
        <v>-</v>
      </c>
      <c r="S182" s="58" t="str">
        <f>IFERROR(_xlfn.TEXTAFTER(_xlfn.XLOOKUP(A182,Collection!A:A,Collection!B:B,),"#"),"")</f>
        <v>424</v>
      </c>
      <c r="T182" s="60">
        <f t="shared" si="16"/>
        <v>1.6</v>
      </c>
      <c r="U182" s="54" t="s">
        <v>1636</v>
      </c>
      <c r="V182" s="58" t="str">
        <f>IF(ISNUMBER(MATCH(N182,Catalog!$B$4:$B$16, 0)), "Keep", "For Sale")</f>
        <v>For Sale</v>
      </c>
      <c r="W182" s="58">
        <f t="shared" si="17"/>
        <v>1</v>
      </c>
      <c r="X182" s="58">
        <f t="shared" si="18"/>
        <v>2</v>
      </c>
      <c r="Y182" s="60">
        <f t="shared" si="19"/>
        <v>2</v>
      </c>
      <c r="Z182" s="60">
        <f t="shared" si="20"/>
        <v>1.5</v>
      </c>
      <c r="AE182"/>
      <c r="AF182"/>
      <c r="AG182"/>
    </row>
    <row r="183" spans="1:33" ht="14.4" x14ac:dyDescent="0.3">
      <c r="A183" s="13">
        <v>76305</v>
      </c>
      <c r="B183" s="13" t="s">
        <v>264</v>
      </c>
      <c r="C183" s="13" t="s">
        <v>241</v>
      </c>
      <c r="D183" s="13">
        <v>865</v>
      </c>
      <c r="E183" s="13" t="s">
        <v>171</v>
      </c>
      <c r="F183" s="13" t="s">
        <v>172</v>
      </c>
      <c r="I183" s="13">
        <v>0</v>
      </c>
      <c r="J183" s="13">
        <v>1</v>
      </c>
      <c r="K183" s="14">
        <v>46127</v>
      </c>
      <c r="N183" s="13">
        <v>41</v>
      </c>
      <c r="P183" s="58" t="str">
        <f t="shared" si="14"/>
        <v>Mark Jackson</v>
      </c>
      <c r="Q183" s="58" t="str">
        <f>IFERROR(_xlfn.TEXTAFTER(_xlfn.XLOOKUP(A183,Collection!A:A,Collection!C:C,),"Cards "),C183)</f>
        <v>1990 Hoops</v>
      </c>
      <c r="R183" s="58" t="str">
        <f t="shared" si="15"/>
        <v>-</v>
      </c>
      <c r="S183" s="58" t="str">
        <f>IFERROR(_xlfn.TEXTAFTER(_xlfn.XLOOKUP(A183,Collection!A:A,Collection!B:B,),"#"),"")</f>
        <v>205</v>
      </c>
      <c r="T183" s="60">
        <f t="shared" si="16"/>
        <v>8.65</v>
      </c>
      <c r="U183" s="54" t="s">
        <v>1626</v>
      </c>
      <c r="V183" s="58" t="str">
        <f>IF(ISNUMBER(MATCH(N183,Catalog!$B$4:$B$16, 0)), "Keep", "For Sale")</f>
        <v>For Sale</v>
      </c>
      <c r="W183" s="58">
        <f t="shared" si="17"/>
        <v>1</v>
      </c>
      <c r="X183" s="58">
        <f t="shared" si="18"/>
        <v>2</v>
      </c>
      <c r="Y183" s="60">
        <f t="shared" si="19"/>
        <v>10</v>
      </c>
      <c r="Z183" s="60">
        <f t="shared" si="20"/>
        <v>9</v>
      </c>
      <c r="AE183"/>
      <c r="AF183"/>
      <c r="AG183"/>
    </row>
    <row r="184" spans="1:33" ht="14.4" x14ac:dyDescent="0.3">
      <c r="A184" s="13">
        <v>95721</v>
      </c>
      <c r="B184" s="13" t="s">
        <v>1239</v>
      </c>
      <c r="C184" s="13" t="s">
        <v>607</v>
      </c>
      <c r="D184" s="13">
        <v>1952</v>
      </c>
      <c r="E184" s="13" t="s">
        <v>445</v>
      </c>
      <c r="F184" s="13" t="s">
        <v>172</v>
      </c>
      <c r="H184" s="13" t="s">
        <v>608</v>
      </c>
      <c r="I184" s="13">
        <v>1677</v>
      </c>
      <c r="J184" s="13">
        <v>1</v>
      </c>
      <c r="K184" s="14">
        <v>46154</v>
      </c>
      <c r="L184" s="14">
        <v>46148</v>
      </c>
      <c r="M184" s="13" t="s">
        <v>446</v>
      </c>
      <c r="N184" s="13">
        <v>51082129</v>
      </c>
      <c r="P184" s="58" t="str">
        <f t="shared" si="14"/>
        <v>Nikola Jokic</v>
      </c>
      <c r="Q184" s="58" t="str">
        <f>IFERROR(_xlfn.TEXTAFTER(_xlfn.XLOOKUP(A184,Collection!A:A,Collection!C:C,),"Cards "),C184)</f>
        <v>2019 Panini Prizm</v>
      </c>
      <c r="R184" s="58" t="str">
        <f t="shared" si="15"/>
        <v>Ruby Wave Prizm</v>
      </c>
      <c r="S184" s="58" t="str">
        <f>IFERROR(_xlfn.TEXTAFTER(_xlfn.XLOOKUP(A184,Collection!A:A,Collection!B:B,),"#"),"")</f>
        <v>84</v>
      </c>
      <c r="T184" s="60">
        <f t="shared" si="16"/>
        <v>19.52</v>
      </c>
      <c r="U184" s="54" t="s">
        <v>1615</v>
      </c>
      <c r="V184" s="58" t="str">
        <f>IF(ISNUMBER(MATCH(N184,Catalog!$B$4:$B$16, 0)), "Keep", "For Sale")</f>
        <v>For Sale</v>
      </c>
      <c r="W184" s="58">
        <f t="shared" si="17"/>
        <v>1</v>
      </c>
      <c r="X184" s="58">
        <f t="shared" si="18"/>
        <v>2</v>
      </c>
      <c r="Y184" s="60">
        <f t="shared" si="19"/>
        <v>23</v>
      </c>
      <c r="Z184" s="60">
        <f t="shared" si="20"/>
        <v>17</v>
      </c>
      <c r="AE184"/>
      <c r="AF184"/>
      <c r="AG184"/>
    </row>
    <row r="185" spans="1:33" ht="14.4" x14ac:dyDescent="0.3">
      <c r="A185" s="13">
        <v>8388520</v>
      </c>
      <c r="B185" s="13" t="s">
        <v>637</v>
      </c>
      <c r="C185" s="13" t="s">
        <v>614</v>
      </c>
      <c r="D185" s="13">
        <v>580</v>
      </c>
      <c r="E185" s="13" t="s">
        <v>171</v>
      </c>
      <c r="F185" s="13" t="s">
        <v>172</v>
      </c>
      <c r="H185" s="13" t="s">
        <v>638</v>
      </c>
      <c r="I185" s="13">
        <v>302</v>
      </c>
      <c r="J185" s="13">
        <v>1</v>
      </c>
      <c r="K185" s="14">
        <v>46154</v>
      </c>
      <c r="L185" s="14">
        <v>46154</v>
      </c>
      <c r="N185" s="13">
        <v>50</v>
      </c>
      <c r="P185" s="58" t="str">
        <f t="shared" si="14"/>
        <v>Nikola Jokic</v>
      </c>
      <c r="Q185" s="58" t="str">
        <f>IFERROR(_xlfn.TEXTAFTER(_xlfn.XLOOKUP(A185,Collection!A:A,Collection!C:C,),"Cards "),C185)</f>
        <v>2024 Panini NBA Hoops</v>
      </c>
      <c r="R185" s="58" t="str">
        <f t="shared" si="15"/>
        <v>Silver</v>
      </c>
      <c r="S185" s="58" t="str">
        <f>IFERROR(_xlfn.TEXTAFTER(_xlfn.XLOOKUP(A185,Collection!A:A,Collection!B:B,),"#"),"")</f>
        <v>12</v>
      </c>
      <c r="T185" s="60">
        <f t="shared" si="16"/>
        <v>5.8</v>
      </c>
      <c r="U185" s="54" t="s">
        <v>1615</v>
      </c>
      <c r="V185" s="58" t="str">
        <f>IF(ISNUMBER(MATCH(N185,Catalog!$B$4:$B$16, 0)), "Keep", "For Sale")</f>
        <v>For Sale</v>
      </c>
      <c r="W185" s="58">
        <f t="shared" si="17"/>
        <v>1</v>
      </c>
      <c r="X185" s="58">
        <f t="shared" si="18"/>
        <v>2</v>
      </c>
      <c r="Y185" s="60">
        <f t="shared" si="19"/>
        <v>7</v>
      </c>
      <c r="Z185" s="60">
        <f t="shared" si="20"/>
        <v>3</v>
      </c>
      <c r="AE185"/>
      <c r="AF185"/>
      <c r="AG185"/>
    </row>
    <row r="186" spans="1:33" ht="14.4" x14ac:dyDescent="0.3">
      <c r="A186" s="13">
        <v>112623</v>
      </c>
      <c r="B186" s="13" t="s">
        <v>994</v>
      </c>
      <c r="C186" s="13" t="s">
        <v>948</v>
      </c>
      <c r="D186" s="13">
        <v>399</v>
      </c>
      <c r="E186" s="13" t="s">
        <v>171</v>
      </c>
      <c r="F186" s="13" t="s">
        <v>172</v>
      </c>
      <c r="H186" s="13" t="s">
        <v>995</v>
      </c>
      <c r="I186" s="13">
        <v>157</v>
      </c>
      <c r="J186" s="13">
        <v>1</v>
      </c>
      <c r="K186" s="14">
        <v>46164</v>
      </c>
      <c r="L186" s="14">
        <v>46161</v>
      </c>
      <c r="N186" s="13">
        <v>141</v>
      </c>
      <c r="P186" s="58" t="str">
        <f t="shared" si="14"/>
        <v>Nikola Jokic</v>
      </c>
      <c r="Q186" s="58" t="str">
        <f>IFERROR(_xlfn.TEXTAFTER(_xlfn.XLOOKUP(A186,Collection!A:A,Collection!C:C,),"Cards "),C186)</f>
        <v>2018 Panini Prizm</v>
      </c>
      <c r="R186" s="58" t="str">
        <f t="shared" si="15"/>
        <v>Silver Prizm</v>
      </c>
      <c r="S186" s="58" t="str">
        <f>IFERROR(_xlfn.TEXTAFTER(_xlfn.XLOOKUP(A186,Collection!A:A,Collection!B:B,),"#"),"")</f>
        <v>92</v>
      </c>
      <c r="T186" s="60">
        <f t="shared" si="16"/>
        <v>3.99</v>
      </c>
      <c r="U186" s="54" t="s">
        <v>1615</v>
      </c>
      <c r="V186" s="58" t="str">
        <f>IF(ISNUMBER(MATCH(N186,Catalog!$B$4:$B$16, 0)), "Keep", "For Sale")</f>
        <v>For Sale</v>
      </c>
      <c r="W186" s="58">
        <f t="shared" si="17"/>
        <v>1</v>
      </c>
      <c r="X186" s="58">
        <f t="shared" si="18"/>
        <v>2</v>
      </c>
      <c r="Y186" s="60">
        <f t="shared" si="19"/>
        <v>5</v>
      </c>
      <c r="Z186" s="60">
        <f t="shared" si="20"/>
        <v>1.5</v>
      </c>
      <c r="AE186"/>
      <c r="AF186"/>
      <c r="AG186"/>
    </row>
    <row r="187" spans="1:33" ht="14.4" x14ac:dyDescent="0.3">
      <c r="A187" s="13">
        <v>2892569</v>
      </c>
      <c r="B187" s="13" t="s">
        <v>940</v>
      </c>
      <c r="C187" s="13" t="s">
        <v>623</v>
      </c>
      <c r="D187" s="13">
        <v>300</v>
      </c>
      <c r="E187" s="13" t="s">
        <v>171</v>
      </c>
      <c r="F187" s="13" t="s">
        <v>172</v>
      </c>
      <c r="H187" s="13" t="s">
        <v>556</v>
      </c>
      <c r="I187" s="13">
        <v>297</v>
      </c>
      <c r="J187" s="13">
        <v>1</v>
      </c>
      <c r="K187" s="14">
        <v>46156</v>
      </c>
      <c r="L187" s="14">
        <v>46150</v>
      </c>
      <c r="N187" s="13">
        <v>177</v>
      </c>
      <c r="P187" s="58" t="str">
        <f t="shared" si="14"/>
        <v>Nikola Jokic</v>
      </c>
      <c r="Q187" s="58" t="str">
        <f>IFERROR(_xlfn.TEXTAFTER(_xlfn.XLOOKUP(A187,Collection!A:A,Collection!C:C,),"Cards "),C187)</f>
        <v>2019 Panini Hoops Lights Camera Action</v>
      </c>
      <c r="R187" s="58" t="str">
        <f t="shared" si="15"/>
        <v>Holo</v>
      </c>
      <c r="S187" s="58" t="str">
        <f>IFERROR(_xlfn.TEXTAFTER(_xlfn.XLOOKUP(A187,Collection!A:A,Collection!B:B,),"#"),"")</f>
        <v>28</v>
      </c>
      <c r="T187" s="60">
        <f t="shared" si="16"/>
        <v>3</v>
      </c>
      <c r="U187" s="54" t="s">
        <v>1615</v>
      </c>
      <c r="V187" s="58" t="str">
        <f>IF(ISNUMBER(MATCH(N187,Catalog!$B$4:$B$16, 0)), "Keep", "For Sale")</f>
        <v>For Sale</v>
      </c>
      <c r="W187" s="58">
        <f t="shared" si="17"/>
        <v>1</v>
      </c>
      <c r="X187" s="58">
        <f t="shared" si="18"/>
        <v>2</v>
      </c>
      <c r="Y187" s="60">
        <f t="shared" si="19"/>
        <v>4</v>
      </c>
      <c r="Z187" s="60">
        <f t="shared" si="20"/>
        <v>3</v>
      </c>
      <c r="AE187"/>
      <c r="AF187"/>
      <c r="AG187"/>
    </row>
    <row r="188" spans="1:33" ht="14.4" x14ac:dyDescent="0.3">
      <c r="A188" s="13">
        <v>11829461</v>
      </c>
      <c r="B188" s="13" t="s">
        <v>634</v>
      </c>
      <c r="C188" s="13" t="s">
        <v>635</v>
      </c>
      <c r="D188" s="13">
        <v>249</v>
      </c>
      <c r="E188" s="13" t="s">
        <v>171</v>
      </c>
      <c r="F188" s="13" t="s">
        <v>172</v>
      </c>
      <c r="H188" s="13" t="s">
        <v>636</v>
      </c>
      <c r="I188" s="13">
        <v>934</v>
      </c>
      <c r="J188" s="13">
        <v>1</v>
      </c>
      <c r="K188" s="14">
        <v>46154</v>
      </c>
      <c r="L188" s="14">
        <v>46145</v>
      </c>
      <c r="N188" s="13">
        <v>208</v>
      </c>
      <c r="P188" s="58" t="str">
        <f t="shared" si="14"/>
        <v>Nikola Jokic</v>
      </c>
      <c r="Q188" s="58" t="str">
        <f>IFERROR(_xlfn.TEXTAFTER(_xlfn.XLOOKUP(A188,Collection!A:A,Collection!C:C,),"Cards "),C188)</f>
        <v>2025 Topps Match Attax</v>
      </c>
      <c r="R188" s="58" t="str">
        <f t="shared" si="15"/>
        <v>Blue</v>
      </c>
      <c r="S188" s="58" t="str">
        <f>IFERROR(_xlfn.TEXTAFTER(_xlfn.XLOOKUP(A188,Collection!A:A,Collection!B:B,),"#"),"")</f>
        <v>60</v>
      </c>
      <c r="T188" s="60">
        <f t="shared" si="16"/>
        <v>2.4900000000000002</v>
      </c>
      <c r="U188" s="54" t="s">
        <v>1615</v>
      </c>
      <c r="V188" s="58" t="str">
        <f>IF(ISNUMBER(MATCH(N188,Catalog!$B$4:$B$16, 0)), "Keep", "For Sale")</f>
        <v>For Sale</v>
      </c>
      <c r="W188" s="58">
        <f t="shared" si="17"/>
        <v>1</v>
      </c>
      <c r="X188" s="58">
        <f t="shared" si="18"/>
        <v>2</v>
      </c>
      <c r="Y188" s="60">
        <f t="shared" si="19"/>
        <v>11</v>
      </c>
      <c r="Z188" s="60">
        <f t="shared" si="20"/>
        <v>2.5</v>
      </c>
      <c r="AE188"/>
      <c r="AF188"/>
      <c r="AG188"/>
    </row>
    <row r="189" spans="1:33" ht="14.4" x14ac:dyDescent="0.3">
      <c r="A189" s="13">
        <v>6059248</v>
      </c>
      <c r="B189" s="13" t="s">
        <v>1767</v>
      </c>
      <c r="C189" s="13" t="s">
        <v>423</v>
      </c>
      <c r="D189" s="13">
        <v>151</v>
      </c>
      <c r="E189" s="13" t="s">
        <v>171</v>
      </c>
      <c r="F189" s="13" t="s">
        <v>172</v>
      </c>
      <c r="I189" s="13">
        <v>0</v>
      </c>
      <c r="J189" s="13">
        <v>1</v>
      </c>
      <c r="K189" s="14">
        <v>46186</v>
      </c>
      <c r="N189" s="13">
        <v>405</v>
      </c>
      <c r="P189" s="58" t="str">
        <f t="shared" si="14"/>
        <v>Nikola Jokic</v>
      </c>
      <c r="Q189" s="58" t="str">
        <f>IFERROR(_xlfn.TEXTAFTER(_xlfn.XLOOKUP(A189,Collection!A:A,Collection!C:C,),"Cards "),C189)</f>
        <v>2023 Panini Hoops</v>
      </c>
      <c r="R189" s="58" t="str">
        <f t="shared" si="15"/>
        <v>-</v>
      </c>
      <c r="S189" s="58" t="str">
        <f>IFERROR(_xlfn.TEXTAFTER(_xlfn.XLOOKUP(A189,Collection!A:A,Collection!B:B,),"#"),"")</f>
        <v>291</v>
      </c>
      <c r="T189" s="60">
        <f t="shared" si="16"/>
        <v>1.51</v>
      </c>
      <c r="U189" s="54" t="s">
        <v>1615</v>
      </c>
      <c r="V189" s="58" t="str">
        <f>IF(ISNUMBER(MATCH(N189,Catalog!$B$4:$B$16, 0)), "Keep", "For Sale")</f>
        <v>For Sale</v>
      </c>
      <c r="W189" s="58">
        <f t="shared" si="17"/>
        <v>1</v>
      </c>
      <c r="X189" s="58">
        <f t="shared" si="18"/>
        <v>2</v>
      </c>
      <c r="Y189" s="60">
        <f t="shared" si="19"/>
        <v>2</v>
      </c>
      <c r="Z189" s="60">
        <f t="shared" si="20"/>
        <v>1.5</v>
      </c>
      <c r="AE189"/>
      <c r="AF189"/>
      <c r="AG189"/>
    </row>
    <row r="190" spans="1:33" ht="14.4" x14ac:dyDescent="0.3">
      <c r="A190" s="13">
        <v>10190248</v>
      </c>
      <c r="B190" s="13" t="s">
        <v>400</v>
      </c>
      <c r="C190" s="13" t="s">
        <v>401</v>
      </c>
      <c r="D190" s="13">
        <v>147</v>
      </c>
      <c r="E190" s="13" t="s">
        <v>171</v>
      </c>
      <c r="F190" s="13" t="s">
        <v>172</v>
      </c>
      <c r="H190" s="13" t="s">
        <v>402</v>
      </c>
      <c r="I190" s="13">
        <v>252</v>
      </c>
      <c r="J190" s="13">
        <v>1</v>
      </c>
      <c r="K190" s="14">
        <v>46151</v>
      </c>
      <c r="L190" s="14">
        <v>46146</v>
      </c>
      <c r="N190" s="13">
        <v>443</v>
      </c>
      <c r="P190" s="58" t="str">
        <f t="shared" si="14"/>
        <v>Nikola Jokic</v>
      </c>
      <c r="Q190" s="58" t="str">
        <f>IFERROR(_xlfn.TEXTAFTER(_xlfn.XLOOKUP(A190,Collection!A:A,Collection!C:C,),"Cards "),C190)</f>
        <v>2024 Panini Donruss Optic</v>
      </c>
      <c r="R190" s="58" t="str">
        <f t="shared" si="15"/>
        <v>Hyper Pink</v>
      </c>
      <c r="S190" s="58" t="str">
        <f>IFERROR(_xlfn.TEXTAFTER(_xlfn.XLOOKUP(A190,Collection!A:A,Collection!B:B,),"#"),"")</f>
        <v>100</v>
      </c>
      <c r="T190" s="60">
        <f t="shared" si="16"/>
        <v>1.47</v>
      </c>
      <c r="U190" s="54" t="s">
        <v>1615</v>
      </c>
      <c r="V190" s="58" t="str">
        <f>IF(ISNUMBER(MATCH(N190,Catalog!$B$4:$B$16, 0)), "Keep", "For Sale")</f>
        <v>For Sale</v>
      </c>
      <c r="W190" s="58">
        <f t="shared" si="17"/>
        <v>1</v>
      </c>
      <c r="X190" s="58">
        <f t="shared" si="18"/>
        <v>2</v>
      </c>
      <c r="Y190" s="60">
        <f t="shared" si="19"/>
        <v>3</v>
      </c>
      <c r="Z190" s="60">
        <f t="shared" si="20"/>
        <v>1.25</v>
      </c>
      <c r="AE190"/>
      <c r="AF190"/>
      <c r="AG190"/>
    </row>
    <row r="191" spans="1:33" ht="14.4" x14ac:dyDescent="0.3">
      <c r="A191" s="13">
        <v>12643617</v>
      </c>
      <c r="B191" s="13" t="s">
        <v>626</v>
      </c>
      <c r="C191" s="13" t="s">
        <v>627</v>
      </c>
      <c r="D191" s="13">
        <v>125</v>
      </c>
      <c r="E191" s="13" t="s">
        <v>171</v>
      </c>
      <c r="F191" s="13" t="s">
        <v>172</v>
      </c>
      <c r="H191" s="13" t="s">
        <v>556</v>
      </c>
      <c r="I191" s="13">
        <v>297</v>
      </c>
      <c r="J191" s="13">
        <v>1</v>
      </c>
      <c r="K191" s="14">
        <v>46154</v>
      </c>
      <c r="L191" s="14">
        <v>46150</v>
      </c>
      <c r="N191" s="13">
        <v>455</v>
      </c>
      <c r="P191" s="58" t="str">
        <f t="shared" si="14"/>
        <v>Nikola Jokic</v>
      </c>
      <c r="Q191" s="58" t="str">
        <f>IFERROR(_xlfn.TEXTAFTER(_xlfn.XLOOKUP(A191,Collection!A:A,Collection!C:C,),"Cards "),C191)</f>
        <v>2025 Bowman Young Kings</v>
      </c>
      <c r="R191" s="58" t="str">
        <f t="shared" si="15"/>
        <v>-</v>
      </c>
      <c r="S191" s="58" t="str">
        <f>IFERROR(_xlfn.TEXTAFTER(_xlfn.XLOOKUP(A191,Collection!A:A,Collection!B:B,),"#"),"")</f>
        <v>YK-6</v>
      </c>
      <c r="T191" s="60">
        <f t="shared" si="16"/>
        <v>1.25</v>
      </c>
      <c r="U191" s="54" t="s">
        <v>1615</v>
      </c>
      <c r="V191" s="58" t="str">
        <f>IF(ISNUMBER(MATCH(N191,Catalog!$B$4:$B$16, 0)), "Keep", "For Sale")</f>
        <v>For Sale</v>
      </c>
      <c r="W191" s="58">
        <f t="shared" si="17"/>
        <v>1</v>
      </c>
      <c r="X191" s="58">
        <f t="shared" si="18"/>
        <v>2</v>
      </c>
      <c r="Y191" s="60">
        <f t="shared" si="19"/>
        <v>4</v>
      </c>
      <c r="Z191" s="60">
        <f t="shared" si="20"/>
        <v>1.25</v>
      </c>
      <c r="AE191"/>
      <c r="AF191"/>
      <c r="AG191"/>
    </row>
    <row r="192" spans="1:33" ht="14.4" x14ac:dyDescent="0.3">
      <c r="A192" s="13">
        <v>2535681</v>
      </c>
      <c r="B192" s="13" t="s">
        <v>1789</v>
      </c>
      <c r="C192" s="13" t="s">
        <v>1790</v>
      </c>
      <c r="D192" s="13">
        <v>111</v>
      </c>
      <c r="E192" s="13" t="s">
        <v>171</v>
      </c>
      <c r="F192" s="13" t="s">
        <v>172</v>
      </c>
      <c r="H192" s="13" t="s">
        <v>1791</v>
      </c>
      <c r="I192" s="13">
        <v>165</v>
      </c>
      <c r="J192" s="13">
        <v>1</v>
      </c>
      <c r="K192" s="14">
        <v>46191</v>
      </c>
      <c r="L192" s="14">
        <v>46182</v>
      </c>
      <c r="N192" s="13">
        <v>527</v>
      </c>
      <c r="P192" s="58" t="str">
        <f t="shared" si="14"/>
        <v>Nikola Jokic</v>
      </c>
      <c r="Q192" s="58" t="str">
        <f>IFERROR(_xlfn.TEXTAFTER(_xlfn.XLOOKUP(A192,Collection!A:A,Collection!C:C,),"Cards "),C192)</f>
        <v>2020 Panini Donruss Optic</v>
      </c>
      <c r="R192" s="58" t="str">
        <f t="shared" si="15"/>
        <v>Purple Shock</v>
      </c>
      <c r="S192" s="58" t="str">
        <f>IFERROR(_xlfn.TEXTAFTER(_xlfn.XLOOKUP(A192,Collection!A:A,Collection!B:B,),"#"),"")</f>
        <v>96</v>
      </c>
      <c r="T192" s="60">
        <f t="shared" si="16"/>
        <v>1.1100000000000001</v>
      </c>
      <c r="U192" s="54" t="s">
        <v>1615</v>
      </c>
      <c r="V192" s="58" t="str">
        <f>IF(ISNUMBER(MATCH(N192,Catalog!$B$4:$B$16, 0)), "Keep", "For Sale")</f>
        <v>For Sale</v>
      </c>
      <c r="W192" s="58">
        <f t="shared" si="17"/>
        <v>1</v>
      </c>
      <c r="X192" s="58">
        <f t="shared" si="18"/>
        <v>2</v>
      </c>
      <c r="Y192" s="60">
        <f t="shared" si="19"/>
        <v>2</v>
      </c>
      <c r="Z192" s="60">
        <f t="shared" si="20"/>
        <v>1</v>
      </c>
      <c r="AE192"/>
      <c r="AF192"/>
      <c r="AG192"/>
    </row>
    <row r="193" spans="1:33" ht="14.4" x14ac:dyDescent="0.3">
      <c r="A193" s="13">
        <v>11496915</v>
      </c>
      <c r="B193" s="13" t="s">
        <v>244</v>
      </c>
      <c r="C193" s="13" t="s">
        <v>245</v>
      </c>
      <c r="D193" s="13">
        <v>99</v>
      </c>
      <c r="E193" s="13" t="s">
        <v>171</v>
      </c>
      <c r="F193" s="13" t="s">
        <v>172</v>
      </c>
      <c r="H193" s="13" t="s">
        <v>246</v>
      </c>
      <c r="I193" s="13">
        <v>150</v>
      </c>
      <c r="J193" s="13">
        <v>1</v>
      </c>
      <c r="K193" s="14">
        <v>46151</v>
      </c>
      <c r="L193" s="14">
        <v>46145</v>
      </c>
      <c r="N193" s="13">
        <v>539</v>
      </c>
      <c r="P193" s="58" t="str">
        <f t="shared" si="14"/>
        <v>Nikola Jokic</v>
      </c>
      <c r="Q193" s="58" t="str">
        <f>IFERROR(_xlfn.TEXTAFTER(_xlfn.XLOOKUP(A193,Collection!A:A,Collection!C:C,),"Cards "),C193)</f>
        <v>2025 Topps Chrome Go Time</v>
      </c>
      <c r="R193" s="58" t="str">
        <f t="shared" si="15"/>
        <v>-</v>
      </c>
      <c r="S193" s="58" t="str">
        <f>IFERROR(_xlfn.TEXTAFTER(_xlfn.XLOOKUP(A193,Collection!A:A,Collection!B:B,),"#"),"")</f>
        <v>GT-9</v>
      </c>
      <c r="T193" s="60">
        <f t="shared" si="16"/>
        <v>0.99</v>
      </c>
      <c r="U193" s="54" t="s">
        <v>1615</v>
      </c>
      <c r="V193" s="58" t="str">
        <f>IF(ISNUMBER(MATCH(N193,Catalog!$B$4:$B$16, 0)), "Keep", "For Sale")</f>
        <v>For Sale</v>
      </c>
      <c r="W193" s="58">
        <f t="shared" si="17"/>
        <v>1</v>
      </c>
      <c r="X193" s="58">
        <f t="shared" si="18"/>
        <v>2</v>
      </c>
      <c r="Y193" s="60">
        <f t="shared" si="19"/>
        <v>2</v>
      </c>
      <c r="Z193" s="60">
        <f t="shared" si="20"/>
        <v>0.75</v>
      </c>
      <c r="AE193"/>
      <c r="AF193"/>
      <c r="AG193"/>
    </row>
    <row r="194" spans="1:33" ht="14.4" x14ac:dyDescent="0.3">
      <c r="A194" s="13">
        <v>7511050</v>
      </c>
      <c r="B194" s="13" t="s">
        <v>1095</v>
      </c>
      <c r="C194" s="13" t="s">
        <v>872</v>
      </c>
      <c r="D194" s="13">
        <v>1499</v>
      </c>
      <c r="E194" s="13" t="s">
        <v>171</v>
      </c>
      <c r="F194" s="13" t="s">
        <v>172</v>
      </c>
      <c r="H194" s="13" t="s">
        <v>1096</v>
      </c>
      <c r="I194" s="13">
        <v>2799</v>
      </c>
      <c r="J194" s="13">
        <v>1</v>
      </c>
      <c r="K194" s="14">
        <v>46169</v>
      </c>
      <c r="L194" s="14">
        <v>46169</v>
      </c>
      <c r="N194" s="13">
        <v>21</v>
      </c>
      <c r="P194" s="58" t="str">
        <f t="shared" ref="P194:P257" si="21">TRIM(LEFT(B194, MIN(IFERROR(FIND("[", B194), LEN(B194)+1), IFERROR(FIND("#", B194), LEN(B194)+1)) - 1))</f>
        <v>Shai Gilgeous-Alexander</v>
      </c>
      <c r="Q194" s="58" t="str">
        <f>IFERROR(_xlfn.TEXTAFTER(_xlfn.XLOOKUP(A194,Collection!A:A,Collection!C:C,),"Cards "),C194)</f>
        <v>2023 Panini Phoenix Fade To Black</v>
      </c>
      <c r="R194" s="58" t="str">
        <f t="shared" ref="R194:R257" si="22">IFERROR(_xlfn.TEXTBEFORE(_xlfn.TEXTAFTER(B194, "["), "]"), "-")</f>
        <v>Yellow ice</v>
      </c>
      <c r="S194" s="58" t="str">
        <f>IFERROR(_xlfn.TEXTAFTER(_xlfn.XLOOKUP(A194,Collection!A:A,Collection!B:B,),"#"),"")</f>
        <v>5</v>
      </c>
      <c r="T194" s="60">
        <f t="shared" ref="T194:T257" si="23">D194/100</f>
        <v>14.99</v>
      </c>
      <c r="U194" s="54" t="s">
        <v>1589</v>
      </c>
      <c r="V194" s="58" t="str">
        <f>IF(ISNUMBER(MATCH(N194,Catalog!$B$4:$B$16, 0)), "Keep", "For Sale")</f>
        <v>For Sale</v>
      </c>
      <c r="W194" s="58">
        <f t="shared" ref="W194:W257" si="24">COUNTIFS(V:V,"For Sale",A:A,A194)</f>
        <v>1</v>
      </c>
      <c r="X194" s="58">
        <f t="shared" ref="X194:X257" si="25">_xlfn.LET(
_xlpm.val,_xlfn.XLOOKUP(U194,AE:AE,AG:AG,)/100,
_xlpm.tier,IF(_xlpm.val&lt;1,5,IF(_xlpm.val&lt;2,4,IF(_xlpm.val&lt;5,3,IF(_xlpm.val&lt;10,2,1)))),
_xlpm.tier)</f>
        <v>2</v>
      </c>
      <c r="Y194" s="60">
        <f t="shared" ref="Y194:Y257" si="26">_xlfn.LET(
    _xlpm.price, (MAX(I194,D194,25)/100)*(1+$AC$3),
    _xlpm.rounder, IF(_xlpm.price &lt; 1.5, FLOOR(_xlpm.price, 0.25),
           IF(_xlpm.price &lt; 2.5, MROUND(_xlpm.price, 0.5),
               MROUND(_xlpm.price, 1))),
    MAX(0.25, _xlpm.rounder))</f>
        <v>34</v>
      </c>
      <c r="Z194" s="60">
        <f t="shared" ref="Z194:Z257" si="27">_xlfn.LET(
    _xlpm.price, IF(I194=0, IF(W194&gt;1,1-$AC$2,1)*(D194/100), MIN(IF(W194&gt;1,1-$AC$2,1)*(D194/100), IF(W194&gt;1,1-$AC$2,1)*(I194/100))),
    _xlpm.rounder, IF(_xlpm.price &lt; 1.5, FLOOR(_xlpm.price, 0.25),
           IF(_xlpm.price &lt; 2.5, MROUND(_xlpm.price, 0.5),
               MROUND(_xlpm.price, 1))),
    MAX(0.25, _xlpm.rounder))</f>
        <v>15</v>
      </c>
      <c r="AE194"/>
      <c r="AF194"/>
      <c r="AG194"/>
    </row>
    <row r="195" spans="1:33" ht="14.4" x14ac:dyDescent="0.3">
      <c r="A195" s="13">
        <v>105679</v>
      </c>
      <c r="B195" s="13" t="s">
        <v>1115</v>
      </c>
      <c r="C195" s="13" t="s">
        <v>1116</v>
      </c>
      <c r="D195" s="13">
        <v>907</v>
      </c>
      <c r="E195" s="13" t="s">
        <v>171</v>
      </c>
      <c r="F195" s="13" t="s">
        <v>172</v>
      </c>
      <c r="H195" s="13" t="s">
        <v>1117</v>
      </c>
      <c r="I195" s="13">
        <v>1544</v>
      </c>
      <c r="J195" s="13">
        <v>1</v>
      </c>
      <c r="K195" s="14">
        <v>46165</v>
      </c>
      <c r="L195" s="14">
        <v>46164</v>
      </c>
      <c r="N195" s="13">
        <v>33</v>
      </c>
      <c r="P195" s="58" t="str">
        <f t="shared" si="21"/>
        <v>Shai Gilgeous-Alexander</v>
      </c>
      <c r="Q195" s="58" t="str">
        <f>IFERROR(_xlfn.TEXTAFTER(_xlfn.XLOOKUP(A195,Collection!A:A,Collection!C:C,),"Cards "),C195)</f>
        <v>2018 Panini Chronicles</v>
      </c>
      <c r="R195" s="58" t="str">
        <f t="shared" si="22"/>
        <v>-</v>
      </c>
      <c r="S195" s="58" t="str">
        <f>IFERROR(_xlfn.TEXTAFTER(_xlfn.XLOOKUP(A195,Collection!A:A,Collection!B:B,),"#"),"")</f>
        <v>195</v>
      </c>
      <c r="T195" s="60">
        <f t="shared" si="23"/>
        <v>9.07</v>
      </c>
      <c r="U195" s="54" t="s">
        <v>1589</v>
      </c>
      <c r="V195" s="58" t="str">
        <f>IF(ISNUMBER(MATCH(N195,Catalog!$B$4:$B$16, 0)), "Keep", "For Sale")</f>
        <v>For Sale</v>
      </c>
      <c r="W195" s="58">
        <f t="shared" si="24"/>
        <v>1</v>
      </c>
      <c r="X195" s="58">
        <f t="shared" si="25"/>
        <v>2</v>
      </c>
      <c r="Y195" s="60">
        <f t="shared" si="26"/>
        <v>19</v>
      </c>
      <c r="Z195" s="60">
        <f t="shared" si="27"/>
        <v>9</v>
      </c>
      <c r="AE195"/>
      <c r="AF195"/>
      <c r="AG195"/>
    </row>
    <row r="196" spans="1:33" ht="14.4" x14ac:dyDescent="0.3">
      <c r="A196" s="13">
        <v>11830175</v>
      </c>
      <c r="B196" s="13" t="s">
        <v>974</v>
      </c>
      <c r="C196" s="13" t="s">
        <v>975</v>
      </c>
      <c r="D196" s="13">
        <v>249</v>
      </c>
      <c r="E196" s="13" t="s">
        <v>171</v>
      </c>
      <c r="F196" s="13" t="s">
        <v>172</v>
      </c>
      <c r="H196" s="13" t="s">
        <v>976</v>
      </c>
      <c r="I196" s="13">
        <v>369</v>
      </c>
      <c r="J196" s="13">
        <v>1</v>
      </c>
      <c r="K196" s="14">
        <v>46164</v>
      </c>
      <c r="L196" s="14">
        <v>46157</v>
      </c>
      <c r="N196" s="13">
        <v>191</v>
      </c>
      <c r="P196" s="58" t="str">
        <f t="shared" si="21"/>
        <v>Shai Gilgeous-Alexander</v>
      </c>
      <c r="Q196" s="58" t="str">
        <f>IFERROR(_xlfn.TEXTAFTER(_xlfn.XLOOKUP(A196,Collection!A:A,Collection!C:C,),"Cards "),C196)</f>
        <v>2025 Topps Match Attax 100 Club</v>
      </c>
      <c r="R196" s="58" t="str">
        <f t="shared" si="22"/>
        <v>-</v>
      </c>
      <c r="S196" s="58" t="str">
        <f>IFERROR(_xlfn.TEXTAFTER(_xlfn.XLOOKUP(A196,Collection!A:A,Collection!B:B,),"#"),"")</f>
        <v>100C-SG</v>
      </c>
      <c r="T196" s="60">
        <f t="shared" si="23"/>
        <v>2.4900000000000002</v>
      </c>
      <c r="U196" s="54" t="s">
        <v>1589</v>
      </c>
      <c r="V196" s="58" t="str">
        <f>IF(ISNUMBER(MATCH(N196,Catalog!$B$4:$B$16, 0)), "Keep", "For Sale")</f>
        <v>For Sale</v>
      </c>
      <c r="W196" s="58">
        <f t="shared" si="24"/>
        <v>1</v>
      </c>
      <c r="X196" s="58">
        <f t="shared" si="25"/>
        <v>2</v>
      </c>
      <c r="Y196" s="60">
        <f t="shared" si="26"/>
        <v>4</v>
      </c>
      <c r="Z196" s="60">
        <f t="shared" si="27"/>
        <v>2.5</v>
      </c>
      <c r="AE196"/>
      <c r="AF196"/>
      <c r="AG196"/>
    </row>
    <row r="197" spans="1:33" ht="14.4" x14ac:dyDescent="0.3">
      <c r="A197" s="13">
        <v>11909462</v>
      </c>
      <c r="B197" s="13" t="s">
        <v>992</v>
      </c>
      <c r="C197" s="13" t="s">
        <v>993</v>
      </c>
      <c r="D197" s="13">
        <v>201</v>
      </c>
      <c r="E197" s="13" t="s">
        <v>171</v>
      </c>
      <c r="F197" s="13" t="s">
        <v>172</v>
      </c>
      <c r="H197" s="13" t="s">
        <v>1534</v>
      </c>
      <c r="I197" s="13">
        <v>149</v>
      </c>
      <c r="J197" s="13">
        <v>1</v>
      </c>
      <c r="K197" s="14">
        <v>46183</v>
      </c>
      <c r="L197" s="14">
        <v>46161</v>
      </c>
      <c r="N197" s="13">
        <v>250</v>
      </c>
      <c r="P197" s="58" t="str">
        <f t="shared" si="21"/>
        <v>Shai Gilgeous-Alexander</v>
      </c>
      <c r="Q197" s="58" t="str">
        <f>IFERROR(_xlfn.TEXTAFTER(_xlfn.XLOOKUP(A197,Collection!A:A,Collection!C:C,),"Cards "),C197)</f>
        <v>2025 Topps Match Attax Scoring Hero</v>
      </c>
      <c r="R197" s="58" t="str">
        <f t="shared" si="22"/>
        <v>-</v>
      </c>
      <c r="S197" s="58" t="str">
        <f>IFERROR(_xlfn.TEXTAFTER(_xlfn.XLOOKUP(A197,Collection!A:A,Collection!B:B,),"#"),"")</f>
        <v>SH-SG</v>
      </c>
      <c r="T197" s="60">
        <f t="shared" si="23"/>
        <v>2.0099999999999998</v>
      </c>
      <c r="U197" s="54" t="s">
        <v>1589</v>
      </c>
      <c r="V197" s="58" t="str">
        <f>IF(ISNUMBER(MATCH(N197,Catalog!$B$4:$B$16, 0)), "Keep", "For Sale")</f>
        <v>For Sale</v>
      </c>
      <c r="W197" s="58">
        <f t="shared" si="24"/>
        <v>2</v>
      </c>
      <c r="X197" s="58">
        <f t="shared" si="25"/>
        <v>2</v>
      </c>
      <c r="Y197" s="60">
        <f t="shared" si="26"/>
        <v>2.5</v>
      </c>
      <c r="Z197" s="60">
        <f t="shared" si="27"/>
        <v>1.25</v>
      </c>
      <c r="AE197"/>
      <c r="AF197"/>
      <c r="AG197"/>
    </row>
    <row r="198" spans="1:33" ht="14.4" x14ac:dyDescent="0.3">
      <c r="A198" s="13">
        <v>11909462</v>
      </c>
      <c r="B198" s="13" t="s">
        <v>992</v>
      </c>
      <c r="C198" s="13" t="s">
        <v>993</v>
      </c>
      <c r="D198" s="13">
        <v>201</v>
      </c>
      <c r="E198" s="13" t="s">
        <v>171</v>
      </c>
      <c r="F198" s="13" t="s">
        <v>172</v>
      </c>
      <c r="H198" s="13" t="s">
        <v>1545</v>
      </c>
      <c r="I198" s="13">
        <v>309</v>
      </c>
      <c r="J198" s="13">
        <v>1</v>
      </c>
      <c r="K198" s="14">
        <v>46183</v>
      </c>
      <c r="L198" s="14">
        <v>46161</v>
      </c>
      <c r="N198" s="13">
        <v>251</v>
      </c>
      <c r="P198" s="58" t="str">
        <f t="shared" si="21"/>
        <v>Shai Gilgeous-Alexander</v>
      </c>
      <c r="Q198" s="58" t="str">
        <f>IFERROR(_xlfn.TEXTAFTER(_xlfn.XLOOKUP(A198,Collection!A:A,Collection!C:C,),"Cards "),C198)</f>
        <v>2025 Topps Match Attax Scoring Hero</v>
      </c>
      <c r="R198" s="58" t="str">
        <f t="shared" si="22"/>
        <v>-</v>
      </c>
      <c r="S198" s="58" t="str">
        <f>IFERROR(_xlfn.TEXTAFTER(_xlfn.XLOOKUP(A198,Collection!A:A,Collection!B:B,),"#"),"")</f>
        <v>SH-SG</v>
      </c>
      <c r="T198" s="60">
        <f t="shared" si="23"/>
        <v>2.0099999999999998</v>
      </c>
      <c r="U198" s="54" t="s">
        <v>1589</v>
      </c>
      <c r="V198" s="58" t="str">
        <f>IF(ISNUMBER(MATCH(N198,Catalog!$B$4:$B$16, 0)), "Keep", "For Sale")</f>
        <v>For Sale</v>
      </c>
      <c r="W198" s="58">
        <f t="shared" si="24"/>
        <v>2</v>
      </c>
      <c r="X198" s="58">
        <f t="shared" si="25"/>
        <v>2</v>
      </c>
      <c r="Y198" s="60">
        <f t="shared" si="26"/>
        <v>4</v>
      </c>
      <c r="Z198" s="60">
        <f t="shared" si="27"/>
        <v>1.5</v>
      </c>
      <c r="AE198"/>
      <c r="AF198"/>
      <c r="AG198"/>
    </row>
    <row r="199" spans="1:33" ht="14.4" x14ac:dyDescent="0.3">
      <c r="A199" s="13">
        <v>10193263</v>
      </c>
      <c r="B199" s="13" t="s">
        <v>632</v>
      </c>
      <c r="C199" s="13" t="s">
        <v>401</v>
      </c>
      <c r="D199" s="13">
        <v>197</v>
      </c>
      <c r="E199" s="13" t="s">
        <v>171</v>
      </c>
      <c r="F199" s="13" t="s">
        <v>172</v>
      </c>
      <c r="H199" s="13" t="s">
        <v>633</v>
      </c>
      <c r="I199" s="13">
        <v>412</v>
      </c>
      <c r="J199" s="13">
        <v>1</v>
      </c>
      <c r="K199" s="14">
        <v>46154</v>
      </c>
      <c r="L199" s="14">
        <v>46154</v>
      </c>
      <c r="N199" s="13">
        <v>316</v>
      </c>
      <c r="P199" s="58" t="str">
        <f t="shared" si="21"/>
        <v>Shai Gilgeous-Alexander</v>
      </c>
      <c r="Q199" s="58" t="str">
        <f>IFERROR(_xlfn.TEXTAFTER(_xlfn.XLOOKUP(A199,Collection!A:A,Collection!C:C,),"Cards "),C199)</f>
        <v>2024 Panini Donruss Optic</v>
      </c>
      <c r="R199" s="58" t="str">
        <f t="shared" si="22"/>
        <v>Hyper Pink</v>
      </c>
      <c r="S199" s="58" t="str">
        <f>IFERROR(_xlfn.TEXTAFTER(_xlfn.XLOOKUP(A199,Collection!A:A,Collection!B:B,),"#"),"")</f>
        <v>127</v>
      </c>
      <c r="T199" s="60">
        <f t="shared" si="23"/>
        <v>1.97</v>
      </c>
      <c r="U199" s="54" t="s">
        <v>1589</v>
      </c>
      <c r="V199" s="58" t="str">
        <f>IF(ISNUMBER(MATCH(N199,Catalog!$B$4:$B$16, 0)), "Keep", "For Sale")</f>
        <v>For Sale</v>
      </c>
      <c r="W199" s="58">
        <f t="shared" si="24"/>
        <v>1</v>
      </c>
      <c r="X199" s="58">
        <f t="shared" si="25"/>
        <v>2</v>
      </c>
      <c r="Y199" s="60">
        <f t="shared" si="26"/>
        <v>5</v>
      </c>
      <c r="Z199" s="60">
        <f t="shared" si="27"/>
        <v>2</v>
      </c>
      <c r="AE199"/>
      <c r="AF199"/>
      <c r="AG199"/>
    </row>
    <row r="200" spans="1:33" ht="14.4" x14ac:dyDescent="0.3">
      <c r="A200" s="13">
        <v>2963876</v>
      </c>
      <c r="B200" s="13" t="s">
        <v>1822</v>
      </c>
      <c r="C200" s="13" t="s">
        <v>565</v>
      </c>
      <c r="D200" s="13">
        <v>179</v>
      </c>
      <c r="E200" s="13" t="s">
        <v>171</v>
      </c>
      <c r="F200" s="13" t="s">
        <v>172</v>
      </c>
      <c r="H200" s="13" t="s">
        <v>556</v>
      </c>
      <c r="I200" s="13">
        <v>297</v>
      </c>
      <c r="J200" s="13">
        <v>1</v>
      </c>
      <c r="K200" s="14">
        <v>46154</v>
      </c>
      <c r="L200" s="14">
        <v>46150</v>
      </c>
      <c r="N200" s="13">
        <v>381</v>
      </c>
      <c r="P200" s="58" t="str">
        <f t="shared" si="21"/>
        <v>Shai Gilgeous-Alexander</v>
      </c>
      <c r="Q200" s="58" t="str">
        <f>IFERROR(_xlfn.TEXTAFTER(_xlfn.XLOOKUP(A200,Collection!A:A,Collection!C:C,),"Cards "),C200)</f>
        <v>2020 Panini Illusions</v>
      </c>
      <c r="R200" s="58" t="str">
        <f t="shared" si="22"/>
        <v>-</v>
      </c>
      <c r="S200" s="58" t="str">
        <f>IFERROR(_xlfn.TEXTAFTER(_xlfn.XLOOKUP(A200,Collection!A:A,Collection!B:B,),"#"),"")</f>
        <v>35</v>
      </c>
      <c r="T200" s="60">
        <f t="shared" si="23"/>
        <v>1.79</v>
      </c>
      <c r="U200" s="54" t="s">
        <v>1589</v>
      </c>
      <c r="V200" s="58" t="str">
        <f>IF(ISNUMBER(MATCH(N200,Catalog!$B$4:$B$16, 0)), "Keep", "For Sale")</f>
        <v>For Sale</v>
      </c>
      <c r="W200" s="58">
        <f t="shared" si="24"/>
        <v>1</v>
      </c>
      <c r="X200" s="58">
        <f t="shared" si="25"/>
        <v>2</v>
      </c>
      <c r="Y200" s="60">
        <f t="shared" si="26"/>
        <v>4</v>
      </c>
      <c r="Z200" s="60">
        <f t="shared" si="27"/>
        <v>2</v>
      </c>
      <c r="AE200"/>
      <c r="AF200"/>
      <c r="AG200"/>
    </row>
    <row r="201" spans="1:33" ht="14.4" x14ac:dyDescent="0.3">
      <c r="A201" s="13">
        <v>10210719</v>
      </c>
      <c r="B201" s="13" t="s">
        <v>935</v>
      </c>
      <c r="C201" s="13" t="s">
        <v>936</v>
      </c>
      <c r="D201" s="13">
        <v>163</v>
      </c>
      <c r="E201" s="13" t="s">
        <v>171</v>
      </c>
      <c r="F201" s="13" t="s">
        <v>172</v>
      </c>
      <c r="H201" s="13" t="s">
        <v>937</v>
      </c>
      <c r="I201" s="13">
        <v>251</v>
      </c>
      <c r="J201" s="13">
        <v>1</v>
      </c>
      <c r="K201" s="14">
        <v>46157</v>
      </c>
      <c r="L201" s="14">
        <v>46156</v>
      </c>
      <c r="N201" s="13">
        <v>332</v>
      </c>
      <c r="P201" s="58" t="str">
        <f t="shared" si="21"/>
        <v>Shai Gilgeous-Alexander</v>
      </c>
      <c r="Q201" s="58" t="str">
        <f>IFERROR(_xlfn.TEXTAFTER(_xlfn.XLOOKUP(A201,Collection!A:A,Collection!C:C,),"Cards "),C201)</f>
        <v>2024 Panini Donruss Optic My House</v>
      </c>
      <c r="R201" s="58" t="str">
        <f t="shared" si="22"/>
        <v>-</v>
      </c>
      <c r="S201" s="58" t="str">
        <f>IFERROR(_xlfn.TEXTAFTER(_xlfn.XLOOKUP(A201,Collection!A:A,Collection!B:B,),"#"),"")</f>
        <v>6</v>
      </c>
      <c r="T201" s="60">
        <f t="shared" si="23"/>
        <v>1.63</v>
      </c>
      <c r="U201" s="54" t="s">
        <v>1589</v>
      </c>
      <c r="V201" s="58" t="str">
        <f>IF(ISNUMBER(MATCH(N201,Catalog!$B$4:$B$16, 0)), "Keep", "For Sale")</f>
        <v>For Sale</v>
      </c>
      <c r="W201" s="58">
        <f t="shared" si="24"/>
        <v>1</v>
      </c>
      <c r="X201" s="58">
        <f t="shared" si="25"/>
        <v>2</v>
      </c>
      <c r="Y201" s="60">
        <f t="shared" si="26"/>
        <v>3</v>
      </c>
      <c r="Z201" s="60">
        <f t="shared" si="27"/>
        <v>1.5</v>
      </c>
      <c r="AE201"/>
      <c r="AF201"/>
      <c r="AG201"/>
    </row>
    <row r="202" spans="1:33" ht="14.4" x14ac:dyDescent="0.3">
      <c r="A202" s="13">
        <v>6822796</v>
      </c>
      <c r="B202" s="13" t="s">
        <v>866</v>
      </c>
      <c r="C202" s="13" t="s">
        <v>867</v>
      </c>
      <c r="D202" s="13">
        <v>154</v>
      </c>
      <c r="E202" s="13" t="s">
        <v>171</v>
      </c>
      <c r="F202" s="13" t="s">
        <v>172</v>
      </c>
      <c r="H202" s="13" t="s">
        <v>868</v>
      </c>
      <c r="I202" s="13">
        <v>290</v>
      </c>
      <c r="J202" s="13">
        <v>1</v>
      </c>
      <c r="K202" s="14">
        <v>46156</v>
      </c>
      <c r="L202" s="14">
        <v>46155</v>
      </c>
      <c r="N202" s="13">
        <v>370</v>
      </c>
      <c r="P202" s="58" t="str">
        <f t="shared" si="21"/>
        <v>Shai Gilgeous-Alexander</v>
      </c>
      <c r="Q202" s="58" t="str">
        <f>IFERROR(_xlfn.TEXTAFTER(_xlfn.XLOOKUP(A202,Collection!A:A,Collection!C:C,),"Cards "),C202)</f>
        <v>2023 Panini Donruss Optic</v>
      </c>
      <c r="R202" s="58" t="str">
        <f t="shared" si="22"/>
        <v>Hyper Pink</v>
      </c>
      <c r="S202" s="58" t="str">
        <f>IFERROR(_xlfn.TEXTAFTER(_xlfn.XLOOKUP(A202,Collection!A:A,Collection!B:B,),"#"),"")</f>
        <v>104</v>
      </c>
      <c r="T202" s="60">
        <f t="shared" si="23"/>
        <v>1.54</v>
      </c>
      <c r="U202" s="54" t="s">
        <v>1589</v>
      </c>
      <c r="V202" s="58" t="str">
        <f>IF(ISNUMBER(MATCH(N202,Catalog!$B$4:$B$16, 0)), "Keep", "For Sale")</f>
        <v>For Sale</v>
      </c>
      <c r="W202" s="58">
        <f t="shared" si="24"/>
        <v>1</v>
      </c>
      <c r="X202" s="58">
        <f t="shared" si="25"/>
        <v>2</v>
      </c>
      <c r="Y202" s="60">
        <f t="shared" si="26"/>
        <v>3</v>
      </c>
      <c r="Z202" s="60">
        <f t="shared" si="27"/>
        <v>1.5</v>
      </c>
      <c r="AE202"/>
      <c r="AF202"/>
      <c r="AG202"/>
    </row>
    <row r="203" spans="1:33" ht="14.4" x14ac:dyDescent="0.3">
      <c r="A203" s="13">
        <v>7808017</v>
      </c>
      <c r="B203" s="13" t="s">
        <v>1017</v>
      </c>
      <c r="C203" s="13" t="s">
        <v>1018</v>
      </c>
      <c r="D203" s="13">
        <v>150</v>
      </c>
      <c r="E203" s="13" t="s">
        <v>171</v>
      </c>
      <c r="F203" s="13" t="s">
        <v>172</v>
      </c>
      <c r="H203" s="13" t="s">
        <v>1019</v>
      </c>
      <c r="I203" s="13">
        <v>306</v>
      </c>
      <c r="J203" s="13">
        <v>1</v>
      </c>
      <c r="K203" s="14">
        <v>46162</v>
      </c>
      <c r="L203" s="14">
        <v>46162</v>
      </c>
      <c r="N203" s="13">
        <v>424</v>
      </c>
      <c r="P203" s="58" t="str">
        <f t="shared" si="21"/>
        <v>Shai Gilgeous-Alexander</v>
      </c>
      <c r="Q203" s="58" t="str">
        <f>IFERROR(_xlfn.TEXTAFTER(_xlfn.XLOOKUP(A203,Collection!A:A,Collection!C:C,),"Cards "),C203)</f>
        <v>2023 Panini Revolution</v>
      </c>
      <c r="R203" s="58" t="str">
        <f t="shared" si="22"/>
        <v>Winter</v>
      </c>
      <c r="S203" s="58" t="str">
        <f>IFERROR(_xlfn.TEXTAFTER(_xlfn.XLOOKUP(A203,Collection!A:A,Collection!B:B,),"#"),"")</f>
        <v>76</v>
      </c>
      <c r="T203" s="60">
        <f t="shared" si="23"/>
        <v>1.5</v>
      </c>
      <c r="U203" s="54" t="s">
        <v>1589</v>
      </c>
      <c r="V203" s="58" t="str">
        <f>IF(ISNUMBER(MATCH(N203,Catalog!$B$4:$B$16, 0)), "Keep", "For Sale")</f>
        <v>For Sale</v>
      </c>
      <c r="W203" s="58">
        <f t="shared" si="24"/>
        <v>1</v>
      </c>
      <c r="X203" s="58">
        <f t="shared" si="25"/>
        <v>2</v>
      </c>
      <c r="Y203" s="60">
        <f t="shared" si="26"/>
        <v>4</v>
      </c>
      <c r="Z203" s="60">
        <f t="shared" si="27"/>
        <v>1.5</v>
      </c>
      <c r="AE203"/>
      <c r="AF203"/>
      <c r="AG203"/>
    </row>
    <row r="204" spans="1:33" ht="14.4" x14ac:dyDescent="0.3">
      <c r="A204" s="13">
        <v>10212324</v>
      </c>
      <c r="B204" s="13" t="s">
        <v>935</v>
      </c>
      <c r="C204" s="13" t="s">
        <v>950</v>
      </c>
      <c r="D204" s="13">
        <v>125</v>
      </c>
      <c r="E204" s="13" t="s">
        <v>171</v>
      </c>
      <c r="F204" s="13" t="s">
        <v>172</v>
      </c>
      <c r="H204" s="13" t="s">
        <v>920</v>
      </c>
      <c r="I204" s="13">
        <v>287</v>
      </c>
      <c r="J204" s="13">
        <v>1</v>
      </c>
      <c r="K204" s="14">
        <v>46159</v>
      </c>
      <c r="L204" s="14">
        <v>46158</v>
      </c>
      <c r="N204" s="13">
        <v>533</v>
      </c>
      <c r="P204" s="58" t="str">
        <f t="shared" si="21"/>
        <v>Shai Gilgeous-Alexander</v>
      </c>
      <c r="Q204" s="58" t="str">
        <f>IFERROR(_xlfn.TEXTAFTER(_xlfn.XLOOKUP(A204,Collection!A:A,Collection!C:C,),"Cards "),C204)</f>
        <v>2024 Panini Donruss Optic Splash</v>
      </c>
      <c r="R204" s="58" t="str">
        <f t="shared" si="22"/>
        <v>-</v>
      </c>
      <c r="S204" s="58" t="str">
        <f>IFERROR(_xlfn.TEXTAFTER(_xlfn.XLOOKUP(A204,Collection!A:A,Collection!B:B,),"#"),"")</f>
        <v>6</v>
      </c>
      <c r="T204" s="60">
        <f t="shared" si="23"/>
        <v>1.25</v>
      </c>
      <c r="U204" s="54" t="s">
        <v>1589</v>
      </c>
      <c r="V204" s="58" t="str">
        <f>IF(ISNUMBER(MATCH(N204,Catalog!$B$4:$B$16, 0)), "Keep", "For Sale")</f>
        <v>For Sale</v>
      </c>
      <c r="W204" s="58">
        <f t="shared" si="24"/>
        <v>1</v>
      </c>
      <c r="X204" s="58">
        <f t="shared" si="25"/>
        <v>2</v>
      </c>
      <c r="Y204" s="60">
        <f t="shared" si="26"/>
        <v>3</v>
      </c>
      <c r="Z204" s="60">
        <f t="shared" si="27"/>
        <v>1.25</v>
      </c>
      <c r="AE204"/>
      <c r="AF204"/>
      <c r="AG204"/>
    </row>
    <row r="205" spans="1:33" ht="14.4" x14ac:dyDescent="0.3">
      <c r="A205" s="13">
        <v>9259816</v>
      </c>
      <c r="B205" s="13" t="s">
        <v>919</v>
      </c>
      <c r="C205" s="13" t="s">
        <v>599</v>
      </c>
      <c r="D205" s="13">
        <v>121</v>
      </c>
      <c r="E205" s="13" t="s">
        <v>171</v>
      </c>
      <c r="F205" s="13" t="s">
        <v>172</v>
      </c>
      <c r="H205" s="13" t="s">
        <v>1092</v>
      </c>
      <c r="I205" s="13">
        <v>276</v>
      </c>
      <c r="J205" s="13">
        <v>1</v>
      </c>
      <c r="K205" s="14">
        <v>46166</v>
      </c>
      <c r="L205" s="14">
        <v>46165</v>
      </c>
      <c r="N205" s="13">
        <v>496</v>
      </c>
      <c r="P205" s="58" t="str">
        <f t="shared" si="21"/>
        <v>Shai Gilgeous-Alexander</v>
      </c>
      <c r="Q205" s="58" t="str">
        <f>IFERROR(_xlfn.TEXTAFTER(_xlfn.XLOOKUP(A205,Collection!A:A,Collection!C:C,),"Cards "),C205)</f>
        <v>2024 Panini Revolution</v>
      </c>
      <c r="R205" s="58" t="str">
        <f t="shared" si="22"/>
        <v>-</v>
      </c>
      <c r="S205" s="58" t="str">
        <f>IFERROR(_xlfn.TEXTAFTER(_xlfn.XLOOKUP(A205,Collection!A:A,Collection!B:B,),"#"),"")</f>
        <v>8</v>
      </c>
      <c r="T205" s="60">
        <f t="shared" si="23"/>
        <v>1.21</v>
      </c>
      <c r="U205" s="54" t="s">
        <v>1589</v>
      </c>
      <c r="V205" s="58" t="str">
        <f>IF(ISNUMBER(MATCH(N205,Catalog!$B$4:$B$16, 0)), "Keep", "For Sale")</f>
        <v>For Sale</v>
      </c>
      <c r="W205" s="58">
        <f t="shared" si="24"/>
        <v>2</v>
      </c>
      <c r="X205" s="58">
        <f t="shared" si="25"/>
        <v>2</v>
      </c>
      <c r="Y205" s="60">
        <f t="shared" si="26"/>
        <v>3</v>
      </c>
      <c r="Z205" s="60">
        <f t="shared" si="27"/>
        <v>1</v>
      </c>
      <c r="AE205"/>
      <c r="AF205"/>
      <c r="AG205"/>
    </row>
    <row r="206" spans="1:33" ht="14.4" x14ac:dyDescent="0.3">
      <c r="A206" s="13">
        <v>9259816</v>
      </c>
      <c r="B206" s="13" t="s">
        <v>919</v>
      </c>
      <c r="C206" s="13" t="s">
        <v>599</v>
      </c>
      <c r="D206" s="13">
        <v>121</v>
      </c>
      <c r="E206" s="13" t="s">
        <v>171</v>
      </c>
      <c r="F206" s="13" t="s">
        <v>172</v>
      </c>
      <c r="H206" s="13" t="s">
        <v>920</v>
      </c>
      <c r="I206" s="13">
        <v>287</v>
      </c>
      <c r="J206" s="13">
        <v>1</v>
      </c>
      <c r="K206" s="14">
        <v>46159</v>
      </c>
      <c r="L206" s="14">
        <v>46158</v>
      </c>
      <c r="N206" s="13">
        <v>497</v>
      </c>
      <c r="P206" s="58" t="str">
        <f t="shared" si="21"/>
        <v>Shai Gilgeous-Alexander</v>
      </c>
      <c r="Q206" s="58" t="str">
        <f>IFERROR(_xlfn.TEXTAFTER(_xlfn.XLOOKUP(A206,Collection!A:A,Collection!C:C,),"Cards "),C206)</f>
        <v>2024 Panini Revolution</v>
      </c>
      <c r="R206" s="58" t="str">
        <f t="shared" si="22"/>
        <v>-</v>
      </c>
      <c r="S206" s="58" t="str">
        <f>IFERROR(_xlfn.TEXTAFTER(_xlfn.XLOOKUP(A206,Collection!A:A,Collection!B:B,),"#"),"")</f>
        <v>8</v>
      </c>
      <c r="T206" s="60">
        <f t="shared" si="23"/>
        <v>1.21</v>
      </c>
      <c r="U206" s="54" t="s">
        <v>1589</v>
      </c>
      <c r="V206" s="58" t="str">
        <f>IF(ISNUMBER(MATCH(N206,Catalog!$B$4:$B$16, 0)), "Keep", "For Sale")</f>
        <v>For Sale</v>
      </c>
      <c r="W206" s="58">
        <f t="shared" si="24"/>
        <v>2</v>
      </c>
      <c r="X206" s="58">
        <f t="shared" si="25"/>
        <v>2</v>
      </c>
      <c r="Y206" s="60">
        <f t="shared" si="26"/>
        <v>3</v>
      </c>
      <c r="Z206" s="60">
        <f t="shared" si="27"/>
        <v>1</v>
      </c>
      <c r="AE206"/>
      <c r="AF206"/>
      <c r="AG206"/>
    </row>
    <row r="207" spans="1:33" ht="14.4" x14ac:dyDescent="0.3">
      <c r="A207" s="13">
        <v>12957398</v>
      </c>
      <c r="B207" s="13" t="s">
        <v>1089</v>
      </c>
      <c r="C207" s="13" t="s">
        <v>972</v>
      </c>
      <c r="D207" s="13">
        <v>102</v>
      </c>
      <c r="E207" s="13" t="s">
        <v>171</v>
      </c>
      <c r="F207" s="13" t="s">
        <v>172</v>
      </c>
      <c r="H207" s="13" t="s">
        <v>1079</v>
      </c>
      <c r="I207" s="13">
        <v>85</v>
      </c>
      <c r="J207" s="13">
        <v>1</v>
      </c>
      <c r="K207" s="14">
        <v>46164</v>
      </c>
      <c r="L207" s="14">
        <v>46159</v>
      </c>
      <c r="N207" s="13">
        <v>347</v>
      </c>
      <c r="P207" s="58" t="str">
        <f t="shared" si="21"/>
        <v>Shai Gilgeous-Alexander</v>
      </c>
      <c r="Q207" s="58" t="str">
        <f>IFERROR(_xlfn.TEXTAFTER(_xlfn.XLOOKUP(A207,Collection!A:A,Collection!C:C,),"Cards "),C207)</f>
        <v>2025 Topps NBA Hoops</v>
      </c>
      <c r="R207" s="58" t="str">
        <f t="shared" si="22"/>
        <v>-</v>
      </c>
      <c r="S207" s="58" t="str">
        <f>IFERROR(_xlfn.TEXTAFTER(_xlfn.XLOOKUP(A207,Collection!A:A,Collection!B:B,),"#"),"")</f>
        <v>286</v>
      </c>
      <c r="T207" s="60">
        <f t="shared" si="23"/>
        <v>1.02</v>
      </c>
      <c r="U207" s="54" t="s">
        <v>1589</v>
      </c>
      <c r="V207" s="58" t="str">
        <f>IF(ISNUMBER(MATCH(N207,Catalog!$B$4:$B$16, 0)), "Keep", "For Sale")</f>
        <v>For Sale</v>
      </c>
      <c r="W207" s="58">
        <f t="shared" si="24"/>
        <v>2</v>
      </c>
      <c r="X207" s="58">
        <f t="shared" si="25"/>
        <v>2</v>
      </c>
      <c r="Y207" s="60">
        <f t="shared" si="26"/>
        <v>1</v>
      </c>
      <c r="Z207" s="60">
        <f t="shared" si="27"/>
        <v>0.5</v>
      </c>
      <c r="AE207"/>
      <c r="AF207"/>
      <c r="AG207"/>
    </row>
    <row r="208" spans="1:33" ht="14.4" x14ac:dyDescent="0.3">
      <c r="A208" s="13">
        <v>12957398</v>
      </c>
      <c r="B208" s="13" t="s">
        <v>1089</v>
      </c>
      <c r="C208" s="13" t="s">
        <v>972</v>
      </c>
      <c r="D208" s="13">
        <v>102</v>
      </c>
      <c r="E208" s="13" t="s">
        <v>171</v>
      </c>
      <c r="F208" s="13" t="s">
        <v>172</v>
      </c>
      <c r="H208" s="13" t="s">
        <v>1118</v>
      </c>
      <c r="I208" s="13">
        <v>353</v>
      </c>
      <c r="J208" s="13">
        <v>1</v>
      </c>
      <c r="K208" s="14">
        <v>46164</v>
      </c>
      <c r="L208" s="14">
        <v>46161</v>
      </c>
      <c r="N208" s="13">
        <v>351</v>
      </c>
      <c r="P208" s="58" t="str">
        <f t="shared" si="21"/>
        <v>Shai Gilgeous-Alexander</v>
      </c>
      <c r="Q208" s="58" t="str">
        <f>IFERROR(_xlfn.TEXTAFTER(_xlfn.XLOOKUP(A208,Collection!A:A,Collection!C:C,),"Cards "),C208)</f>
        <v>2025 Topps NBA Hoops</v>
      </c>
      <c r="R208" s="58" t="str">
        <f t="shared" si="22"/>
        <v>-</v>
      </c>
      <c r="S208" s="58" t="str">
        <f>IFERROR(_xlfn.TEXTAFTER(_xlfn.XLOOKUP(A208,Collection!A:A,Collection!B:B,),"#"),"")</f>
        <v>286</v>
      </c>
      <c r="T208" s="60">
        <f t="shared" si="23"/>
        <v>1.02</v>
      </c>
      <c r="U208" s="54" t="s">
        <v>1589</v>
      </c>
      <c r="V208" s="58" t="str">
        <f>IF(ISNUMBER(MATCH(N208,Catalog!$B$4:$B$16, 0)), "Keep", "For Sale")</f>
        <v>For Sale</v>
      </c>
      <c r="W208" s="58">
        <f t="shared" si="24"/>
        <v>2</v>
      </c>
      <c r="X208" s="58">
        <f t="shared" si="25"/>
        <v>2</v>
      </c>
      <c r="Y208" s="60">
        <f t="shared" si="26"/>
        <v>4</v>
      </c>
      <c r="Z208" s="60">
        <f t="shared" si="27"/>
        <v>0.75</v>
      </c>
      <c r="AE208"/>
      <c r="AF208"/>
      <c r="AG208"/>
    </row>
    <row r="209" spans="1:33" ht="14.4" x14ac:dyDescent="0.3">
      <c r="A209" s="13">
        <v>89022</v>
      </c>
      <c r="B209" s="13" t="s">
        <v>342</v>
      </c>
      <c r="C209" s="13" t="s">
        <v>193</v>
      </c>
      <c r="D209" s="13">
        <v>1255</v>
      </c>
      <c r="E209" s="13" t="s">
        <v>171</v>
      </c>
      <c r="F209" s="13" t="s">
        <v>172</v>
      </c>
      <c r="I209" s="13">
        <v>0</v>
      </c>
      <c r="J209" s="13">
        <v>1</v>
      </c>
      <c r="K209" s="14">
        <v>46128</v>
      </c>
      <c r="L209" s="14">
        <v>46128</v>
      </c>
      <c r="N209" s="13">
        <v>24</v>
      </c>
      <c r="P209" s="58" t="str">
        <f t="shared" si="21"/>
        <v>Tim Duncan</v>
      </c>
      <c r="Q209" s="58" t="str">
        <f>IFERROR(_xlfn.TEXTAFTER(_xlfn.XLOOKUP(A209,Collection!A:A,Collection!C:C,),"Cards "),C209)</f>
        <v>1997 Metal Universe</v>
      </c>
      <c r="R209" s="58" t="str">
        <f t="shared" si="22"/>
        <v>-</v>
      </c>
      <c r="S209" s="58" t="str">
        <f>IFERROR(_xlfn.TEXTAFTER(_xlfn.XLOOKUP(A209,Collection!A:A,Collection!B:B,),"#"),"")</f>
        <v>66</v>
      </c>
      <c r="T209" s="60">
        <f t="shared" si="23"/>
        <v>12.55</v>
      </c>
      <c r="U209" s="54" t="s">
        <v>1668</v>
      </c>
      <c r="V209" s="58" t="str">
        <f>IF(ISNUMBER(MATCH(N209,Catalog!$B$4:$B$16, 0)), "Keep", "For Sale")</f>
        <v>For Sale</v>
      </c>
      <c r="W209" s="58">
        <f t="shared" si="24"/>
        <v>1</v>
      </c>
      <c r="X209" s="58">
        <f t="shared" si="25"/>
        <v>2</v>
      </c>
      <c r="Y209" s="60">
        <f t="shared" si="26"/>
        <v>15</v>
      </c>
      <c r="Z209" s="60">
        <f t="shared" si="27"/>
        <v>13</v>
      </c>
      <c r="AE209"/>
      <c r="AF209"/>
      <c r="AG209"/>
    </row>
    <row r="210" spans="1:33" ht="14.4" x14ac:dyDescent="0.3">
      <c r="A210" s="13">
        <v>90573</v>
      </c>
      <c r="B210" s="13" t="s">
        <v>413</v>
      </c>
      <c r="C210" s="13" t="s">
        <v>414</v>
      </c>
      <c r="D210" s="13">
        <v>476</v>
      </c>
      <c r="E210" s="13" t="s">
        <v>171</v>
      </c>
      <c r="F210" s="13" t="s">
        <v>172</v>
      </c>
      <c r="I210" s="13">
        <v>0</v>
      </c>
      <c r="J210" s="13">
        <v>1</v>
      </c>
      <c r="K210" s="14">
        <v>46129</v>
      </c>
      <c r="N210" s="13">
        <v>119</v>
      </c>
      <c r="P210" s="58" t="str">
        <f t="shared" si="21"/>
        <v>Tim Duncan</v>
      </c>
      <c r="Q210" s="58" t="str">
        <f>IFERROR(_xlfn.TEXTAFTER(_xlfn.XLOOKUP(A210,Collection!A:A,Collection!C:C,),"Cards "),C210)</f>
        <v>1997 Ultra Star Power</v>
      </c>
      <c r="R210" s="58" t="str">
        <f t="shared" si="22"/>
        <v>-</v>
      </c>
      <c r="S210" s="58" t="str">
        <f>IFERROR(_xlfn.TEXTAFTER(_xlfn.XLOOKUP(A210,Collection!A:A,Collection!B:B,),"#"),"")</f>
        <v>18</v>
      </c>
      <c r="T210" s="60">
        <f t="shared" si="23"/>
        <v>4.76</v>
      </c>
      <c r="U210" s="54" t="s">
        <v>1668</v>
      </c>
      <c r="V210" s="58" t="str">
        <f>IF(ISNUMBER(MATCH(N210,Catalog!$B$4:$B$16, 0)), "Keep", "For Sale")</f>
        <v>For Sale</v>
      </c>
      <c r="W210" s="58">
        <f t="shared" si="24"/>
        <v>1</v>
      </c>
      <c r="X210" s="58">
        <f t="shared" si="25"/>
        <v>2</v>
      </c>
      <c r="Y210" s="60">
        <f t="shared" si="26"/>
        <v>6</v>
      </c>
      <c r="Z210" s="60">
        <f t="shared" si="27"/>
        <v>5</v>
      </c>
      <c r="AE210"/>
      <c r="AF210"/>
      <c r="AG210"/>
    </row>
    <row r="211" spans="1:33" ht="14.4" x14ac:dyDescent="0.3">
      <c r="A211" s="13">
        <v>10482574</v>
      </c>
      <c r="B211" s="13" t="s">
        <v>897</v>
      </c>
      <c r="C211" s="13" t="s">
        <v>898</v>
      </c>
      <c r="D211" s="13">
        <v>1140</v>
      </c>
      <c r="E211" s="13" t="s">
        <v>171</v>
      </c>
      <c r="F211" s="13" t="s">
        <v>172</v>
      </c>
      <c r="H211" s="13" t="s">
        <v>899</v>
      </c>
      <c r="I211" s="13">
        <v>1582</v>
      </c>
      <c r="J211" s="13">
        <v>1</v>
      </c>
      <c r="K211" s="14">
        <v>46157</v>
      </c>
      <c r="L211" s="14">
        <v>46156</v>
      </c>
      <c r="N211" s="13">
        <v>28</v>
      </c>
      <c r="P211" s="58" t="str">
        <f t="shared" si="21"/>
        <v>Tyrese Maxey</v>
      </c>
      <c r="Q211" s="58" t="str">
        <f>IFERROR(_xlfn.TEXTAFTER(_xlfn.XLOOKUP(A211,Collection!A:A,Collection!C:C,),"Cards "),C211)</f>
        <v>2024 Panini Obsidian Equinox</v>
      </c>
      <c r="R211" s="58" t="str">
        <f t="shared" si="22"/>
        <v>Electric Etch Orange Flood</v>
      </c>
      <c r="S211" s="58" t="str">
        <f>IFERROR(_xlfn.TEXTAFTER(_xlfn.XLOOKUP(A211,Collection!A:A,Collection!B:B,),"#"),"")</f>
        <v>20</v>
      </c>
      <c r="T211" s="60">
        <f t="shared" si="23"/>
        <v>11.4</v>
      </c>
      <c r="U211" s="54" t="s">
        <v>1625</v>
      </c>
      <c r="V211" s="58" t="str">
        <f>IF(ISNUMBER(MATCH(N211,Catalog!$B$4:$B$16, 0)), "Keep", "For Sale")</f>
        <v>For Sale</v>
      </c>
      <c r="W211" s="58">
        <f t="shared" si="24"/>
        <v>1</v>
      </c>
      <c r="X211" s="58">
        <f t="shared" si="25"/>
        <v>2</v>
      </c>
      <c r="Y211" s="60">
        <f t="shared" si="26"/>
        <v>19</v>
      </c>
      <c r="Z211" s="60">
        <f t="shared" si="27"/>
        <v>11</v>
      </c>
      <c r="AE211"/>
      <c r="AF211"/>
      <c r="AG211"/>
    </row>
    <row r="212" spans="1:33" ht="14.4" x14ac:dyDescent="0.3">
      <c r="A212" s="13">
        <v>10192986</v>
      </c>
      <c r="B212" s="13" t="s">
        <v>686</v>
      </c>
      <c r="C212" s="13" t="s">
        <v>401</v>
      </c>
      <c r="D212" s="13">
        <v>100</v>
      </c>
      <c r="E212" s="13" t="s">
        <v>171</v>
      </c>
      <c r="F212" s="13" t="s">
        <v>172</v>
      </c>
      <c r="H212" s="13" t="s">
        <v>687</v>
      </c>
      <c r="I212" s="13">
        <v>302</v>
      </c>
      <c r="J212" s="13">
        <v>1</v>
      </c>
      <c r="K212" s="14">
        <v>46154</v>
      </c>
      <c r="L212" s="14">
        <v>46154</v>
      </c>
      <c r="N212" s="13">
        <v>549</v>
      </c>
      <c r="P212" s="58" t="str">
        <f t="shared" si="21"/>
        <v>Tyrese Maxey</v>
      </c>
      <c r="Q212" s="58" t="str">
        <f>IFERROR(_xlfn.TEXTAFTER(_xlfn.XLOOKUP(A212,Collection!A:A,Collection!C:C,),"Cards "),C212)</f>
        <v>2024 Panini Donruss Optic</v>
      </c>
      <c r="R212" s="58" t="str">
        <f t="shared" si="22"/>
        <v>Holo</v>
      </c>
      <c r="S212" s="58" t="str">
        <f>IFERROR(_xlfn.TEXTAFTER(_xlfn.XLOOKUP(A212,Collection!A:A,Collection!B:B,),"#"),"")</f>
        <v>135</v>
      </c>
      <c r="T212" s="60">
        <f t="shared" si="23"/>
        <v>1</v>
      </c>
      <c r="U212" s="54" t="s">
        <v>1625</v>
      </c>
      <c r="V212" s="58" t="str">
        <f>IF(ISNUMBER(MATCH(N212,Catalog!$B$4:$B$16, 0)), "Keep", "For Sale")</f>
        <v>For Sale</v>
      </c>
      <c r="W212" s="58">
        <f t="shared" si="24"/>
        <v>1</v>
      </c>
      <c r="X212" s="58">
        <f t="shared" si="25"/>
        <v>2</v>
      </c>
      <c r="Y212" s="60">
        <f t="shared" si="26"/>
        <v>4</v>
      </c>
      <c r="Z212" s="60">
        <f t="shared" si="27"/>
        <v>1</v>
      </c>
      <c r="AE212"/>
      <c r="AF212"/>
      <c r="AG212"/>
    </row>
    <row r="213" spans="1:33" ht="14.4" x14ac:dyDescent="0.3">
      <c r="A213" s="13">
        <v>6115117</v>
      </c>
      <c r="B213" s="13" t="s">
        <v>688</v>
      </c>
      <c r="C213" s="13" t="s">
        <v>689</v>
      </c>
      <c r="D213" s="13">
        <v>636</v>
      </c>
      <c r="E213" s="13" t="s">
        <v>171</v>
      </c>
      <c r="F213" s="13" t="s">
        <v>172</v>
      </c>
      <c r="I213" s="13">
        <v>0</v>
      </c>
      <c r="J213" s="13">
        <v>1</v>
      </c>
      <c r="K213" s="14">
        <v>46129</v>
      </c>
      <c r="N213" s="13">
        <v>122</v>
      </c>
      <c r="P213" s="58" t="str">
        <f t="shared" si="21"/>
        <v>Wolverine Crippled</v>
      </c>
      <c r="Q213" s="58" t="str">
        <f>IFERROR(_xlfn.TEXTAFTER(_xlfn.XLOOKUP(A213,Collection!A:A,Collection!C:C,),"Cards "),C213)</f>
        <v>Marvel 1994 Ultra X-Men Fatal Attractions</v>
      </c>
      <c r="R213" s="58" t="str">
        <f t="shared" si="22"/>
        <v>-</v>
      </c>
      <c r="S213" s="58" t="str">
        <f>IFERROR(_xlfn.TEXTAFTER(_xlfn.XLOOKUP(A213,Collection!A:A,Collection!B:B,),"#"),"")</f>
        <v>4</v>
      </c>
      <c r="T213" s="60">
        <f t="shared" si="23"/>
        <v>6.36</v>
      </c>
      <c r="U213" s="54" t="s">
        <v>1700</v>
      </c>
      <c r="V213" s="58" t="str">
        <f>IF(ISNUMBER(MATCH(N213,Catalog!$B$4:$B$16, 0)), "Keep", "For Sale")</f>
        <v>For Sale</v>
      </c>
      <c r="W213" s="58">
        <f t="shared" si="24"/>
        <v>1</v>
      </c>
      <c r="X213" s="58">
        <f t="shared" si="25"/>
        <v>2</v>
      </c>
      <c r="Y213" s="60">
        <f t="shared" si="26"/>
        <v>8</v>
      </c>
      <c r="Z213" s="60">
        <f t="shared" si="27"/>
        <v>6</v>
      </c>
      <c r="AE213"/>
      <c r="AF213"/>
      <c r="AG213"/>
    </row>
    <row r="214" spans="1:33" ht="14.4" x14ac:dyDescent="0.3">
      <c r="A214" s="13">
        <v>85425</v>
      </c>
      <c r="B214" s="13" t="s">
        <v>351</v>
      </c>
      <c r="C214" s="13" t="s">
        <v>216</v>
      </c>
      <c r="D214" s="13">
        <v>513</v>
      </c>
      <c r="E214" s="13" t="s">
        <v>171</v>
      </c>
      <c r="F214" s="13" t="s">
        <v>172</v>
      </c>
      <c r="I214" s="13">
        <v>0</v>
      </c>
      <c r="J214" s="13">
        <v>1</v>
      </c>
      <c r="K214" s="14">
        <v>46127</v>
      </c>
      <c r="N214" s="13">
        <v>117</v>
      </c>
      <c r="P214" s="58" t="str">
        <f t="shared" si="21"/>
        <v>Allen Iverson</v>
      </c>
      <c r="Q214" s="58" t="str">
        <f>IFERROR(_xlfn.TEXTAFTER(_xlfn.XLOOKUP(A214,Collection!A:A,Collection!C:C,),"Cards "),C214)</f>
        <v>1996 Fleer Metal</v>
      </c>
      <c r="R214" s="58" t="str">
        <f t="shared" si="22"/>
        <v>-</v>
      </c>
      <c r="S214" s="58" t="str">
        <f>IFERROR(_xlfn.TEXTAFTER(_xlfn.XLOOKUP(A214,Collection!A:A,Collection!B:B,),"#"),"")</f>
        <v>201</v>
      </c>
      <c r="T214" s="60">
        <f t="shared" si="23"/>
        <v>5.13</v>
      </c>
      <c r="U214" s="54" t="s">
        <v>1588</v>
      </c>
      <c r="V214" s="58" t="str">
        <f>IF(ISNUMBER(MATCH(N214,Catalog!$B$4:$B$16, 0)), "Keep", "For Sale")</f>
        <v>For Sale</v>
      </c>
      <c r="W214" s="58">
        <f t="shared" si="24"/>
        <v>1</v>
      </c>
      <c r="X214" s="58">
        <f t="shared" si="25"/>
        <v>3</v>
      </c>
      <c r="Y214" s="60">
        <f t="shared" si="26"/>
        <v>6</v>
      </c>
      <c r="Z214" s="60">
        <f t="shared" si="27"/>
        <v>5</v>
      </c>
      <c r="AE214"/>
      <c r="AF214"/>
      <c r="AG214"/>
    </row>
    <row r="215" spans="1:33" ht="14.4" x14ac:dyDescent="0.3">
      <c r="A215" s="13">
        <v>2290904</v>
      </c>
      <c r="B215" s="13" t="s">
        <v>263</v>
      </c>
      <c r="C215" s="13" t="s">
        <v>1251</v>
      </c>
      <c r="D215" s="13">
        <v>499</v>
      </c>
      <c r="E215" s="13" t="s">
        <v>171</v>
      </c>
      <c r="F215" s="13" t="s">
        <v>172</v>
      </c>
      <c r="I215" s="13">
        <v>0</v>
      </c>
      <c r="J215" s="13">
        <v>1</v>
      </c>
      <c r="K215" s="14">
        <v>46172</v>
      </c>
      <c r="N215" s="13">
        <v>114</v>
      </c>
      <c r="P215" s="58" t="str">
        <f t="shared" si="21"/>
        <v>Allen Iverson</v>
      </c>
      <c r="Q215" s="58" t="str">
        <f>IFERROR(_xlfn.TEXTAFTER(_xlfn.XLOOKUP(A215,Collection!A:A,Collection!C:C,),"Cards "),C215)</f>
        <v>1996 Metal Fresh Foundation</v>
      </c>
      <c r="R215" s="58" t="str">
        <f t="shared" si="22"/>
        <v>-</v>
      </c>
      <c r="S215" s="58" t="str">
        <f>IFERROR(_xlfn.TEXTAFTER(_xlfn.XLOOKUP(A215,Collection!A:A,Collection!B:B,),"#"),"")</f>
        <v>236</v>
      </c>
      <c r="T215" s="60">
        <f t="shared" si="23"/>
        <v>4.99</v>
      </c>
      <c r="U215" s="54" t="s">
        <v>1588</v>
      </c>
      <c r="V215" s="58" t="str">
        <f>IF(ISNUMBER(MATCH(N215,Catalog!$B$4:$B$16, 0)), "Keep", "For Sale")</f>
        <v>For Sale</v>
      </c>
      <c r="W215" s="58">
        <f t="shared" si="24"/>
        <v>1</v>
      </c>
      <c r="X215" s="58">
        <f t="shared" si="25"/>
        <v>3</v>
      </c>
      <c r="Y215" s="60">
        <f t="shared" si="26"/>
        <v>6</v>
      </c>
      <c r="Z215" s="60">
        <f t="shared" si="27"/>
        <v>5</v>
      </c>
      <c r="AE215"/>
      <c r="AF215"/>
      <c r="AG215"/>
    </row>
    <row r="216" spans="1:33" ht="14.4" x14ac:dyDescent="0.3">
      <c r="A216" s="13">
        <v>87390</v>
      </c>
      <c r="B216" s="13" t="s">
        <v>340</v>
      </c>
      <c r="C216" s="13" t="s">
        <v>174</v>
      </c>
      <c r="D216" s="13">
        <v>375</v>
      </c>
      <c r="E216" s="13" t="s">
        <v>171</v>
      </c>
      <c r="F216" s="13" t="s">
        <v>172</v>
      </c>
      <c r="I216" s="13">
        <v>0</v>
      </c>
      <c r="J216" s="13">
        <v>1</v>
      </c>
      <c r="K216" s="14">
        <v>46127</v>
      </c>
      <c r="N216" s="13">
        <v>116</v>
      </c>
      <c r="P216" s="58" t="str">
        <f t="shared" si="21"/>
        <v>Allen Iverson</v>
      </c>
      <c r="Q216" s="58" t="str">
        <f>IFERROR(_xlfn.TEXTAFTER(_xlfn.XLOOKUP(A216,Collection!A:A,Collection!C:C,),"Cards "),C216)</f>
        <v>1996 Upper Deck</v>
      </c>
      <c r="R216" s="58" t="str">
        <f t="shared" si="22"/>
        <v>-</v>
      </c>
      <c r="S216" s="58" t="str">
        <f>IFERROR(_xlfn.TEXTAFTER(_xlfn.XLOOKUP(A216,Collection!A:A,Collection!B:B,),"#"),"")</f>
        <v>91</v>
      </c>
      <c r="T216" s="60">
        <f t="shared" si="23"/>
        <v>3.75</v>
      </c>
      <c r="U216" s="54" t="s">
        <v>1588</v>
      </c>
      <c r="V216" s="58" t="str">
        <f>IF(ISNUMBER(MATCH(N216,Catalog!$B$4:$B$16, 0)), "Keep", "For Sale")</f>
        <v>For Sale</v>
      </c>
      <c r="W216" s="58">
        <f t="shared" si="24"/>
        <v>1</v>
      </c>
      <c r="X216" s="58">
        <f t="shared" si="25"/>
        <v>3</v>
      </c>
      <c r="Y216" s="60">
        <f t="shared" si="26"/>
        <v>5</v>
      </c>
      <c r="Z216" s="60">
        <f t="shared" si="27"/>
        <v>4</v>
      </c>
      <c r="AE216"/>
      <c r="AF216"/>
      <c r="AG216"/>
    </row>
    <row r="217" spans="1:33" ht="14.4" x14ac:dyDescent="0.3">
      <c r="A217" s="13">
        <v>85669</v>
      </c>
      <c r="B217" s="13" t="s">
        <v>354</v>
      </c>
      <c r="C217" s="13" t="s">
        <v>195</v>
      </c>
      <c r="D217" s="13">
        <v>350</v>
      </c>
      <c r="E217" s="13" t="s">
        <v>171</v>
      </c>
      <c r="F217" s="13" t="s">
        <v>172</v>
      </c>
      <c r="I217" s="13">
        <v>0</v>
      </c>
      <c r="J217" s="13">
        <v>1</v>
      </c>
      <c r="K217" s="14">
        <v>46127</v>
      </c>
      <c r="N217" s="13">
        <v>154</v>
      </c>
      <c r="P217" s="58" t="str">
        <f t="shared" si="21"/>
        <v>Allen Iverson</v>
      </c>
      <c r="Q217" s="58" t="str">
        <f>IFERROR(_xlfn.TEXTAFTER(_xlfn.XLOOKUP(A217,Collection!A:A,Collection!C:C,),"Cards "),C217)</f>
        <v>1996 Skybox Premium</v>
      </c>
      <c r="R217" s="58" t="str">
        <f t="shared" si="22"/>
        <v>-</v>
      </c>
      <c r="S217" s="58" t="str">
        <f>IFERROR(_xlfn.TEXTAFTER(_xlfn.XLOOKUP(A217,Collection!A:A,Collection!B:B,),"#"),"")</f>
        <v>85</v>
      </c>
      <c r="T217" s="60">
        <f t="shared" si="23"/>
        <v>3.5</v>
      </c>
      <c r="U217" s="54" t="s">
        <v>1588</v>
      </c>
      <c r="V217" s="58" t="str">
        <f>IF(ISNUMBER(MATCH(N217,Catalog!$B$4:$B$16, 0)), "Keep", "For Sale")</f>
        <v>For Sale</v>
      </c>
      <c r="W217" s="58">
        <f t="shared" si="24"/>
        <v>1</v>
      </c>
      <c r="X217" s="58">
        <f t="shared" si="25"/>
        <v>3</v>
      </c>
      <c r="Y217" s="60">
        <f t="shared" si="26"/>
        <v>4</v>
      </c>
      <c r="Z217" s="60">
        <f t="shared" si="27"/>
        <v>4</v>
      </c>
      <c r="AE217"/>
      <c r="AF217"/>
      <c r="AG217"/>
    </row>
    <row r="218" spans="1:33" ht="14.4" x14ac:dyDescent="0.3">
      <c r="A218" s="13">
        <v>85706</v>
      </c>
      <c r="B218" s="13" t="s">
        <v>243</v>
      </c>
      <c r="C218" s="13" t="s">
        <v>195</v>
      </c>
      <c r="D218" s="13">
        <v>349</v>
      </c>
      <c r="E218" s="13" t="s">
        <v>171</v>
      </c>
      <c r="F218" s="13" t="s">
        <v>172</v>
      </c>
      <c r="I218" s="13">
        <v>0</v>
      </c>
      <c r="J218" s="13">
        <v>1</v>
      </c>
      <c r="K218" s="14">
        <v>46129</v>
      </c>
      <c r="N218" s="13">
        <v>164</v>
      </c>
      <c r="P218" s="58" t="str">
        <f t="shared" si="21"/>
        <v>Allen Iverson</v>
      </c>
      <c r="Q218" s="58" t="str">
        <f>IFERROR(_xlfn.TEXTAFTER(_xlfn.XLOOKUP(A218,Collection!A:A,Collection!C:C,),"Cards "),C218)</f>
        <v>1996 Skybox Premium</v>
      </c>
      <c r="R218" s="58" t="str">
        <f t="shared" si="22"/>
        <v>-</v>
      </c>
      <c r="S218" s="58" t="str">
        <f>IFERROR(_xlfn.TEXTAFTER(_xlfn.XLOOKUP(A218,Collection!A:A,Collection!B:B,),"#"),"")</f>
        <v>216</v>
      </c>
      <c r="T218" s="60">
        <f t="shared" si="23"/>
        <v>3.49</v>
      </c>
      <c r="U218" s="54" t="s">
        <v>1588</v>
      </c>
      <c r="V218" s="58" t="str">
        <f>IF(ISNUMBER(MATCH(N218,Catalog!$B$4:$B$16, 0)), "Keep", "For Sale")</f>
        <v>For Sale</v>
      </c>
      <c r="W218" s="58">
        <f t="shared" si="24"/>
        <v>1</v>
      </c>
      <c r="X218" s="58">
        <f t="shared" si="25"/>
        <v>3</v>
      </c>
      <c r="Y218" s="60">
        <f t="shared" si="26"/>
        <v>4</v>
      </c>
      <c r="Z218" s="60">
        <f t="shared" si="27"/>
        <v>3</v>
      </c>
      <c r="AE218"/>
      <c r="AF218"/>
      <c r="AG218"/>
    </row>
    <row r="219" spans="1:33" ht="14.4" x14ac:dyDescent="0.3">
      <c r="A219" s="13">
        <v>94050</v>
      </c>
      <c r="B219" s="13" t="s">
        <v>219</v>
      </c>
      <c r="C219" s="13" t="s">
        <v>189</v>
      </c>
      <c r="D219" s="13">
        <v>250</v>
      </c>
      <c r="E219" s="13" t="s">
        <v>171</v>
      </c>
      <c r="F219" s="13" t="s">
        <v>172</v>
      </c>
      <c r="I219" s="13">
        <v>0</v>
      </c>
      <c r="J219" s="13">
        <v>1</v>
      </c>
      <c r="K219" s="14">
        <v>46129</v>
      </c>
      <c r="N219" s="13">
        <v>232</v>
      </c>
      <c r="P219" s="58" t="str">
        <f t="shared" si="21"/>
        <v>Allen Iverson</v>
      </c>
      <c r="Q219" s="58" t="str">
        <f>IFERROR(_xlfn.TEXTAFTER(_xlfn.XLOOKUP(A219,Collection!A:A,Collection!C:C,),"Cards "),C219)</f>
        <v>1998 Upper Deck Black Diamond</v>
      </c>
      <c r="R219" s="58" t="str">
        <f t="shared" si="22"/>
        <v>-</v>
      </c>
      <c r="S219" s="58" t="str">
        <f>IFERROR(_xlfn.TEXTAFTER(_xlfn.XLOOKUP(A219,Collection!A:A,Collection!B:B,),"#"),"")</f>
        <v>66</v>
      </c>
      <c r="T219" s="60">
        <f t="shared" si="23"/>
        <v>2.5</v>
      </c>
      <c r="U219" s="54" t="s">
        <v>1588</v>
      </c>
      <c r="V219" s="58" t="str">
        <f>IF(ISNUMBER(MATCH(N219,Catalog!$B$4:$B$16, 0)), "Keep", "For Sale")</f>
        <v>For Sale</v>
      </c>
      <c r="W219" s="58">
        <f t="shared" si="24"/>
        <v>1</v>
      </c>
      <c r="X219" s="58">
        <f t="shared" si="25"/>
        <v>3</v>
      </c>
      <c r="Y219" s="60">
        <f t="shared" si="26"/>
        <v>3</v>
      </c>
      <c r="Z219" s="60">
        <f t="shared" si="27"/>
        <v>3</v>
      </c>
      <c r="AE219"/>
      <c r="AF219"/>
      <c r="AG219"/>
    </row>
    <row r="220" spans="1:33" ht="14.4" x14ac:dyDescent="0.3">
      <c r="A220" s="13">
        <v>2988190</v>
      </c>
      <c r="B220" s="13" t="s">
        <v>1230</v>
      </c>
      <c r="C220" s="13" t="s">
        <v>1231</v>
      </c>
      <c r="D220" s="13">
        <v>234</v>
      </c>
      <c r="E220" s="13" t="s">
        <v>171</v>
      </c>
      <c r="F220" s="13" t="s">
        <v>172</v>
      </c>
      <c r="I220" s="13">
        <v>0</v>
      </c>
      <c r="J220" s="13">
        <v>1</v>
      </c>
      <c r="K220" s="14">
        <v>46173</v>
      </c>
      <c r="N220" s="13">
        <v>217</v>
      </c>
      <c r="P220" s="58" t="str">
        <f t="shared" si="21"/>
        <v>Allen iverson</v>
      </c>
      <c r="Q220" s="58" t="str">
        <f>IFERROR(_xlfn.TEXTAFTER(_xlfn.XLOOKUP(A220,Collection!A:A,Collection!C:C,),"Cards "),C220)</f>
        <v>1997 Skybox Reebok Allen Iverson</v>
      </c>
      <c r="R220" s="58" t="str">
        <f t="shared" si="22"/>
        <v>-</v>
      </c>
      <c r="S220" s="58" t="str">
        <f>IFERROR(_xlfn.TEXTAFTER(_xlfn.XLOOKUP(A220,Collection!A:A,Collection!B:B,),"#"),"")</f>
        <v/>
      </c>
      <c r="T220" s="60">
        <f t="shared" si="23"/>
        <v>2.34</v>
      </c>
      <c r="U220" s="54" t="s">
        <v>1230</v>
      </c>
      <c r="V220" s="58" t="str">
        <f>IF(ISNUMBER(MATCH(N220,Catalog!$B$4:$B$16, 0)), "Keep", "For Sale")</f>
        <v>For Sale</v>
      </c>
      <c r="W220" s="58">
        <f t="shared" si="24"/>
        <v>1</v>
      </c>
      <c r="X220" s="58">
        <f t="shared" si="25"/>
        <v>3</v>
      </c>
      <c r="Y220" s="60">
        <f t="shared" si="26"/>
        <v>3</v>
      </c>
      <c r="Z220" s="60">
        <f t="shared" si="27"/>
        <v>2.5</v>
      </c>
      <c r="AE220"/>
      <c r="AF220"/>
      <c r="AG220"/>
    </row>
    <row r="221" spans="1:33" ht="14.4" x14ac:dyDescent="0.3">
      <c r="A221" s="13">
        <v>87438</v>
      </c>
      <c r="B221" s="13" t="s">
        <v>287</v>
      </c>
      <c r="C221" s="13" t="s">
        <v>174</v>
      </c>
      <c r="D221" s="13">
        <v>201</v>
      </c>
      <c r="E221" s="13" t="s">
        <v>171</v>
      </c>
      <c r="F221" s="13" t="s">
        <v>172</v>
      </c>
      <c r="I221" s="13">
        <v>0</v>
      </c>
      <c r="J221" s="13">
        <v>1</v>
      </c>
      <c r="K221" s="14">
        <v>46129</v>
      </c>
      <c r="N221" s="13">
        <v>270</v>
      </c>
      <c r="P221" s="58" t="str">
        <f t="shared" si="21"/>
        <v>Allen Iverson</v>
      </c>
      <c r="Q221" s="58" t="str">
        <f>IFERROR(_xlfn.TEXTAFTER(_xlfn.XLOOKUP(A221,Collection!A:A,Collection!C:C,),"Cards "),C221)</f>
        <v>1996 Upper Deck</v>
      </c>
      <c r="R221" s="58" t="str">
        <f t="shared" si="22"/>
        <v>-</v>
      </c>
      <c r="S221" s="58" t="str">
        <f>IFERROR(_xlfn.TEXTAFTER(_xlfn.XLOOKUP(A221,Collection!A:A,Collection!B:B,),"#"),"")</f>
        <v>350</v>
      </c>
      <c r="T221" s="60">
        <f t="shared" si="23"/>
        <v>2.0099999999999998</v>
      </c>
      <c r="U221" s="54" t="s">
        <v>1588</v>
      </c>
      <c r="V221" s="58" t="str">
        <f>IF(ISNUMBER(MATCH(N221,Catalog!$B$4:$B$16, 0)), "Keep", "For Sale")</f>
        <v>For Sale</v>
      </c>
      <c r="W221" s="58">
        <f t="shared" si="24"/>
        <v>1</v>
      </c>
      <c r="X221" s="58">
        <f t="shared" si="25"/>
        <v>3</v>
      </c>
      <c r="Y221" s="60">
        <f t="shared" si="26"/>
        <v>2.5</v>
      </c>
      <c r="Z221" s="60">
        <f t="shared" si="27"/>
        <v>2</v>
      </c>
      <c r="AE221"/>
      <c r="AF221"/>
      <c r="AG221"/>
    </row>
    <row r="222" spans="1:33" ht="14.4" x14ac:dyDescent="0.3">
      <c r="A222" s="13">
        <v>2290991</v>
      </c>
      <c r="B222" s="13" t="s">
        <v>219</v>
      </c>
      <c r="C222" s="13" t="s">
        <v>323</v>
      </c>
      <c r="D222" s="13">
        <v>150</v>
      </c>
      <c r="E222" s="13" t="s">
        <v>171</v>
      </c>
      <c r="F222" s="13" t="s">
        <v>172</v>
      </c>
      <c r="I222" s="13">
        <v>0</v>
      </c>
      <c r="J222" s="13">
        <v>1</v>
      </c>
      <c r="K222" s="14">
        <v>46173</v>
      </c>
      <c r="N222" s="13">
        <v>427</v>
      </c>
      <c r="P222" s="58" t="str">
        <f t="shared" si="21"/>
        <v>Allen Iverson</v>
      </c>
      <c r="Q222" s="58" t="str">
        <f>IFERROR(_xlfn.TEXTAFTER(_xlfn.XLOOKUP(A222,Collection!A:A,Collection!C:C,),"Cards "),C222)</f>
        <v>1999 Topps NBA Tipoff</v>
      </c>
      <c r="R222" s="58" t="str">
        <f t="shared" si="22"/>
        <v>-</v>
      </c>
      <c r="S222" s="58" t="str">
        <f>IFERROR(_xlfn.TEXTAFTER(_xlfn.XLOOKUP(A222,Collection!A:A,Collection!B:B,),"#"),"")</f>
        <v>66</v>
      </c>
      <c r="T222" s="60">
        <f t="shared" si="23"/>
        <v>1.5</v>
      </c>
      <c r="U222" s="54" t="s">
        <v>1588</v>
      </c>
      <c r="V222" s="58" t="str">
        <f>IF(ISNUMBER(MATCH(N222,Catalog!$B$4:$B$16, 0)), "Keep", "For Sale")</f>
        <v>For Sale</v>
      </c>
      <c r="W222" s="58">
        <f t="shared" si="24"/>
        <v>1</v>
      </c>
      <c r="X222" s="58">
        <f t="shared" si="25"/>
        <v>3</v>
      </c>
      <c r="Y222" s="60">
        <f t="shared" si="26"/>
        <v>2</v>
      </c>
      <c r="Z222" s="60">
        <f t="shared" si="27"/>
        <v>1.5</v>
      </c>
      <c r="AE222"/>
      <c r="AF222"/>
      <c r="AG222"/>
    </row>
    <row r="223" spans="1:33" ht="14.4" x14ac:dyDescent="0.3">
      <c r="A223" s="13">
        <v>90405</v>
      </c>
      <c r="B223" s="13" t="s">
        <v>1297</v>
      </c>
      <c r="C223" s="13" t="s">
        <v>1298</v>
      </c>
      <c r="D223" s="13">
        <v>148</v>
      </c>
      <c r="E223" s="13" t="s">
        <v>171</v>
      </c>
      <c r="F223" s="13" t="s">
        <v>172</v>
      </c>
      <c r="I223" s="13">
        <v>0</v>
      </c>
      <c r="J223" s="13">
        <v>1</v>
      </c>
      <c r="K223" s="14">
        <v>46173</v>
      </c>
      <c r="N223" s="13">
        <v>403</v>
      </c>
      <c r="P223" s="58" t="str">
        <f t="shared" si="21"/>
        <v>Allen Iverson</v>
      </c>
      <c r="Q223" s="58" t="str">
        <f>IFERROR(_xlfn.TEXTAFTER(_xlfn.XLOOKUP(A223,Collection!A:A,Collection!C:C,),"Cards "),C223)</f>
        <v>1997 Topps</v>
      </c>
      <c r="R223" s="58" t="str">
        <f t="shared" si="22"/>
        <v>-</v>
      </c>
      <c r="S223" s="58" t="str">
        <f>IFERROR(_xlfn.TEXTAFTER(_xlfn.XLOOKUP(A223,Collection!A:A,Collection!B:B,),"#"),"")</f>
        <v>54</v>
      </c>
      <c r="T223" s="60">
        <f t="shared" si="23"/>
        <v>1.48</v>
      </c>
      <c r="U223" s="54" t="s">
        <v>1588</v>
      </c>
      <c r="V223" s="58" t="str">
        <f>IF(ISNUMBER(MATCH(N223,Catalog!$B$4:$B$16, 0)), "Keep", "For Sale")</f>
        <v>For Sale</v>
      </c>
      <c r="W223" s="58">
        <f t="shared" si="24"/>
        <v>1</v>
      </c>
      <c r="X223" s="58">
        <f t="shared" si="25"/>
        <v>3</v>
      </c>
      <c r="Y223" s="60">
        <f t="shared" si="26"/>
        <v>2</v>
      </c>
      <c r="Z223" s="60">
        <f t="shared" si="27"/>
        <v>1.25</v>
      </c>
      <c r="AE223"/>
      <c r="AF223"/>
      <c r="AG223"/>
    </row>
    <row r="224" spans="1:33" ht="14.4" x14ac:dyDescent="0.3">
      <c r="A224" s="13">
        <v>2945570</v>
      </c>
      <c r="B224" s="13" t="s">
        <v>212</v>
      </c>
      <c r="C224" s="13" t="s">
        <v>213</v>
      </c>
      <c r="D224" s="13">
        <v>147</v>
      </c>
      <c r="E224" s="13" t="s">
        <v>171</v>
      </c>
      <c r="F224" s="13" t="s">
        <v>172</v>
      </c>
      <c r="I224" s="13">
        <v>0</v>
      </c>
      <c r="J224" s="13">
        <v>1</v>
      </c>
      <c r="K224" s="14">
        <v>46129</v>
      </c>
      <c r="N224" s="13">
        <v>388</v>
      </c>
      <c r="P224" s="58" t="str">
        <f t="shared" si="21"/>
        <v>Allen Iverson</v>
      </c>
      <c r="Q224" s="58" t="str">
        <f>IFERROR(_xlfn.TEXTAFTER(_xlfn.XLOOKUP(A224,Collection!A:A,Collection!C:C,),"Cards "),C224)</f>
        <v>1999 SP Authentic</v>
      </c>
      <c r="R224" s="58" t="str">
        <f t="shared" si="22"/>
        <v>-</v>
      </c>
      <c r="S224" s="58" t="str">
        <f>IFERROR(_xlfn.TEXTAFTER(_xlfn.XLOOKUP(A224,Collection!A:A,Collection!B:B,),"#"),"")</f>
        <v>60</v>
      </c>
      <c r="T224" s="60">
        <f t="shared" si="23"/>
        <v>1.47</v>
      </c>
      <c r="U224" s="54" t="s">
        <v>1588</v>
      </c>
      <c r="V224" s="58" t="str">
        <f>IF(ISNUMBER(MATCH(N224,Catalog!$B$4:$B$16, 0)), "Keep", "For Sale")</f>
        <v>For Sale</v>
      </c>
      <c r="W224" s="58">
        <f t="shared" si="24"/>
        <v>1</v>
      </c>
      <c r="X224" s="58">
        <f t="shared" si="25"/>
        <v>3</v>
      </c>
      <c r="Y224" s="60">
        <f t="shared" si="26"/>
        <v>2</v>
      </c>
      <c r="Z224" s="60">
        <f t="shared" si="27"/>
        <v>1.25</v>
      </c>
      <c r="AE224"/>
      <c r="AF224"/>
      <c r="AG224"/>
    </row>
    <row r="225" spans="1:33" ht="14.4" x14ac:dyDescent="0.3">
      <c r="A225" s="13">
        <v>13162354</v>
      </c>
      <c r="B225" s="13" t="s">
        <v>1199</v>
      </c>
      <c r="C225" s="13" t="s">
        <v>409</v>
      </c>
      <c r="D225" s="13">
        <v>365</v>
      </c>
      <c r="E225" s="13" t="s">
        <v>171</v>
      </c>
      <c r="F225" s="13" t="s">
        <v>172</v>
      </c>
      <c r="I225" s="13">
        <v>0</v>
      </c>
      <c r="J225" s="13">
        <v>1</v>
      </c>
      <c r="K225" s="14">
        <v>46172</v>
      </c>
      <c r="N225" s="13">
        <v>150</v>
      </c>
      <c r="P225" s="58" t="str">
        <f t="shared" si="21"/>
        <v>Alonzo Mourning</v>
      </c>
      <c r="Q225" s="58" t="str">
        <f>IFERROR(_xlfn.TEXTAFTER(_xlfn.XLOOKUP(A225,Collection!A:A,Collection!C:C,),"Cards "),C225)</f>
        <v>1996 Metal Edge</v>
      </c>
      <c r="R225" s="58" t="str">
        <f t="shared" si="22"/>
        <v>-</v>
      </c>
      <c r="S225" s="58" t="str">
        <f>IFERROR(_xlfn.TEXTAFTER(_xlfn.XLOOKUP(A225,Collection!A:A,Collection!B:B,),"#"),"")</f>
        <v>3</v>
      </c>
      <c r="T225" s="60">
        <f t="shared" si="23"/>
        <v>3.65</v>
      </c>
      <c r="U225" s="54" t="s">
        <v>1619</v>
      </c>
      <c r="V225" s="58" t="str">
        <f>IF(ISNUMBER(MATCH(N225,Catalog!$B$4:$B$16, 0)), "Keep", "For Sale")</f>
        <v>For Sale</v>
      </c>
      <c r="W225" s="58">
        <f t="shared" si="24"/>
        <v>2</v>
      </c>
      <c r="X225" s="58">
        <f t="shared" si="25"/>
        <v>3</v>
      </c>
      <c r="Y225" s="60">
        <f t="shared" si="26"/>
        <v>4</v>
      </c>
      <c r="Z225" s="60">
        <f t="shared" si="27"/>
        <v>3</v>
      </c>
      <c r="AE225"/>
      <c r="AF225"/>
      <c r="AG225"/>
    </row>
    <row r="226" spans="1:33" ht="14.4" x14ac:dyDescent="0.3">
      <c r="A226" s="13">
        <v>13162354</v>
      </c>
      <c r="B226" s="13" t="s">
        <v>1199</v>
      </c>
      <c r="C226" s="13" t="s">
        <v>409</v>
      </c>
      <c r="D226" s="13">
        <v>365</v>
      </c>
      <c r="E226" s="13" t="s">
        <v>171</v>
      </c>
      <c r="F226" s="13" t="s">
        <v>172</v>
      </c>
      <c r="I226" s="13">
        <v>0</v>
      </c>
      <c r="J226" s="13">
        <v>1</v>
      </c>
      <c r="K226" s="14">
        <v>46183</v>
      </c>
      <c r="N226" s="13">
        <v>151</v>
      </c>
      <c r="P226" s="58" t="str">
        <f t="shared" si="21"/>
        <v>Alonzo Mourning</v>
      </c>
      <c r="Q226" s="58" t="str">
        <f>IFERROR(_xlfn.TEXTAFTER(_xlfn.XLOOKUP(A226,Collection!A:A,Collection!C:C,),"Cards "),C226)</f>
        <v>1996 Metal Edge</v>
      </c>
      <c r="R226" s="58" t="str">
        <f t="shared" si="22"/>
        <v>-</v>
      </c>
      <c r="S226" s="58" t="str">
        <f>IFERROR(_xlfn.TEXTAFTER(_xlfn.XLOOKUP(A226,Collection!A:A,Collection!B:B,),"#"),"")</f>
        <v>3</v>
      </c>
      <c r="T226" s="60">
        <f t="shared" si="23"/>
        <v>3.65</v>
      </c>
      <c r="U226" s="54" t="s">
        <v>1619</v>
      </c>
      <c r="V226" s="58" t="str">
        <f>IF(ISNUMBER(MATCH(N226,Catalog!$B$4:$B$16, 0)), "Keep", "For Sale")</f>
        <v>For Sale</v>
      </c>
      <c r="W226" s="58">
        <f t="shared" si="24"/>
        <v>2</v>
      </c>
      <c r="X226" s="58">
        <f t="shared" si="25"/>
        <v>3</v>
      </c>
      <c r="Y226" s="60">
        <f t="shared" si="26"/>
        <v>4</v>
      </c>
      <c r="Z226" s="60">
        <f t="shared" si="27"/>
        <v>3</v>
      </c>
      <c r="AE226"/>
      <c r="AF226"/>
      <c r="AG226"/>
    </row>
    <row r="227" spans="1:33" ht="14.4" x14ac:dyDescent="0.3">
      <c r="A227" s="13">
        <v>5122085</v>
      </c>
      <c r="B227" s="13" t="s">
        <v>377</v>
      </c>
      <c r="C227" s="13" t="s">
        <v>378</v>
      </c>
      <c r="D227" s="13">
        <v>159</v>
      </c>
      <c r="E227" s="13" t="s">
        <v>171</v>
      </c>
      <c r="F227" s="13" t="s">
        <v>172</v>
      </c>
      <c r="I227" s="13">
        <v>0</v>
      </c>
      <c r="J227" s="13">
        <v>1</v>
      </c>
      <c r="K227" s="14">
        <v>46149</v>
      </c>
      <c r="N227" s="13">
        <v>379</v>
      </c>
      <c r="P227" s="58" t="str">
        <f t="shared" si="21"/>
        <v>Alonzo Mourning</v>
      </c>
      <c r="Q227" s="58" t="str">
        <f>IFERROR(_xlfn.TEXTAFTER(_xlfn.XLOOKUP(A227,Collection!A:A,Collection!C:C,),"Cards "),C227)</f>
        <v>1995 Metal Steel Tower</v>
      </c>
      <c r="R227" s="58" t="str">
        <f t="shared" si="22"/>
        <v>-</v>
      </c>
      <c r="S227" s="58" t="str">
        <f>IFERROR(_xlfn.TEXTAFTER(_xlfn.XLOOKUP(A227,Collection!A:A,Collection!B:B,),"#"),"")</f>
        <v>4</v>
      </c>
      <c r="T227" s="60">
        <f t="shared" si="23"/>
        <v>1.59</v>
      </c>
      <c r="U227" s="54" t="s">
        <v>1619</v>
      </c>
      <c r="V227" s="58" t="str">
        <f>IF(ISNUMBER(MATCH(N227,Catalog!$B$4:$B$16, 0)), "Keep", "For Sale")</f>
        <v>For Sale</v>
      </c>
      <c r="W227" s="58">
        <f t="shared" si="24"/>
        <v>1</v>
      </c>
      <c r="X227" s="58">
        <f t="shared" si="25"/>
        <v>3</v>
      </c>
      <c r="Y227" s="60">
        <f t="shared" si="26"/>
        <v>2</v>
      </c>
      <c r="Z227" s="60">
        <f t="shared" si="27"/>
        <v>1.5</v>
      </c>
      <c r="AE227"/>
      <c r="AF227"/>
      <c r="AG227"/>
    </row>
    <row r="228" spans="1:33" ht="14.4" x14ac:dyDescent="0.3">
      <c r="A228" s="13">
        <v>90544</v>
      </c>
      <c r="B228" s="13" t="s">
        <v>1288</v>
      </c>
      <c r="C228" s="13" t="s">
        <v>414</v>
      </c>
      <c r="D228" s="13">
        <v>403</v>
      </c>
      <c r="E228" s="13" t="s">
        <v>171</v>
      </c>
      <c r="F228" s="13" t="s">
        <v>172</v>
      </c>
      <c r="I228" s="13">
        <v>0</v>
      </c>
      <c r="J228" s="13">
        <v>1</v>
      </c>
      <c r="K228" s="14">
        <v>46173</v>
      </c>
      <c r="N228" s="13">
        <v>133</v>
      </c>
      <c r="P228" s="58" t="str">
        <f t="shared" si="21"/>
        <v>Anfernee Hardaway</v>
      </c>
      <c r="Q228" s="58" t="str">
        <f>IFERROR(_xlfn.TEXTAFTER(_xlfn.XLOOKUP(A228,Collection!A:A,Collection!C:C,),"Cards "),C228)</f>
        <v>1997 Ultra Star Power</v>
      </c>
      <c r="R228" s="58" t="str">
        <f t="shared" si="22"/>
        <v>-</v>
      </c>
      <c r="S228" s="58" t="str">
        <f>IFERROR(_xlfn.TEXTAFTER(_xlfn.XLOOKUP(A228,Collection!A:A,Collection!B:B,),"#"),"")</f>
        <v>7</v>
      </c>
      <c r="T228" s="60">
        <f t="shared" si="23"/>
        <v>4.03</v>
      </c>
      <c r="U228" s="54" t="s">
        <v>1598</v>
      </c>
      <c r="V228" s="58" t="str">
        <f>IF(ISNUMBER(MATCH(N228,Catalog!$B$4:$B$16, 0)), "Keep", "For Sale")</f>
        <v>For Sale</v>
      </c>
      <c r="W228" s="58">
        <f t="shared" si="24"/>
        <v>1</v>
      </c>
      <c r="X228" s="58">
        <f t="shared" si="25"/>
        <v>3</v>
      </c>
      <c r="Y228" s="60">
        <f t="shared" si="26"/>
        <v>5</v>
      </c>
      <c r="Z228" s="60">
        <f t="shared" si="27"/>
        <v>4</v>
      </c>
      <c r="AE228"/>
      <c r="AF228"/>
      <c r="AG228"/>
    </row>
    <row r="229" spans="1:33" ht="14.4" x14ac:dyDescent="0.3">
      <c r="A229" s="13">
        <v>80971</v>
      </c>
      <c r="B229" s="13" t="s">
        <v>226</v>
      </c>
      <c r="C229" s="13" t="s">
        <v>227</v>
      </c>
      <c r="D229" s="13">
        <v>188</v>
      </c>
      <c r="E229" s="13" t="s">
        <v>171</v>
      </c>
      <c r="F229" s="13" t="s">
        <v>172</v>
      </c>
      <c r="I229" s="13">
        <v>0</v>
      </c>
      <c r="J229" s="13">
        <v>1</v>
      </c>
      <c r="K229" s="14">
        <v>46129</v>
      </c>
      <c r="N229" s="13">
        <v>386</v>
      </c>
      <c r="P229" s="58" t="str">
        <f t="shared" si="21"/>
        <v>Anfernee Hardaway</v>
      </c>
      <c r="Q229" s="58" t="str">
        <f>IFERROR(_xlfn.TEXTAFTER(_xlfn.XLOOKUP(A229,Collection!A:A,Collection!C:C,),"Cards "),C229)</f>
        <v>1993 Ultra</v>
      </c>
      <c r="R229" s="58" t="str">
        <f t="shared" si="22"/>
        <v>-</v>
      </c>
      <c r="S229" s="58" t="str">
        <f>IFERROR(_xlfn.TEXTAFTER(_xlfn.XLOOKUP(A229,Collection!A:A,Collection!B:B,),"#"),"")</f>
        <v>305</v>
      </c>
      <c r="T229" s="60">
        <f t="shared" si="23"/>
        <v>1.88</v>
      </c>
      <c r="U229" s="54" t="s">
        <v>1598</v>
      </c>
      <c r="V229" s="58" t="str">
        <f>IF(ISNUMBER(MATCH(N229,Catalog!$B$4:$B$16, 0)), "Keep", "For Sale")</f>
        <v>For Sale</v>
      </c>
      <c r="W229" s="58">
        <f t="shared" si="24"/>
        <v>1</v>
      </c>
      <c r="X229" s="58">
        <f t="shared" si="25"/>
        <v>3</v>
      </c>
      <c r="Y229" s="60">
        <f t="shared" si="26"/>
        <v>2.5</v>
      </c>
      <c r="Z229" s="60">
        <f t="shared" si="27"/>
        <v>2</v>
      </c>
      <c r="AE229"/>
      <c r="AF229"/>
      <c r="AG229"/>
    </row>
    <row r="230" spans="1:33" ht="14.4" x14ac:dyDescent="0.3">
      <c r="A230" s="13">
        <v>81091</v>
      </c>
      <c r="B230" s="13" t="s">
        <v>406</v>
      </c>
      <c r="C230" s="13" t="s">
        <v>407</v>
      </c>
      <c r="D230" s="13">
        <v>163</v>
      </c>
      <c r="E230" s="13" t="s">
        <v>171</v>
      </c>
      <c r="F230" s="13" t="s">
        <v>172</v>
      </c>
      <c r="I230" s="13">
        <v>0</v>
      </c>
      <c r="J230" s="13">
        <v>1</v>
      </c>
      <c r="K230" s="14">
        <v>46129</v>
      </c>
      <c r="N230" s="13">
        <v>306</v>
      </c>
      <c r="P230" s="58" t="str">
        <f t="shared" si="21"/>
        <v>Anfernee Hardaway</v>
      </c>
      <c r="Q230" s="58" t="str">
        <f>IFERROR(_xlfn.TEXTAFTER(_xlfn.XLOOKUP(A230,Collection!A:A,Collection!C:C,),"Cards "),C230)</f>
        <v>1993 Upper Deck</v>
      </c>
      <c r="R230" s="58" t="str">
        <f t="shared" si="22"/>
        <v>-</v>
      </c>
      <c r="S230" s="58" t="str">
        <f>IFERROR(_xlfn.TEXTAFTER(_xlfn.XLOOKUP(A230,Collection!A:A,Collection!B:B,),"#"),"")</f>
        <v>382</v>
      </c>
      <c r="T230" s="60">
        <f t="shared" si="23"/>
        <v>1.63</v>
      </c>
      <c r="U230" s="54" t="s">
        <v>1598</v>
      </c>
      <c r="V230" s="58" t="str">
        <f>IF(ISNUMBER(MATCH(N230,Catalog!$B$4:$B$16, 0)), "Keep", "For Sale")</f>
        <v>For Sale</v>
      </c>
      <c r="W230" s="58">
        <f t="shared" si="24"/>
        <v>1</v>
      </c>
      <c r="X230" s="58">
        <f t="shared" si="25"/>
        <v>3</v>
      </c>
      <c r="Y230" s="60">
        <f t="shared" si="26"/>
        <v>2</v>
      </c>
      <c r="Z230" s="60">
        <f t="shared" si="27"/>
        <v>1.5</v>
      </c>
      <c r="AE230"/>
      <c r="AF230"/>
      <c r="AG230"/>
    </row>
    <row r="231" spans="1:33" ht="14.4" x14ac:dyDescent="0.3">
      <c r="A231" s="13">
        <v>80255</v>
      </c>
      <c r="B231" s="13" t="s">
        <v>427</v>
      </c>
      <c r="C231" s="13" t="s">
        <v>428</v>
      </c>
      <c r="D231" s="13">
        <v>161</v>
      </c>
      <c r="E231" s="13" t="s">
        <v>171</v>
      </c>
      <c r="F231" s="13" t="s">
        <v>172</v>
      </c>
      <c r="I231" s="13">
        <v>0</v>
      </c>
      <c r="J231" s="13">
        <v>1</v>
      </c>
      <c r="K231" s="14">
        <v>46149</v>
      </c>
      <c r="L231" s="14">
        <v>46149</v>
      </c>
      <c r="N231" s="13">
        <v>321</v>
      </c>
      <c r="P231" s="58" t="str">
        <f t="shared" si="21"/>
        <v>Anfernee Hardaway</v>
      </c>
      <c r="Q231" s="58" t="str">
        <f>IFERROR(_xlfn.TEXTAFTER(_xlfn.XLOOKUP(A231,Collection!A:A,Collection!C:C,),"Cards "),C231)</f>
        <v>1993 Fleer</v>
      </c>
      <c r="R231" s="58" t="str">
        <f t="shared" si="22"/>
        <v>-</v>
      </c>
      <c r="S231" s="58" t="str">
        <f>IFERROR(_xlfn.TEXTAFTER(_xlfn.XLOOKUP(A231,Collection!A:A,Collection!B:B,),"#"),"")</f>
        <v>343</v>
      </c>
      <c r="T231" s="60">
        <f t="shared" si="23"/>
        <v>1.61</v>
      </c>
      <c r="U231" s="54" t="s">
        <v>1598</v>
      </c>
      <c r="V231" s="58" t="str">
        <f>IF(ISNUMBER(MATCH(N231,Catalog!$B$4:$B$16, 0)), "Keep", "For Sale")</f>
        <v>For Sale</v>
      </c>
      <c r="W231" s="58">
        <f t="shared" si="24"/>
        <v>1</v>
      </c>
      <c r="X231" s="58">
        <f t="shared" si="25"/>
        <v>3</v>
      </c>
      <c r="Y231" s="60">
        <f t="shared" si="26"/>
        <v>2</v>
      </c>
      <c r="Z231" s="60">
        <f t="shared" si="27"/>
        <v>1.5</v>
      </c>
      <c r="AE231"/>
      <c r="AF231"/>
      <c r="AG231"/>
    </row>
    <row r="232" spans="1:33" ht="14.4" x14ac:dyDescent="0.3">
      <c r="A232" s="13">
        <v>7978881</v>
      </c>
      <c r="B232" s="13" t="s">
        <v>359</v>
      </c>
      <c r="C232" s="13" t="s">
        <v>360</v>
      </c>
      <c r="D232" s="13">
        <v>0</v>
      </c>
      <c r="E232" s="13" t="s">
        <v>171</v>
      </c>
      <c r="F232" s="13" t="s">
        <v>172</v>
      </c>
      <c r="I232" s="13">
        <v>0</v>
      </c>
      <c r="J232" s="13">
        <v>1</v>
      </c>
      <c r="K232" s="14">
        <v>46129</v>
      </c>
      <c r="L232" s="14">
        <v>46128</v>
      </c>
      <c r="N232" s="13">
        <v>608</v>
      </c>
      <c r="P232" s="58" t="str">
        <f t="shared" si="21"/>
        <v>Anfernee Hardaway</v>
      </c>
      <c r="Q232" s="58" t="str">
        <f>IFERROR(_xlfn.TEXTAFTER(_xlfn.XLOOKUP(A232,Collection!A:A,Collection!C:C,),"Cards "),C232)</f>
        <v>1996 Upper Deck Predictor Scoring 1</v>
      </c>
      <c r="R232" s="58" t="str">
        <f t="shared" si="22"/>
        <v>-</v>
      </c>
      <c r="S232" s="58" t="str">
        <f>IFERROR(_xlfn.TEXTAFTER(_xlfn.XLOOKUP(A232,Collection!A:A,Collection!B:B,),"#"),"")</f>
        <v>P12</v>
      </c>
      <c r="T232" s="60">
        <f t="shared" si="23"/>
        <v>0</v>
      </c>
      <c r="U232" s="54" t="s">
        <v>1598</v>
      </c>
      <c r="V232" s="58" t="str">
        <f>IF(ISNUMBER(MATCH(N232,Catalog!$B$4:$B$16, 0)), "Keep", "For Sale")</f>
        <v>For Sale</v>
      </c>
      <c r="W232" s="58">
        <f t="shared" si="24"/>
        <v>1</v>
      </c>
      <c r="X232" s="58">
        <f t="shared" si="25"/>
        <v>3</v>
      </c>
      <c r="Y232" s="60">
        <f t="shared" si="26"/>
        <v>0.25</v>
      </c>
      <c r="Z232" s="60">
        <f t="shared" si="27"/>
        <v>0.25</v>
      </c>
      <c r="AE232"/>
      <c r="AF232"/>
      <c r="AG232"/>
    </row>
    <row r="233" spans="1:33" ht="14.4" x14ac:dyDescent="0.3">
      <c r="A233" s="13">
        <v>9994315</v>
      </c>
      <c r="B233" s="13" t="s">
        <v>1759</v>
      </c>
      <c r="C233" s="13" t="s">
        <v>549</v>
      </c>
      <c r="D233" s="13">
        <v>206</v>
      </c>
      <c r="E233" s="13" t="s">
        <v>171</v>
      </c>
      <c r="F233" s="13" t="s">
        <v>172</v>
      </c>
      <c r="I233" s="13">
        <v>0</v>
      </c>
      <c r="J233" s="13">
        <v>1</v>
      </c>
      <c r="K233" s="14">
        <v>46186</v>
      </c>
      <c r="N233" s="13">
        <v>245</v>
      </c>
      <c r="P233" s="58" t="str">
        <f t="shared" si="21"/>
        <v>Branco</v>
      </c>
      <c r="Q233" s="58" t="str">
        <f>IFERROR(_xlfn.TEXTAFTER(_xlfn.XLOOKUP(A233,Collection!A:A,Collection!C:C,),"Cards "),C233)</f>
        <v>1994 Upper Deck World Cup Soccer</v>
      </c>
      <c r="R233" s="58" t="str">
        <f t="shared" si="22"/>
        <v>-</v>
      </c>
      <c r="S233" s="58" t="str">
        <f>IFERROR(_xlfn.TEXTAFTER(_xlfn.XLOOKUP(A233,Collection!A:A,Collection!B:B,),"#"),"")</f>
        <v>68</v>
      </c>
      <c r="T233" s="60">
        <f t="shared" si="23"/>
        <v>2.06</v>
      </c>
      <c r="U233" s="54" t="s">
        <v>1798</v>
      </c>
      <c r="V233" s="58" t="str">
        <f>IF(ISNUMBER(MATCH(N233,Catalog!$B$4:$B$16, 0)), "Keep", "For Sale")</f>
        <v>For Sale</v>
      </c>
      <c r="W233" s="58">
        <f t="shared" si="24"/>
        <v>1</v>
      </c>
      <c r="X233" s="58">
        <f t="shared" si="25"/>
        <v>3</v>
      </c>
      <c r="Y233" s="60">
        <f t="shared" si="26"/>
        <v>2.5</v>
      </c>
      <c r="Z233" s="60">
        <f t="shared" si="27"/>
        <v>2</v>
      </c>
      <c r="AE233"/>
      <c r="AF233"/>
      <c r="AG233"/>
    </row>
    <row r="234" spans="1:33" ht="14.4" x14ac:dyDescent="0.3">
      <c r="A234" s="13">
        <v>12810125</v>
      </c>
      <c r="B234" s="13" t="s">
        <v>1778</v>
      </c>
      <c r="C234" s="13" t="s">
        <v>1779</v>
      </c>
      <c r="D234" s="13">
        <v>199</v>
      </c>
      <c r="E234" s="13" t="s">
        <v>171</v>
      </c>
      <c r="F234" s="13" t="s">
        <v>172</v>
      </c>
      <c r="I234" s="13">
        <v>0</v>
      </c>
      <c r="J234" s="13">
        <v>1</v>
      </c>
      <c r="K234" s="14">
        <v>46186</v>
      </c>
      <c r="N234" s="13">
        <v>273</v>
      </c>
      <c r="P234" s="58" t="str">
        <f t="shared" si="21"/>
        <v>Branco</v>
      </c>
      <c r="Q234" s="58" t="str">
        <f>IFERROR(_xlfn.TEXTAFTER(_xlfn.XLOOKUP(A234,Collection!A:A,Collection!C:C,),"Cards "),C234)</f>
        <v>1994 Upper Deck World Cup Soccer Hot Shot</v>
      </c>
      <c r="R234" s="58" t="str">
        <f t="shared" si="22"/>
        <v>-</v>
      </c>
      <c r="S234" s="58" t="str">
        <f>IFERROR(_xlfn.TEXTAFTER(_xlfn.XLOOKUP(A234,Collection!A:A,Collection!B:B,),"#"),"")</f>
        <v>HS5</v>
      </c>
      <c r="T234" s="60">
        <f t="shared" si="23"/>
        <v>1.99</v>
      </c>
      <c r="U234" s="54" t="s">
        <v>1798</v>
      </c>
      <c r="V234" s="58" t="str">
        <f>IF(ISNUMBER(MATCH(N234,Catalog!$B$4:$B$16, 0)), "Keep", "For Sale")</f>
        <v>For Sale</v>
      </c>
      <c r="W234" s="58">
        <f t="shared" si="24"/>
        <v>1</v>
      </c>
      <c r="X234" s="58">
        <f t="shared" si="25"/>
        <v>3</v>
      </c>
      <c r="Y234" s="60">
        <f t="shared" si="26"/>
        <v>2.5</v>
      </c>
      <c r="Z234" s="60">
        <f t="shared" si="27"/>
        <v>2</v>
      </c>
      <c r="AE234"/>
      <c r="AF234"/>
      <c r="AG234"/>
    </row>
    <row r="235" spans="1:33" ht="14.4" x14ac:dyDescent="0.3">
      <c r="A235" s="13">
        <v>8840471</v>
      </c>
      <c r="B235" s="13" t="s">
        <v>273</v>
      </c>
      <c r="C235" s="13" t="s">
        <v>274</v>
      </c>
      <c r="D235" s="13">
        <v>592</v>
      </c>
      <c r="E235" s="13" t="s">
        <v>171</v>
      </c>
      <c r="F235" s="13" t="s">
        <v>172</v>
      </c>
      <c r="I235" s="13">
        <v>0</v>
      </c>
      <c r="J235" s="13">
        <v>1</v>
      </c>
      <c r="K235" s="14">
        <v>46129</v>
      </c>
      <c r="N235" s="13">
        <v>112</v>
      </c>
      <c r="P235" s="58" t="str">
        <f t="shared" si="21"/>
        <v>Charles Barkley</v>
      </c>
      <c r="Q235" s="58" t="str">
        <f>IFERROR(_xlfn.TEXTAFTER(_xlfn.XLOOKUP(A235,Collection!A:A,Collection!C:C,),"Cards "),C235)</f>
        <v>1997 Metal Universe Silver Slam</v>
      </c>
      <c r="R235" s="58" t="str">
        <f t="shared" si="22"/>
        <v>-</v>
      </c>
      <c r="S235" s="58" t="str">
        <f>IFERROR(_xlfn.TEXTAFTER(_xlfn.XLOOKUP(A235,Collection!A:A,Collection!B:B,),"#"),"")</f>
        <v>16</v>
      </c>
      <c r="T235" s="60">
        <f t="shared" si="23"/>
        <v>5.92</v>
      </c>
      <c r="U235" s="54" t="s">
        <v>1630</v>
      </c>
      <c r="V235" s="58" t="str">
        <f>IF(ISNUMBER(MATCH(N235,Catalog!$B$4:$B$16, 0)), "Keep", "For Sale")</f>
        <v>For Sale</v>
      </c>
      <c r="W235" s="58">
        <f t="shared" si="24"/>
        <v>1</v>
      </c>
      <c r="X235" s="58">
        <f t="shared" si="25"/>
        <v>3</v>
      </c>
      <c r="Y235" s="60">
        <f t="shared" si="26"/>
        <v>7</v>
      </c>
      <c r="Z235" s="60">
        <f t="shared" si="27"/>
        <v>6</v>
      </c>
      <c r="AE235"/>
      <c r="AF235"/>
      <c r="AG235"/>
    </row>
    <row r="236" spans="1:33" ht="14.4" x14ac:dyDescent="0.3">
      <c r="A236" s="13">
        <v>6266239</v>
      </c>
      <c r="B236" s="13" t="s">
        <v>408</v>
      </c>
      <c r="C236" s="13" t="s">
        <v>409</v>
      </c>
      <c r="D236" s="13">
        <v>470</v>
      </c>
      <c r="E236" s="13" t="s">
        <v>171</v>
      </c>
      <c r="F236" s="13" t="s">
        <v>172</v>
      </c>
      <c r="I236" s="13">
        <v>0</v>
      </c>
      <c r="J236" s="13">
        <v>1</v>
      </c>
      <c r="K236" s="14">
        <v>46127</v>
      </c>
      <c r="N236" s="13">
        <v>124</v>
      </c>
      <c r="P236" s="58" t="str">
        <f t="shared" si="21"/>
        <v>Charles Barkley</v>
      </c>
      <c r="Q236" s="58" t="str">
        <f>IFERROR(_xlfn.TEXTAFTER(_xlfn.XLOOKUP(A236,Collection!A:A,Collection!C:C,),"Cards "),C236)</f>
        <v>1996 Metal Edge</v>
      </c>
      <c r="R236" s="58" t="str">
        <f t="shared" si="22"/>
        <v>Metal Edge</v>
      </c>
      <c r="S236" s="58" t="str">
        <f>IFERROR(_xlfn.TEXTAFTER(_xlfn.XLOOKUP(A236,Collection!A:A,Collection!B:B,),"#"),"")</f>
        <v>1</v>
      </c>
      <c r="T236" s="60">
        <f t="shared" si="23"/>
        <v>4.7</v>
      </c>
      <c r="U236" s="54" t="s">
        <v>1630</v>
      </c>
      <c r="V236" s="58" t="str">
        <f>IF(ISNUMBER(MATCH(N236,Catalog!$B$4:$B$16, 0)), "Keep", "For Sale")</f>
        <v>For Sale</v>
      </c>
      <c r="W236" s="58">
        <f t="shared" si="24"/>
        <v>1</v>
      </c>
      <c r="X236" s="58">
        <f t="shared" si="25"/>
        <v>3</v>
      </c>
      <c r="Y236" s="60">
        <f t="shared" si="26"/>
        <v>6</v>
      </c>
      <c r="Z236" s="60">
        <f t="shared" si="27"/>
        <v>5</v>
      </c>
      <c r="AE236"/>
      <c r="AF236"/>
      <c r="AG236"/>
    </row>
    <row r="237" spans="1:33" ht="14.4" x14ac:dyDescent="0.3">
      <c r="A237" s="13">
        <v>2531677</v>
      </c>
      <c r="B237" s="13" t="s">
        <v>1245</v>
      </c>
      <c r="C237" s="13" t="s">
        <v>1246</v>
      </c>
      <c r="D237" s="13">
        <v>350</v>
      </c>
      <c r="E237" s="13" t="s">
        <v>171</v>
      </c>
      <c r="F237" s="13" t="s">
        <v>172</v>
      </c>
      <c r="I237" s="13">
        <v>0</v>
      </c>
      <c r="J237" s="13">
        <v>1</v>
      </c>
      <c r="K237" s="14">
        <v>46173</v>
      </c>
      <c r="N237" s="13">
        <v>159</v>
      </c>
      <c r="P237" s="58" t="str">
        <f t="shared" si="21"/>
        <v>Charles Barkley</v>
      </c>
      <c r="Q237" s="58" t="str">
        <f>IFERROR(_xlfn.TEXTAFTER(_xlfn.XLOOKUP(A237,Collection!A:A,Collection!C:C,),"Cards "),C237)</f>
        <v>1997 Ultra Rim Rockers</v>
      </c>
      <c r="R237" s="58" t="str">
        <f t="shared" si="22"/>
        <v>-</v>
      </c>
      <c r="S237" s="58" t="str">
        <f>IFERROR(_xlfn.TEXTAFTER(_xlfn.XLOOKUP(A237,Collection!A:A,Collection!B:B,),"#"),"")</f>
        <v>6RR</v>
      </c>
      <c r="T237" s="60">
        <f t="shared" si="23"/>
        <v>3.5</v>
      </c>
      <c r="U237" s="54" t="s">
        <v>1630</v>
      </c>
      <c r="V237" s="58" t="str">
        <f>IF(ISNUMBER(MATCH(N237,Catalog!$B$4:$B$16, 0)), "Keep", "For Sale")</f>
        <v>For Sale</v>
      </c>
      <c r="W237" s="58">
        <f t="shared" si="24"/>
        <v>1</v>
      </c>
      <c r="X237" s="58">
        <f t="shared" si="25"/>
        <v>3</v>
      </c>
      <c r="Y237" s="60">
        <f t="shared" si="26"/>
        <v>4</v>
      </c>
      <c r="Z237" s="60">
        <f t="shared" si="27"/>
        <v>4</v>
      </c>
      <c r="AE237"/>
      <c r="AF237"/>
      <c r="AG237"/>
    </row>
    <row r="238" spans="1:33" ht="14.4" x14ac:dyDescent="0.3">
      <c r="A238" s="13">
        <v>5692223</v>
      </c>
      <c r="B238" s="13" t="s">
        <v>321</v>
      </c>
      <c r="C238" s="13" t="s">
        <v>282</v>
      </c>
      <c r="D238" s="13">
        <v>197</v>
      </c>
      <c r="E238" s="13" t="s">
        <v>171</v>
      </c>
      <c r="F238" s="13" t="s">
        <v>172</v>
      </c>
      <c r="I238" s="13">
        <v>0</v>
      </c>
      <c r="J238" s="13">
        <v>1</v>
      </c>
      <c r="K238" s="14">
        <v>46129</v>
      </c>
      <c r="N238" s="13">
        <v>257</v>
      </c>
      <c r="P238" s="58" t="str">
        <f t="shared" si="21"/>
        <v>Charles Barkley</v>
      </c>
      <c r="Q238" s="58" t="str">
        <f>IFERROR(_xlfn.TEXTAFTER(_xlfn.XLOOKUP(A238,Collection!A:A,Collection!C:C,),"Cards "),C238)</f>
        <v>1994 Ultra Power in the Key</v>
      </c>
      <c r="R238" s="58" t="str">
        <f t="shared" si="22"/>
        <v>-</v>
      </c>
      <c r="S238" s="58" t="str">
        <f>IFERROR(_xlfn.TEXTAFTER(_xlfn.XLOOKUP(A238,Collection!A:A,Collection!B:B,),"#"),"")</f>
        <v>1</v>
      </c>
      <c r="T238" s="60">
        <f t="shared" si="23"/>
        <v>1.97</v>
      </c>
      <c r="U238" s="54" t="s">
        <v>1630</v>
      </c>
      <c r="V238" s="58" t="str">
        <f>IF(ISNUMBER(MATCH(N238,Catalog!$B$4:$B$16, 0)), "Keep", "For Sale")</f>
        <v>For Sale</v>
      </c>
      <c r="W238" s="58">
        <f t="shared" si="24"/>
        <v>1</v>
      </c>
      <c r="X238" s="58">
        <f t="shared" si="25"/>
        <v>3</v>
      </c>
      <c r="Y238" s="60">
        <f t="shared" si="26"/>
        <v>2.5</v>
      </c>
      <c r="Z238" s="60">
        <f t="shared" si="27"/>
        <v>2</v>
      </c>
      <c r="AE238"/>
      <c r="AF238"/>
      <c r="AG238"/>
    </row>
    <row r="239" spans="1:33" ht="14.4" x14ac:dyDescent="0.3">
      <c r="A239" s="13">
        <v>8212140</v>
      </c>
      <c r="B239" s="13" t="s">
        <v>1257</v>
      </c>
      <c r="C239" s="13" t="s">
        <v>299</v>
      </c>
      <c r="D239" s="13">
        <v>131</v>
      </c>
      <c r="E239" s="13" t="s">
        <v>171</v>
      </c>
      <c r="F239" s="13" t="s">
        <v>172</v>
      </c>
      <c r="I239" s="13">
        <v>0</v>
      </c>
      <c r="J239" s="13">
        <v>1</v>
      </c>
      <c r="K239" s="14">
        <v>46173</v>
      </c>
      <c r="N239" s="13">
        <v>468</v>
      </c>
      <c r="P239" s="58" t="str">
        <f t="shared" si="21"/>
        <v>Charles Barkley</v>
      </c>
      <c r="Q239" s="58" t="str">
        <f>IFERROR(_xlfn.TEXTAFTER(_xlfn.XLOOKUP(A239,Collection!A:A,Collection!C:C,),"Cards "),C239)</f>
        <v>1997 Ultra</v>
      </c>
      <c r="R239" s="58" t="str">
        <f t="shared" si="22"/>
        <v>-</v>
      </c>
      <c r="S239" s="58" t="str">
        <f>IFERROR(_xlfn.TEXTAFTER(_xlfn.XLOOKUP(A239,Collection!A:A,Collection!B:B,),"#"),"")</f>
        <v>251</v>
      </c>
      <c r="T239" s="60">
        <f t="shared" si="23"/>
        <v>1.31</v>
      </c>
      <c r="U239" s="54" t="s">
        <v>1630</v>
      </c>
      <c r="V239" s="58" t="str">
        <f>IF(ISNUMBER(MATCH(N239,Catalog!$B$4:$B$16, 0)), "Keep", "For Sale")</f>
        <v>For Sale</v>
      </c>
      <c r="W239" s="58">
        <f t="shared" si="24"/>
        <v>1</v>
      </c>
      <c r="X239" s="58">
        <f t="shared" si="25"/>
        <v>3</v>
      </c>
      <c r="Y239" s="60">
        <f t="shared" si="26"/>
        <v>1.5</v>
      </c>
      <c r="Z239" s="60">
        <f t="shared" si="27"/>
        <v>1.25</v>
      </c>
      <c r="AE239"/>
      <c r="AF239"/>
      <c r="AG239"/>
    </row>
    <row r="240" spans="1:33" ht="14.4" x14ac:dyDescent="0.3">
      <c r="A240" s="13">
        <v>11473930</v>
      </c>
      <c r="B240" s="13" t="s">
        <v>916</v>
      </c>
      <c r="C240" s="13" t="s">
        <v>186</v>
      </c>
      <c r="D240" s="13">
        <v>401</v>
      </c>
      <c r="E240" s="13" t="s">
        <v>171</v>
      </c>
      <c r="F240" s="13" t="s">
        <v>172</v>
      </c>
      <c r="H240" s="13" t="s">
        <v>326</v>
      </c>
      <c r="I240" s="13">
        <v>126</v>
      </c>
      <c r="J240" s="13">
        <v>1</v>
      </c>
      <c r="K240" s="14">
        <v>46157</v>
      </c>
      <c r="L240" s="14">
        <v>46146</v>
      </c>
      <c r="N240" s="13">
        <v>134</v>
      </c>
      <c r="P240" s="58" t="str">
        <f t="shared" si="21"/>
        <v>Daniel Gafford</v>
      </c>
      <c r="Q240" s="58" t="str">
        <f>IFERROR(_xlfn.TEXTAFTER(_xlfn.XLOOKUP(A240,Collection!A:A,Collection!C:C,),"Cards "),C240)</f>
        <v>2025 Topps Chrome</v>
      </c>
      <c r="R240" s="58" t="str">
        <f t="shared" si="22"/>
        <v>Purple Refractor</v>
      </c>
      <c r="S240" s="58" t="str">
        <f>IFERROR(_xlfn.TEXTAFTER(_xlfn.XLOOKUP(A240,Collection!A:A,Collection!B:B,),"#"),"")</f>
        <v>78</v>
      </c>
      <c r="T240" s="60">
        <f t="shared" si="23"/>
        <v>4.01</v>
      </c>
      <c r="U240" s="54" t="s">
        <v>1661</v>
      </c>
      <c r="V240" s="58" t="str">
        <f>IF(ISNUMBER(MATCH(N240,Catalog!$B$4:$B$16, 0)), "Keep", "For Sale")</f>
        <v>For Sale</v>
      </c>
      <c r="W240" s="58">
        <f t="shared" si="24"/>
        <v>1</v>
      </c>
      <c r="X240" s="58">
        <f t="shared" si="25"/>
        <v>3</v>
      </c>
      <c r="Y240" s="60">
        <f t="shared" si="26"/>
        <v>5</v>
      </c>
      <c r="Z240" s="60">
        <f t="shared" si="27"/>
        <v>1.25</v>
      </c>
      <c r="AE240"/>
      <c r="AF240"/>
      <c r="AG240"/>
    </row>
    <row r="241" spans="1:33" ht="14.4" x14ac:dyDescent="0.3">
      <c r="A241" s="13">
        <v>10026506</v>
      </c>
      <c r="B241" s="13" t="s">
        <v>588</v>
      </c>
      <c r="C241" s="13" t="s">
        <v>549</v>
      </c>
      <c r="D241" s="13">
        <v>200</v>
      </c>
      <c r="E241" s="13" t="s">
        <v>171</v>
      </c>
      <c r="F241" s="13" t="s">
        <v>172</v>
      </c>
      <c r="I241" s="13">
        <v>0</v>
      </c>
      <c r="J241" s="13">
        <v>1</v>
      </c>
      <c r="K241" s="14">
        <v>46129</v>
      </c>
      <c r="N241" s="13">
        <v>255</v>
      </c>
      <c r="P241" s="58" t="str">
        <f t="shared" si="21"/>
        <v>David Platt</v>
      </c>
      <c r="Q241" s="58" t="str">
        <f>IFERROR(_xlfn.TEXTAFTER(_xlfn.XLOOKUP(A241,Collection!A:A,Collection!C:C,),"Cards "),C241)</f>
        <v>1994 Upper Deck World Cup Soccer</v>
      </c>
      <c r="R241" s="58" t="str">
        <f t="shared" si="22"/>
        <v>-</v>
      </c>
      <c r="S241" s="58" t="str">
        <f>IFERROR(_xlfn.TEXTAFTER(_xlfn.XLOOKUP(A241,Collection!A:A,Collection!B:B,),"#"),"")</f>
        <v>304</v>
      </c>
      <c r="T241" s="60">
        <f t="shared" si="23"/>
        <v>2</v>
      </c>
      <c r="U241" s="54" t="s">
        <v>1632</v>
      </c>
      <c r="V241" s="58" t="str">
        <f>IF(ISNUMBER(MATCH(N241,Catalog!$B$4:$B$16, 0)), "Keep", "For Sale")</f>
        <v>For Sale</v>
      </c>
      <c r="W241" s="58">
        <f t="shared" si="24"/>
        <v>1</v>
      </c>
      <c r="X241" s="58">
        <f t="shared" si="25"/>
        <v>3</v>
      </c>
      <c r="Y241" s="60">
        <f t="shared" si="26"/>
        <v>2.5</v>
      </c>
      <c r="Z241" s="60">
        <f t="shared" si="27"/>
        <v>2</v>
      </c>
      <c r="AE241"/>
      <c r="AF241"/>
      <c r="AG241"/>
    </row>
    <row r="242" spans="1:33" ht="14.4" x14ac:dyDescent="0.3">
      <c r="A242" s="13">
        <v>11490416</v>
      </c>
      <c r="B242" s="13" t="s">
        <v>1020</v>
      </c>
      <c r="C242" s="13" t="s">
        <v>1021</v>
      </c>
      <c r="D242" s="13">
        <v>256</v>
      </c>
      <c r="E242" s="13" t="s">
        <v>171</v>
      </c>
      <c r="F242" s="13" t="s">
        <v>172</v>
      </c>
      <c r="H242" s="13" t="s">
        <v>1022</v>
      </c>
      <c r="I242" s="13">
        <v>246</v>
      </c>
      <c r="J242" s="13">
        <v>1</v>
      </c>
      <c r="K242" s="14">
        <v>46162</v>
      </c>
      <c r="L242" s="14">
        <v>46162</v>
      </c>
      <c r="N242" s="13">
        <v>227</v>
      </c>
      <c r="P242" s="58" t="str">
        <f t="shared" si="21"/>
        <v>Devin Carter</v>
      </c>
      <c r="Q242" s="58" t="str">
        <f>IFERROR(_xlfn.TEXTAFTER(_xlfn.XLOOKUP(A242,Collection!A:A,Collection!C:C,),"Cards "),C242)</f>
        <v>2025 Topps Chrome Signature Style</v>
      </c>
      <c r="R242" s="58" t="str">
        <f t="shared" si="22"/>
        <v>-</v>
      </c>
      <c r="S242" s="58" t="str">
        <f>IFERROR(_xlfn.TEXTAFTER(_xlfn.XLOOKUP(A242,Collection!A:A,Collection!B:B,),"#"),"")</f>
        <v>SS-DC</v>
      </c>
      <c r="T242" s="60">
        <f t="shared" si="23"/>
        <v>2.56</v>
      </c>
      <c r="U242" s="54" t="s">
        <v>1690</v>
      </c>
      <c r="V242" s="58" t="str">
        <f>IF(ISNUMBER(MATCH(N242,Catalog!$B$4:$B$16, 0)), "Keep", "For Sale")</f>
        <v>For Sale</v>
      </c>
      <c r="W242" s="58">
        <f t="shared" si="24"/>
        <v>1</v>
      </c>
      <c r="X242" s="58">
        <f t="shared" si="25"/>
        <v>3</v>
      </c>
      <c r="Y242" s="60">
        <f t="shared" si="26"/>
        <v>3</v>
      </c>
      <c r="Z242" s="60">
        <f t="shared" si="27"/>
        <v>2.5</v>
      </c>
      <c r="AE242"/>
      <c r="AF242"/>
      <c r="AG242"/>
    </row>
    <row r="243" spans="1:33" ht="14.4" x14ac:dyDescent="0.3">
      <c r="A243" s="13">
        <v>4949792</v>
      </c>
      <c r="B243" s="13" t="s">
        <v>1797</v>
      </c>
      <c r="C243" s="13" t="s">
        <v>549</v>
      </c>
      <c r="D243" s="13">
        <v>350</v>
      </c>
      <c r="E243" s="13" t="s">
        <v>171</v>
      </c>
      <c r="F243" s="13" t="s">
        <v>172</v>
      </c>
      <c r="I243" s="13">
        <v>0</v>
      </c>
      <c r="J243" s="13">
        <v>1</v>
      </c>
      <c r="K243" s="14">
        <v>46186</v>
      </c>
      <c r="N243" s="13">
        <v>160</v>
      </c>
      <c r="P243" s="58" t="str">
        <f t="shared" si="21"/>
        <v>Dino Baggio</v>
      </c>
      <c r="Q243" s="58" t="str">
        <f>IFERROR(_xlfn.TEXTAFTER(_xlfn.XLOOKUP(A243,Collection!A:A,Collection!C:C,),"Cards "),C243)</f>
        <v>1994 Upper Deck World Cup Soccer</v>
      </c>
      <c r="R243" s="58" t="str">
        <f t="shared" si="22"/>
        <v>-</v>
      </c>
      <c r="S243" s="58" t="str">
        <f>IFERROR(_xlfn.TEXTAFTER(_xlfn.XLOOKUP(A243,Collection!A:A,Collection!B:B,),"#"),"")</f>
        <v>154</v>
      </c>
      <c r="T243" s="60">
        <f t="shared" si="23"/>
        <v>3.5</v>
      </c>
      <c r="U243" s="54" t="s">
        <v>1812</v>
      </c>
      <c r="V243" s="58" t="str">
        <f>IF(ISNUMBER(MATCH(N243,Catalog!$B$4:$B$16, 0)), "Keep", "For Sale")</f>
        <v>For Sale</v>
      </c>
      <c r="W243" s="58">
        <f t="shared" si="24"/>
        <v>1</v>
      </c>
      <c r="X243" s="58">
        <f t="shared" si="25"/>
        <v>3</v>
      </c>
      <c r="Y243" s="60">
        <f t="shared" si="26"/>
        <v>4</v>
      </c>
      <c r="Z243" s="60">
        <f t="shared" si="27"/>
        <v>4</v>
      </c>
      <c r="AE243"/>
      <c r="AF243"/>
      <c r="AG243"/>
    </row>
    <row r="244" spans="1:33" ht="14.4" x14ac:dyDescent="0.3">
      <c r="A244" s="13">
        <v>120495</v>
      </c>
      <c r="B244" s="13" t="s">
        <v>926</v>
      </c>
      <c r="C244" s="13" t="s">
        <v>927</v>
      </c>
      <c r="D244" s="13">
        <v>435</v>
      </c>
      <c r="E244" s="13" t="s">
        <v>171</v>
      </c>
      <c r="F244" s="13" t="s">
        <v>172</v>
      </c>
      <c r="H244" s="13" t="s">
        <v>928</v>
      </c>
      <c r="I244" s="13">
        <v>400</v>
      </c>
      <c r="J244" s="13">
        <v>1</v>
      </c>
      <c r="K244" s="14">
        <v>46156</v>
      </c>
      <c r="L244" s="14">
        <v>46155</v>
      </c>
      <c r="N244" s="13">
        <v>113</v>
      </c>
      <c r="P244" s="58" t="str">
        <f t="shared" si="21"/>
        <v>Donovan Mitchell</v>
      </c>
      <c r="Q244" s="58" t="str">
        <f>IFERROR(_xlfn.TEXTAFTER(_xlfn.XLOOKUP(A244,Collection!A:A,Collection!C:C,),"Cards "),C244)</f>
        <v>2017 Panini Donruss Optic</v>
      </c>
      <c r="R244" s="58" t="str">
        <f t="shared" si="22"/>
        <v>Red and Yellow</v>
      </c>
      <c r="S244" s="58" t="str">
        <f>IFERROR(_xlfn.TEXTAFTER(_xlfn.XLOOKUP(A244,Collection!A:A,Collection!B:B,),"#"),"")</f>
        <v>188</v>
      </c>
      <c r="T244" s="60">
        <f t="shared" si="23"/>
        <v>4.3499999999999996</v>
      </c>
      <c r="U244" s="54" t="s">
        <v>1631</v>
      </c>
      <c r="V244" s="58" t="str">
        <f>IF(ISNUMBER(MATCH(N244,Catalog!$B$4:$B$16, 0)), "Keep", "For Sale")</f>
        <v>For Sale</v>
      </c>
      <c r="W244" s="58">
        <f t="shared" si="24"/>
        <v>1</v>
      </c>
      <c r="X244" s="58">
        <f t="shared" si="25"/>
        <v>3</v>
      </c>
      <c r="Y244" s="60">
        <f t="shared" si="26"/>
        <v>5</v>
      </c>
      <c r="Z244" s="60">
        <f t="shared" si="27"/>
        <v>4</v>
      </c>
      <c r="AE244"/>
      <c r="AF244"/>
      <c r="AG244"/>
    </row>
    <row r="245" spans="1:33" ht="14.4" x14ac:dyDescent="0.3">
      <c r="A245" s="13">
        <v>120468</v>
      </c>
      <c r="B245" s="13" t="s">
        <v>987</v>
      </c>
      <c r="C245" s="13" t="s">
        <v>927</v>
      </c>
      <c r="D245" s="13">
        <v>397</v>
      </c>
      <c r="E245" s="13" t="s">
        <v>171</v>
      </c>
      <c r="F245" s="13" t="s">
        <v>172</v>
      </c>
      <c r="H245" s="13" t="s">
        <v>988</v>
      </c>
      <c r="I245" s="13">
        <v>148</v>
      </c>
      <c r="J245" s="13">
        <v>1</v>
      </c>
      <c r="K245" s="14">
        <v>46164</v>
      </c>
      <c r="L245" s="14">
        <v>46157</v>
      </c>
      <c r="N245" s="13">
        <v>130</v>
      </c>
      <c r="P245" s="58" t="str">
        <f t="shared" si="21"/>
        <v>Donovan Mitchell</v>
      </c>
      <c r="Q245" s="58" t="str">
        <f>IFERROR(_xlfn.TEXTAFTER(_xlfn.XLOOKUP(A245,Collection!A:A,Collection!C:C,),"Cards "),C245)</f>
        <v>2017 Panini Donruss Optic</v>
      </c>
      <c r="R245" s="58" t="str">
        <f t="shared" si="22"/>
        <v>-</v>
      </c>
      <c r="S245" s="58" t="str">
        <f>IFERROR(_xlfn.TEXTAFTER(_xlfn.XLOOKUP(A245,Collection!A:A,Collection!B:B,),"#"),"")</f>
        <v>188</v>
      </c>
      <c r="T245" s="60">
        <f t="shared" si="23"/>
        <v>3.97</v>
      </c>
      <c r="U245" s="54" t="s">
        <v>1631</v>
      </c>
      <c r="V245" s="58" t="str">
        <f>IF(ISNUMBER(MATCH(N245,Catalog!$B$4:$B$16, 0)), "Keep", "For Sale")</f>
        <v>For Sale</v>
      </c>
      <c r="W245" s="58">
        <f t="shared" si="24"/>
        <v>1</v>
      </c>
      <c r="X245" s="58">
        <f t="shared" si="25"/>
        <v>3</v>
      </c>
      <c r="Y245" s="60">
        <f t="shared" si="26"/>
        <v>5</v>
      </c>
      <c r="Z245" s="60">
        <f t="shared" si="27"/>
        <v>1.25</v>
      </c>
      <c r="AE245"/>
      <c r="AF245"/>
      <c r="AG245"/>
    </row>
    <row r="246" spans="1:33" ht="14.4" x14ac:dyDescent="0.3">
      <c r="A246" s="13">
        <v>10697652</v>
      </c>
      <c r="B246" s="13" t="s">
        <v>989</v>
      </c>
      <c r="C246" s="13" t="s">
        <v>990</v>
      </c>
      <c r="D246" s="13">
        <v>325</v>
      </c>
      <c r="E246" s="13" t="s">
        <v>171</v>
      </c>
      <c r="F246" s="13" t="s">
        <v>172</v>
      </c>
      <c r="H246" s="13" t="s">
        <v>991</v>
      </c>
      <c r="I246" s="13">
        <v>148</v>
      </c>
      <c r="J246" s="13">
        <v>1</v>
      </c>
      <c r="K246" s="14">
        <v>46164</v>
      </c>
      <c r="L246" s="14">
        <v>46157</v>
      </c>
      <c r="N246" s="13">
        <v>165</v>
      </c>
      <c r="P246" s="58" t="str">
        <f t="shared" si="21"/>
        <v>Donovan Mitchell</v>
      </c>
      <c r="Q246" s="58" t="str">
        <f>IFERROR(_xlfn.TEXTAFTER(_xlfn.XLOOKUP(A246,Collection!A:A,Collection!C:C,),"Cards "),C246)</f>
        <v>2024 Panini Prizm Black</v>
      </c>
      <c r="R246" s="58" t="str">
        <f t="shared" si="22"/>
        <v>Hyper</v>
      </c>
      <c r="S246" s="58" t="str">
        <f>IFERROR(_xlfn.TEXTAFTER(_xlfn.XLOOKUP(A246,Collection!A:A,Collection!B:B,),"#"),"")</f>
        <v>49</v>
      </c>
      <c r="T246" s="60">
        <f t="shared" si="23"/>
        <v>3.25</v>
      </c>
      <c r="U246" s="54" t="s">
        <v>1631</v>
      </c>
      <c r="V246" s="58" t="str">
        <f>IF(ISNUMBER(MATCH(N246,Catalog!$B$4:$B$16, 0)), "Keep", "For Sale")</f>
        <v>For Sale</v>
      </c>
      <c r="W246" s="58">
        <f t="shared" si="24"/>
        <v>1</v>
      </c>
      <c r="X246" s="58">
        <f t="shared" si="25"/>
        <v>3</v>
      </c>
      <c r="Y246" s="60">
        <f t="shared" si="26"/>
        <v>4</v>
      </c>
      <c r="Z246" s="60">
        <f t="shared" si="27"/>
        <v>1.25</v>
      </c>
      <c r="AE246"/>
      <c r="AF246"/>
      <c r="AG246"/>
    </row>
    <row r="247" spans="1:33" ht="14.4" x14ac:dyDescent="0.3">
      <c r="A247" s="13">
        <v>154422</v>
      </c>
      <c r="B247" s="13" t="s">
        <v>295</v>
      </c>
      <c r="C247" s="13" t="s">
        <v>296</v>
      </c>
      <c r="D247" s="13">
        <v>205</v>
      </c>
      <c r="E247" s="13" t="s">
        <v>171</v>
      </c>
      <c r="F247" s="13" t="s">
        <v>172</v>
      </c>
      <c r="I247" s="13">
        <v>0</v>
      </c>
      <c r="J247" s="13">
        <v>1</v>
      </c>
      <c r="K247" s="14">
        <v>46149</v>
      </c>
      <c r="N247" s="13">
        <v>226</v>
      </c>
      <c r="P247" s="58" t="str">
        <f t="shared" si="21"/>
        <v>Earvin Johnson</v>
      </c>
      <c r="Q247" s="58" t="str">
        <f>IFERROR(_xlfn.TEXTAFTER(_xlfn.XLOOKUP(A247,Collection!A:A,Collection!C:C,),"Cards "),C247)</f>
        <v>1991 Hoops</v>
      </c>
      <c r="R247" s="58" t="str">
        <f t="shared" si="22"/>
        <v>-</v>
      </c>
      <c r="S247" s="58" t="str">
        <f>IFERROR(_xlfn.TEXTAFTER(_xlfn.XLOOKUP(A247,Collection!A:A,Collection!B:B,),"#"),"")</f>
        <v>578</v>
      </c>
      <c r="T247" s="60">
        <f t="shared" si="23"/>
        <v>2.0499999999999998</v>
      </c>
      <c r="U247" s="54" t="s">
        <v>1642</v>
      </c>
      <c r="V247" s="58" t="str">
        <f>IF(ISNUMBER(MATCH(N247,Catalog!$B$4:$B$16, 0)), "Keep", "For Sale")</f>
        <v>For Sale</v>
      </c>
      <c r="W247" s="58">
        <f t="shared" si="24"/>
        <v>1</v>
      </c>
      <c r="X247" s="58">
        <f t="shared" si="25"/>
        <v>3</v>
      </c>
      <c r="Y247" s="60">
        <f t="shared" si="26"/>
        <v>2.5</v>
      </c>
      <c r="Z247" s="60">
        <f t="shared" si="27"/>
        <v>2</v>
      </c>
      <c r="AE247"/>
      <c r="AF247"/>
      <c r="AG247"/>
    </row>
    <row r="248" spans="1:33" ht="14.4" x14ac:dyDescent="0.3">
      <c r="A248" s="13">
        <v>4360264</v>
      </c>
      <c r="B248" s="13" t="s">
        <v>653</v>
      </c>
      <c r="C248" s="13" t="s">
        <v>549</v>
      </c>
      <c r="D248" s="13">
        <v>233</v>
      </c>
      <c r="E248" s="13" t="s">
        <v>171</v>
      </c>
      <c r="F248" s="13" t="s">
        <v>172</v>
      </c>
      <c r="I248" s="13">
        <v>0</v>
      </c>
      <c r="J248" s="13">
        <v>1</v>
      </c>
      <c r="K248" s="14">
        <v>46129</v>
      </c>
      <c r="N248" s="13">
        <v>221</v>
      </c>
      <c r="P248" s="58" t="str">
        <f t="shared" si="21"/>
        <v>Eric Wynalda</v>
      </c>
      <c r="Q248" s="58" t="str">
        <f>IFERROR(_xlfn.TEXTAFTER(_xlfn.XLOOKUP(A248,Collection!A:A,Collection!C:C,),"Cards "),C248)</f>
        <v>1994 Upper Deck World Cup Soccer</v>
      </c>
      <c r="R248" s="58" t="str">
        <f t="shared" si="22"/>
        <v>-</v>
      </c>
      <c r="S248" s="58" t="str">
        <f>IFERROR(_xlfn.TEXTAFTER(_xlfn.XLOOKUP(A248,Collection!A:A,Collection!B:B,),"#"),"")</f>
        <v>14</v>
      </c>
      <c r="T248" s="60">
        <f t="shared" si="23"/>
        <v>2.33</v>
      </c>
      <c r="U248" s="54" t="s">
        <v>1683</v>
      </c>
      <c r="V248" s="58" t="str">
        <f>IF(ISNUMBER(MATCH(N248,Catalog!$B$4:$B$16, 0)), "Keep", "For Sale")</f>
        <v>For Sale</v>
      </c>
      <c r="W248" s="58">
        <f t="shared" si="24"/>
        <v>1</v>
      </c>
      <c r="X248" s="58">
        <f t="shared" si="25"/>
        <v>3</v>
      </c>
      <c r="Y248" s="60">
        <f t="shared" si="26"/>
        <v>3</v>
      </c>
      <c r="Z248" s="60">
        <f t="shared" si="27"/>
        <v>2.5</v>
      </c>
      <c r="AE248"/>
      <c r="AF248"/>
      <c r="AG248"/>
    </row>
    <row r="249" spans="1:33" ht="14.4" x14ac:dyDescent="0.3">
      <c r="A249" s="13">
        <v>156855</v>
      </c>
      <c r="B249" s="13" t="s">
        <v>955</v>
      </c>
      <c r="C249" s="13" t="s">
        <v>655</v>
      </c>
      <c r="D249" s="13">
        <v>222</v>
      </c>
      <c r="E249" s="13" t="s">
        <v>171</v>
      </c>
      <c r="F249" s="13" t="s">
        <v>172</v>
      </c>
      <c r="H249" s="13" t="s">
        <v>956</v>
      </c>
      <c r="I249" s="13">
        <v>290</v>
      </c>
      <c r="J249" s="13">
        <v>1</v>
      </c>
      <c r="K249" s="14">
        <v>46156</v>
      </c>
      <c r="L249" s="14">
        <v>46155</v>
      </c>
      <c r="N249" s="13">
        <v>233</v>
      </c>
      <c r="P249" s="58" t="str">
        <f t="shared" si="21"/>
        <v>JA Morant</v>
      </c>
      <c r="Q249" s="58" t="str">
        <f>IFERROR(_xlfn.TEXTAFTER(_xlfn.XLOOKUP(A249,Collection!A:A,Collection!C:C,),"Cards "),C249)</f>
        <v>2019 Panini Chronicles</v>
      </c>
      <c r="R249" s="58" t="str">
        <f t="shared" si="22"/>
        <v>Silver</v>
      </c>
      <c r="S249" s="58" t="str">
        <f>IFERROR(_xlfn.TEXTAFTER(_xlfn.XLOOKUP(A249,Collection!A:A,Collection!B:B,),"#"),"")</f>
        <v>580</v>
      </c>
      <c r="T249" s="60">
        <f t="shared" si="23"/>
        <v>2.2200000000000002</v>
      </c>
      <c r="U249" s="54" t="s">
        <v>1691</v>
      </c>
      <c r="V249" s="58" t="str">
        <f>IF(ISNUMBER(MATCH(N249,Catalog!$B$4:$B$16, 0)), "Keep", "For Sale")</f>
        <v>For Sale</v>
      </c>
      <c r="W249" s="58">
        <f t="shared" si="24"/>
        <v>1</v>
      </c>
      <c r="X249" s="58">
        <f t="shared" si="25"/>
        <v>3</v>
      </c>
      <c r="Y249" s="60">
        <f t="shared" si="26"/>
        <v>3</v>
      </c>
      <c r="Z249" s="60">
        <f t="shared" si="27"/>
        <v>2</v>
      </c>
      <c r="AE249"/>
      <c r="AF249"/>
      <c r="AG249"/>
    </row>
    <row r="250" spans="1:33" ht="14.4" x14ac:dyDescent="0.3">
      <c r="A250" s="13">
        <v>156688</v>
      </c>
      <c r="B250" s="13" t="s">
        <v>677</v>
      </c>
      <c r="C250" s="13" t="s">
        <v>655</v>
      </c>
      <c r="D250" s="13">
        <v>200</v>
      </c>
      <c r="E250" s="13" t="s">
        <v>171</v>
      </c>
      <c r="F250" s="13" t="s">
        <v>172</v>
      </c>
      <c r="H250" s="13" t="s">
        <v>678</v>
      </c>
      <c r="I250" s="13">
        <v>221</v>
      </c>
      <c r="J250" s="13">
        <v>1</v>
      </c>
      <c r="K250" s="14">
        <v>46154</v>
      </c>
      <c r="L250" s="14">
        <v>46150</v>
      </c>
      <c r="N250" s="13">
        <v>209</v>
      </c>
      <c r="P250" s="58" t="str">
        <f t="shared" si="21"/>
        <v>JA Morant</v>
      </c>
      <c r="Q250" s="58" t="str">
        <f>IFERROR(_xlfn.TEXTAFTER(_xlfn.XLOOKUP(A250,Collection!A:A,Collection!C:C,),"Cards "),C250)</f>
        <v>2019 Panini Chronicles</v>
      </c>
      <c r="R250" s="58" t="str">
        <f t="shared" si="22"/>
        <v>-</v>
      </c>
      <c r="S250" s="58" t="str">
        <f>IFERROR(_xlfn.TEXTAFTER(_xlfn.XLOOKUP(A250,Collection!A:A,Collection!B:B,),"#"),"")</f>
        <v>168</v>
      </c>
      <c r="T250" s="60">
        <f t="shared" si="23"/>
        <v>2</v>
      </c>
      <c r="U250" s="54" t="s">
        <v>1691</v>
      </c>
      <c r="V250" s="58" t="str">
        <f>IF(ISNUMBER(MATCH(N250,Catalog!$B$4:$B$16, 0)), "Keep", "For Sale")</f>
        <v>For Sale</v>
      </c>
      <c r="W250" s="58">
        <f t="shared" si="24"/>
        <v>1</v>
      </c>
      <c r="X250" s="58">
        <f t="shared" si="25"/>
        <v>3</v>
      </c>
      <c r="Y250" s="60">
        <f t="shared" si="26"/>
        <v>3</v>
      </c>
      <c r="Z250" s="60">
        <f t="shared" si="27"/>
        <v>2</v>
      </c>
      <c r="AE250"/>
      <c r="AF250"/>
      <c r="AG250"/>
    </row>
    <row r="251" spans="1:33" ht="14.4" x14ac:dyDescent="0.3">
      <c r="A251" s="13">
        <v>11909420</v>
      </c>
      <c r="B251" s="13" t="s">
        <v>1015</v>
      </c>
      <c r="C251" s="13" t="s">
        <v>981</v>
      </c>
      <c r="D251" s="13">
        <v>199</v>
      </c>
      <c r="E251" s="13" t="s">
        <v>171</v>
      </c>
      <c r="F251" s="13" t="s">
        <v>172</v>
      </c>
      <c r="H251" s="13" t="s">
        <v>1016</v>
      </c>
      <c r="I251" s="13">
        <v>148</v>
      </c>
      <c r="J251" s="13">
        <v>1</v>
      </c>
      <c r="K251" s="14">
        <v>46163</v>
      </c>
      <c r="L251" s="14">
        <v>46157</v>
      </c>
      <c r="N251" s="13">
        <v>275</v>
      </c>
      <c r="P251" s="58" t="str">
        <f t="shared" si="21"/>
        <v>Ja Morant</v>
      </c>
      <c r="Q251" s="58" t="str">
        <f>IFERROR(_xlfn.TEXTAFTER(_xlfn.XLOOKUP(A251,Collection!A:A,Collection!C:C,),"Cards "),C251)</f>
        <v>2025 Topps Match Attax In Motion</v>
      </c>
      <c r="R251" s="58" t="str">
        <f t="shared" si="22"/>
        <v>-</v>
      </c>
      <c r="S251" s="58" t="str">
        <f>IFERROR(_xlfn.TEXTAFTER(_xlfn.XLOOKUP(A251,Collection!A:A,Collection!B:B,),"#"),"")</f>
        <v>KI-JM</v>
      </c>
      <c r="T251" s="60">
        <f t="shared" si="23"/>
        <v>1.99</v>
      </c>
      <c r="U251" s="54" t="s">
        <v>1648</v>
      </c>
      <c r="V251" s="58" t="str">
        <f>IF(ISNUMBER(MATCH(N251,Catalog!$B$4:$B$16, 0)), "Keep", "For Sale")</f>
        <v>For Sale</v>
      </c>
      <c r="W251" s="58">
        <f t="shared" si="24"/>
        <v>1</v>
      </c>
      <c r="X251" s="58">
        <f t="shared" si="25"/>
        <v>3</v>
      </c>
      <c r="Y251" s="60">
        <f t="shared" si="26"/>
        <v>2.5</v>
      </c>
      <c r="Z251" s="60">
        <f t="shared" si="27"/>
        <v>1.25</v>
      </c>
      <c r="AE251"/>
      <c r="AF251"/>
      <c r="AG251"/>
    </row>
    <row r="252" spans="1:33" ht="14.4" x14ac:dyDescent="0.3">
      <c r="A252" s="13">
        <v>12104444</v>
      </c>
      <c r="B252" s="13" t="s">
        <v>665</v>
      </c>
      <c r="C252" s="13" t="s">
        <v>666</v>
      </c>
      <c r="D252" s="13">
        <v>153</v>
      </c>
      <c r="E252" s="13" t="s">
        <v>171</v>
      </c>
      <c r="F252" s="13" t="s">
        <v>172</v>
      </c>
      <c r="H252" s="13" t="s">
        <v>667</v>
      </c>
      <c r="I252" s="13">
        <v>261</v>
      </c>
      <c r="J252" s="13">
        <v>1</v>
      </c>
      <c r="K252" s="14">
        <v>46154</v>
      </c>
      <c r="L252" s="14">
        <v>46154</v>
      </c>
      <c r="N252" s="13">
        <v>489</v>
      </c>
      <c r="P252" s="58" t="str">
        <f t="shared" si="21"/>
        <v>Ja Morant</v>
      </c>
      <c r="Q252" s="58" t="str">
        <f>IFERROR(_xlfn.TEXTAFTER(_xlfn.XLOOKUP(A252,Collection!A:A,Collection!C:C,),"Cards "),C252)</f>
        <v>2025 Topps Finest</v>
      </c>
      <c r="R252" s="58" t="str">
        <f t="shared" si="22"/>
        <v>Oil Spill Refractor</v>
      </c>
      <c r="S252" s="58" t="str">
        <f>IFERROR(_xlfn.TEXTAFTER(_xlfn.XLOOKUP(A252,Collection!A:A,Collection!B:B,),"#"),"")</f>
        <v>93</v>
      </c>
      <c r="T252" s="60">
        <f t="shared" si="23"/>
        <v>1.53</v>
      </c>
      <c r="U252" s="54" t="s">
        <v>1648</v>
      </c>
      <c r="V252" s="58" t="str">
        <f>IF(ISNUMBER(MATCH(N252,Catalog!$B$4:$B$16, 0)), "Keep", "For Sale")</f>
        <v>For Sale</v>
      </c>
      <c r="W252" s="58">
        <f t="shared" si="24"/>
        <v>1</v>
      </c>
      <c r="X252" s="58">
        <f t="shared" si="25"/>
        <v>3</v>
      </c>
      <c r="Y252" s="60">
        <f t="shared" si="26"/>
        <v>3</v>
      </c>
      <c r="Z252" s="60">
        <f t="shared" si="27"/>
        <v>1.5</v>
      </c>
      <c r="AE252"/>
      <c r="AF252"/>
      <c r="AG252"/>
    </row>
    <row r="253" spans="1:33" ht="14.4" x14ac:dyDescent="0.3">
      <c r="A253" s="13">
        <v>12957119</v>
      </c>
      <c r="B253" s="13" t="s">
        <v>1078</v>
      </c>
      <c r="C253" s="13" t="s">
        <v>972</v>
      </c>
      <c r="D253" s="13">
        <v>125</v>
      </c>
      <c r="E253" s="13" t="s">
        <v>171</v>
      </c>
      <c r="F253" s="13" t="s">
        <v>172</v>
      </c>
      <c r="H253" s="13" t="s">
        <v>1079</v>
      </c>
      <c r="I253" s="13">
        <v>85</v>
      </c>
      <c r="J253" s="13">
        <v>1</v>
      </c>
      <c r="K253" s="14">
        <v>46164</v>
      </c>
      <c r="L253" s="14">
        <v>46159</v>
      </c>
      <c r="N253" s="13">
        <v>432</v>
      </c>
      <c r="P253" s="58" t="str">
        <f t="shared" si="21"/>
        <v>Ja Morant</v>
      </c>
      <c r="Q253" s="58" t="str">
        <f>IFERROR(_xlfn.TEXTAFTER(_xlfn.XLOOKUP(A253,Collection!A:A,Collection!C:C,),"Cards "),C253)</f>
        <v>2025 Topps NBA Hoops</v>
      </c>
      <c r="R253" s="58" t="str">
        <f t="shared" si="22"/>
        <v>-</v>
      </c>
      <c r="S253" s="58" t="str">
        <f>IFERROR(_xlfn.TEXTAFTER(_xlfn.XLOOKUP(A253,Collection!A:A,Collection!B:B,),"#"),"")</f>
        <v>264</v>
      </c>
      <c r="T253" s="60">
        <f t="shared" si="23"/>
        <v>1.25</v>
      </c>
      <c r="U253" s="54" t="s">
        <v>1648</v>
      </c>
      <c r="V253" s="58" t="str">
        <f>IF(ISNUMBER(MATCH(N253,Catalog!$B$4:$B$16, 0)), "Keep", "For Sale")</f>
        <v>For Sale</v>
      </c>
      <c r="W253" s="58">
        <f t="shared" si="24"/>
        <v>1</v>
      </c>
      <c r="X253" s="58">
        <f t="shared" si="25"/>
        <v>3</v>
      </c>
      <c r="Y253" s="60">
        <f t="shared" si="26"/>
        <v>1.5</v>
      </c>
      <c r="Z253" s="60">
        <f t="shared" si="27"/>
        <v>0.75</v>
      </c>
      <c r="AE253"/>
      <c r="AF253"/>
      <c r="AG253"/>
    </row>
    <row r="254" spans="1:33" ht="14.4" x14ac:dyDescent="0.3">
      <c r="A254" s="13">
        <v>8013967</v>
      </c>
      <c r="B254" s="13" t="s">
        <v>621</v>
      </c>
      <c r="C254" s="13" t="s">
        <v>348</v>
      </c>
      <c r="D254" s="13">
        <v>281</v>
      </c>
      <c r="E254" s="13" t="s">
        <v>171</v>
      </c>
      <c r="F254" s="13" t="s">
        <v>172</v>
      </c>
      <c r="H254" s="13" t="s">
        <v>622</v>
      </c>
      <c r="I254" s="13">
        <v>341</v>
      </c>
      <c r="J254" s="13">
        <v>1</v>
      </c>
      <c r="K254" s="14">
        <v>46154</v>
      </c>
      <c r="L254" s="14">
        <v>46154</v>
      </c>
      <c r="N254" s="13">
        <v>222</v>
      </c>
      <c r="P254" s="58" t="str">
        <f t="shared" si="21"/>
        <v>Jaden McDaniels</v>
      </c>
      <c r="Q254" s="58" t="str">
        <f>IFERROR(_xlfn.TEXTAFTER(_xlfn.XLOOKUP(A254,Collection!A:A,Collection!C:C,),"Cards "),C254)</f>
        <v>2020 Panini Prizm Emergent</v>
      </c>
      <c r="R254" s="58" t="str">
        <f t="shared" si="22"/>
        <v>Silver Prizm</v>
      </c>
      <c r="S254" s="58" t="str">
        <f>IFERROR(_xlfn.TEXTAFTER(_xlfn.XLOOKUP(A254,Collection!A:A,Collection!B:B,),"#"),"")</f>
        <v>10</v>
      </c>
      <c r="T254" s="60">
        <f t="shared" si="23"/>
        <v>2.81</v>
      </c>
      <c r="U254" s="54" t="s">
        <v>1662</v>
      </c>
      <c r="V254" s="58" t="str">
        <f>IF(ISNUMBER(MATCH(N254,Catalog!$B$4:$B$16, 0)), "Keep", "For Sale")</f>
        <v>For Sale</v>
      </c>
      <c r="W254" s="58">
        <f t="shared" si="24"/>
        <v>1</v>
      </c>
      <c r="X254" s="58">
        <f t="shared" si="25"/>
        <v>3</v>
      </c>
      <c r="Y254" s="60">
        <f t="shared" si="26"/>
        <v>4</v>
      </c>
      <c r="Z254" s="60">
        <f t="shared" si="27"/>
        <v>3</v>
      </c>
      <c r="AE254"/>
      <c r="AF254"/>
      <c r="AG254"/>
    </row>
    <row r="255" spans="1:33" ht="14.4" x14ac:dyDescent="0.3">
      <c r="A255" s="13">
        <v>2102671</v>
      </c>
      <c r="B255" s="13" t="s">
        <v>542</v>
      </c>
      <c r="C255" s="13" t="s">
        <v>543</v>
      </c>
      <c r="D255" s="13">
        <v>217</v>
      </c>
      <c r="E255" s="13" t="s">
        <v>171</v>
      </c>
      <c r="F255" s="13" t="s">
        <v>172</v>
      </c>
      <c r="H255" s="13" t="s">
        <v>544</v>
      </c>
      <c r="I255" s="13">
        <v>520</v>
      </c>
      <c r="J255" s="13">
        <v>1</v>
      </c>
      <c r="K255" s="14">
        <v>46154</v>
      </c>
      <c r="L255" s="14">
        <v>46150</v>
      </c>
      <c r="N255" s="13">
        <v>178</v>
      </c>
      <c r="P255" s="58" t="str">
        <f t="shared" si="21"/>
        <v>Jarrett Culver</v>
      </c>
      <c r="Q255" s="58" t="str">
        <f>IFERROR(_xlfn.TEXTAFTER(_xlfn.XLOOKUP(A255,Collection!A:A,Collection!C:C,),"Cards "),C255)</f>
        <v>2019 Panini Revolution Rookie Autographs</v>
      </c>
      <c r="R255" s="58" t="str">
        <f t="shared" si="22"/>
        <v>-</v>
      </c>
      <c r="S255" s="58" t="str">
        <f>IFERROR(_xlfn.TEXTAFTER(_xlfn.XLOOKUP(A255,Collection!A:A,Collection!B:B,),"#"),"")</f>
        <v>JCV</v>
      </c>
      <c r="T255" s="60">
        <f t="shared" si="23"/>
        <v>2.17</v>
      </c>
      <c r="U255" s="54" t="s">
        <v>1577</v>
      </c>
      <c r="V255" s="58" t="str">
        <f>IF(ISNUMBER(MATCH(N255,Catalog!$B$4:$B$16, 0)), "Keep", "For Sale")</f>
        <v>For Sale</v>
      </c>
      <c r="W255" s="58">
        <f t="shared" si="24"/>
        <v>1</v>
      </c>
      <c r="X255" s="58">
        <f t="shared" si="25"/>
        <v>3</v>
      </c>
      <c r="Y255" s="60">
        <f t="shared" si="26"/>
        <v>6</v>
      </c>
      <c r="Z255" s="60">
        <f t="shared" si="27"/>
        <v>2</v>
      </c>
      <c r="AE255"/>
      <c r="AF255"/>
      <c r="AG255"/>
    </row>
    <row r="256" spans="1:33" ht="14.4" x14ac:dyDescent="0.3">
      <c r="A256" s="13">
        <v>7296808</v>
      </c>
      <c r="B256" s="13" t="s">
        <v>1179</v>
      </c>
      <c r="C256" s="13" t="s">
        <v>1180</v>
      </c>
      <c r="D256" s="13">
        <v>390</v>
      </c>
      <c r="E256" s="13" t="s">
        <v>171</v>
      </c>
      <c r="F256" s="13" t="s">
        <v>172</v>
      </c>
      <c r="H256" s="13" t="s">
        <v>891</v>
      </c>
      <c r="I256" s="13">
        <v>298</v>
      </c>
      <c r="J256" s="13">
        <v>1</v>
      </c>
      <c r="K256" s="14">
        <v>46172</v>
      </c>
      <c r="L256" s="14">
        <v>46158</v>
      </c>
      <c r="N256" s="13">
        <v>148</v>
      </c>
      <c r="P256" s="58" t="str">
        <f t="shared" si="21"/>
        <v>Jayson Tatum</v>
      </c>
      <c r="Q256" s="58" t="str">
        <f>IFERROR(_xlfn.TEXTAFTER(_xlfn.XLOOKUP(A256,Collection!A:A,Collection!C:C,),"Cards "),C256)</f>
        <v>2023 Topps Chrome</v>
      </c>
      <c r="R256" s="58" t="str">
        <f t="shared" si="22"/>
        <v>Orange Basketball Refractor</v>
      </c>
      <c r="S256" s="58" t="str">
        <f>IFERROR(_xlfn.TEXTAFTER(_xlfn.XLOOKUP(A256,Collection!A:A,Collection!B:B,),"#"),"")</f>
        <v>164</v>
      </c>
      <c r="T256" s="60">
        <f t="shared" si="23"/>
        <v>3.9</v>
      </c>
      <c r="U256" s="54" t="s">
        <v>1604</v>
      </c>
      <c r="V256" s="58" t="str">
        <f>IF(ISNUMBER(MATCH(N256,Catalog!$B$4:$B$16, 0)), "Keep", "For Sale")</f>
        <v>For Sale</v>
      </c>
      <c r="W256" s="58">
        <f t="shared" si="24"/>
        <v>1</v>
      </c>
      <c r="X256" s="58">
        <f t="shared" si="25"/>
        <v>3</v>
      </c>
      <c r="Y256" s="60">
        <f t="shared" si="26"/>
        <v>5</v>
      </c>
      <c r="Z256" s="60">
        <f t="shared" si="27"/>
        <v>3</v>
      </c>
      <c r="AE256"/>
      <c r="AF256"/>
      <c r="AG256"/>
    </row>
    <row r="257" spans="1:33" ht="14.4" x14ac:dyDescent="0.3">
      <c r="A257" s="13">
        <v>6014501</v>
      </c>
      <c r="B257" s="13" t="s">
        <v>889</v>
      </c>
      <c r="C257" s="13" t="s">
        <v>890</v>
      </c>
      <c r="D257" s="13">
        <v>185</v>
      </c>
      <c r="E257" s="13" t="s">
        <v>171</v>
      </c>
      <c r="F257" s="13" t="s">
        <v>172</v>
      </c>
      <c r="H257" s="13" t="s">
        <v>891</v>
      </c>
      <c r="I257" s="13">
        <v>298</v>
      </c>
      <c r="J257" s="13">
        <v>1</v>
      </c>
      <c r="K257" s="14">
        <v>46159</v>
      </c>
      <c r="L257" s="14">
        <v>46158</v>
      </c>
      <c r="N257" s="13">
        <v>314</v>
      </c>
      <c r="P257" s="58" t="str">
        <f t="shared" si="21"/>
        <v>Jayson Tatum</v>
      </c>
      <c r="Q257" s="58" t="str">
        <f>IFERROR(_xlfn.TEXTAFTER(_xlfn.XLOOKUP(A257,Collection!A:A,Collection!C:C,),"Cards "),C257)</f>
        <v>2023 Panini Prizm Draft Picks</v>
      </c>
      <c r="R257" s="58" t="str">
        <f t="shared" si="22"/>
        <v>Red Ice</v>
      </c>
      <c r="S257" s="58" t="str">
        <f>IFERROR(_xlfn.TEXTAFTER(_xlfn.XLOOKUP(A257,Collection!A:A,Collection!B:B,),"#"),"")</f>
        <v>51</v>
      </c>
      <c r="T257" s="60">
        <f t="shared" si="23"/>
        <v>1.85</v>
      </c>
      <c r="U257" s="54" t="s">
        <v>1604</v>
      </c>
      <c r="V257" s="58" t="str">
        <f>IF(ISNUMBER(MATCH(N257,Catalog!$B$4:$B$16, 0)), "Keep", "For Sale")</f>
        <v>For Sale</v>
      </c>
      <c r="W257" s="58">
        <f t="shared" si="24"/>
        <v>1</v>
      </c>
      <c r="X257" s="58">
        <f t="shared" si="25"/>
        <v>3</v>
      </c>
      <c r="Y257" s="60">
        <f t="shared" si="26"/>
        <v>4</v>
      </c>
      <c r="Z257" s="60">
        <f t="shared" si="27"/>
        <v>2</v>
      </c>
      <c r="AE257"/>
      <c r="AF257"/>
      <c r="AG257"/>
    </row>
    <row r="258" spans="1:33" ht="14.4" x14ac:dyDescent="0.3">
      <c r="A258" s="13">
        <v>12520986</v>
      </c>
      <c r="B258" s="13" t="s">
        <v>952</v>
      </c>
      <c r="C258" s="13" t="s">
        <v>953</v>
      </c>
      <c r="D258" s="13">
        <v>238</v>
      </c>
      <c r="E258" s="13" t="s">
        <v>171</v>
      </c>
      <c r="F258" s="13" t="s">
        <v>172</v>
      </c>
      <c r="H258" s="13" t="s">
        <v>954</v>
      </c>
      <c r="I258" s="13">
        <v>141</v>
      </c>
      <c r="J258" s="13">
        <v>1</v>
      </c>
      <c r="K258" s="14">
        <v>46157</v>
      </c>
      <c r="L258" s="14">
        <v>46156</v>
      </c>
      <c r="N258" s="13">
        <v>205</v>
      </c>
      <c r="P258" s="58" t="str">
        <f t="shared" ref="P258:P321" si="28">TRIM(LEFT(B258, MIN(IFERROR(FIND("[", B258), LEN(B258)+1), IFERROR(FIND("#", B258), LEN(B258)+1)) - 1))</f>
        <v>Joe Burrow</v>
      </c>
      <c r="Q258" s="58" t="str">
        <f>IFERROR(_xlfn.TEXTAFTER(_xlfn.XLOOKUP(A258,Collection!A:A,Collection!C:C,),"Cards "),C258)</f>
        <v>2025 Topps Chrome</v>
      </c>
      <c r="R258" s="58" t="str">
        <f t="shared" ref="R258:R321" si="29">IFERROR(_xlfn.TEXTBEFORE(_xlfn.TEXTAFTER(B258, "["), "]"), "-")</f>
        <v>Pulsar Refractor</v>
      </c>
      <c r="S258" s="58" t="str">
        <f>IFERROR(_xlfn.TEXTAFTER(_xlfn.XLOOKUP(A258,Collection!A:A,Collection!B:B,),"#"),"")</f>
        <v>61</v>
      </c>
      <c r="T258" s="60">
        <f t="shared" ref="T258:T321" si="30">D258/100</f>
        <v>2.38</v>
      </c>
      <c r="U258" s="54" t="s">
        <v>1696</v>
      </c>
      <c r="V258" s="58" t="str">
        <f>IF(ISNUMBER(MATCH(N258,Catalog!$B$4:$B$16, 0)), "Keep", "For Sale")</f>
        <v>For Sale</v>
      </c>
      <c r="W258" s="58">
        <f t="shared" ref="W258:W321" si="31">COUNTIFS(V:V,"For Sale",A:A,A258)</f>
        <v>1</v>
      </c>
      <c r="X258" s="58">
        <f t="shared" ref="X258:X321" si="32">_xlfn.LET(
_xlpm.val,_xlfn.XLOOKUP(U258,AE:AE,AG:AG,)/100,
_xlpm.tier,IF(_xlpm.val&lt;1,5,IF(_xlpm.val&lt;2,4,IF(_xlpm.val&lt;5,3,IF(_xlpm.val&lt;10,2,1)))),
_xlpm.tier)</f>
        <v>3</v>
      </c>
      <c r="Y258" s="60">
        <f t="shared" ref="Y258:Y321" si="33">_xlfn.LET(
    _xlpm.price, (MAX(I258,D258,25)/100)*(1+$AC$3),
    _xlpm.rounder, IF(_xlpm.price &lt; 1.5, FLOOR(_xlpm.price, 0.25),
           IF(_xlpm.price &lt; 2.5, MROUND(_xlpm.price, 0.5),
               MROUND(_xlpm.price, 1))),
    MAX(0.25, _xlpm.rounder))</f>
        <v>3</v>
      </c>
      <c r="Z258" s="60">
        <f t="shared" ref="Z258:Z321" si="34">_xlfn.LET(
    _xlpm.price, IF(I258=0, IF(W258&gt;1,1-$AC$2,1)*(D258/100), MIN(IF(W258&gt;1,1-$AC$2,1)*(D258/100), IF(W258&gt;1,1-$AC$2,1)*(I258/100))),
    _xlpm.rounder, IF(_xlpm.price &lt; 1.5, FLOOR(_xlpm.price, 0.25),
           IF(_xlpm.price &lt; 2.5, MROUND(_xlpm.price, 0.5),
               MROUND(_xlpm.price, 1))),
    MAX(0.25, _xlpm.rounder))</f>
        <v>1.25</v>
      </c>
      <c r="AE258"/>
      <c r="AF258"/>
      <c r="AG258"/>
    </row>
    <row r="259" spans="1:33" ht="14.4" x14ac:dyDescent="0.3">
      <c r="A259" s="13">
        <v>131835</v>
      </c>
      <c r="B259" s="13" t="s">
        <v>661</v>
      </c>
      <c r="C259" s="13" t="s">
        <v>662</v>
      </c>
      <c r="D259" s="13">
        <v>556</v>
      </c>
      <c r="E259" s="13" t="s">
        <v>171</v>
      </c>
      <c r="F259" s="13" t="s">
        <v>172</v>
      </c>
      <c r="H259" s="13" t="s">
        <v>663</v>
      </c>
      <c r="I259" s="13">
        <v>604</v>
      </c>
      <c r="J259" s="13">
        <v>1</v>
      </c>
      <c r="K259" s="14">
        <v>46154</v>
      </c>
      <c r="L259" s="14">
        <v>46147</v>
      </c>
      <c r="N259" s="13">
        <v>125</v>
      </c>
      <c r="P259" s="58" t="str">
        <f t="shared" si="28"/>
        <v>Joel Embiid</v>
      </c>
      <c r="Q259" s="58" t="str">
        <f>IFERROR(_xlfn.TEXTAFTER(_xlfn.XLOOKUP(A259,Collection!A:A,Collection!C:C,),"Cards "),C259)</f>
        <v>2014 Panini Hoops</v>
      </c>
      <c r="R259" s="58" t="str">
        <f t="shared" si="29"/>
        <v>-</v>
      </c>
      <c r="S259" s="58" t="str">
        <f>IFERROR(_xlfn.TEXTAFTER(_xlfn.XLOOKUP(A259,Collection!A:A,Collection!B:B,),"#"),"")</f>
        <v>263</v>
      </c>
      <c r="T259" s="60">
        <f t="shared" si="30"/>
        <v>5.56</v>
      </c>
      <c r="U259" s="54" t="s">
        <v>1600</v>
      </c>
      <c r="V259" s="58" t="str">
        <f>IF(ISNUMBER(MATCH(N259,Catalog!$B$4:$B$16, 0)), "Keep", "For Sale")</f>
        <v>For Sale</v>
      </c>
      <c r="W259" s="58">
        <f t="shared" si="31"/>
        <v>1</v>
      </c>
      <c r="X259" s="58">
        <f t="shared" si="32"/>
        <v>3</v>
      </c>
      <c r="Y259" s="60">
        <f t="shared" si="33"/>
        <v>7</v>
      </c>
      <c r="Z259" s="60">
        <f t="shared" si="34"/>
        <v>6</v>
      </c>
      <c r="AE259"/>
      <c r="AF259"/>
      <c r="AG259"/>
    </row>
    <row r="260" spans="1:33" ht="14.4" x14ac:dyDescent="0.3">
      <c r="A260" s="13">
        <v>5419755</v>
      </c>
      <c r="B260" s="13" t="s">
        <v>977</v>
      </c>
      <c r="C260" s="13" t="s">
        <v>978</v>
      </c>
      <c r="D260" s="13">
        <v>329</v>
      </c>
      <c r="E260" s="13" t="s">
        <v>171</v>
      </c>
      <c r="F260" s="13" t="s">
        <v>172</v>
      </c>
      <c r="H260" s="13" t="s">
        <v>979</v>
      </c>
      <c r="I260" s="13">
        <v>157</v>
      </c>
      <c r="J260" s="13">
        <v>1</v>
      </c>
      <c r="K260" s="14">
        <v>46164</v>
      </c>
      <c r="L260" s="14">
        <v>46161</v>
      </c>
      <c r="N260" s="13">
        <v>162</v>
      </c>
      <c r="P260" s="58" t="str">
        <f t="shared" si="28"/>
        <v>Joel Embiid</v>
      </c>
      <c r="Q260" s="58" t="str">
        <f>IFERROR(_xlfn.TEXTAFTER(_xlfn.XLOOKUP(A260,Collection!A:A,Collection!C:C,),"Cards "),C260)</f>
        <v>2021 Panini Illusions Mystique</v>
      </c>
      <c r="R260" s="58" t="str">
        <f t="shared" si="29"/>
        <v>-</v>
      </c>
      <c r="S260" s="58" t="str">
        <f>IFERROR(_xlfn.TEXTAFTER(_xlfn.XLOOKUP(A260,Collection!A:A,Collection!B:B,),"#"),"")</f>
        <v>4</v>
      </c>
      <c r="T260" s="60">
        <f t="shared" si="30"/>
        <v>3.29</v>
      </c>
      <c r="U260" s="54" t="s">
        <v>1600</v>
      </c>
      <c r="V260" s="58" t="str">
        <f>IF(ISNUMBER(MATCH(N260,Catalog!$B$4:$B$16, 0)), "Keep", "For Sale")</f>
        <v>For Sale</v>
      </c>
      <c r="W260" s="58">
        <f t="shared" si="31"/>
        <v>1</v>
      </c>
      <c r="X260" s="58">
        <f t="shared" si="32"/>
        <v>3</v>
      </c>
      <c r="Y260" s="60">
        <f t="shared" si="33"/>
        <v>4</v>
      </c>
      <c r="Z260" s="60">
        <f t="shared" si="34"/>
        <v>1.5</v>
      </c>
      <c r="AE260"/>
      <c r="AF260"/>
      <c r="AG260"/>
    </row>
    <row r="261" spans="1:33" ht="14.4" x14ac:dyDescent="0.3">
      <c r="A261" s="13">
        <v>9646041</v>
      </c>
      <c r="B261" s="13" t="s">
        <v>1010</v>
      </c>
      <c r="C261" s="13" t="s">
        <v>1011</v>
      </c>
      <c r="D261" s="13">
        <v>100</v>
      </c>
      <c r="E261" s="13" t="s">
        <v>171</v>
      </c>
      <c r="F261" s="13" t="s">
        <v>172</v>
      </c>
      <c r="H261" s="13" t="s">
        <v>1012</v>
      </c>
      <c r="I261" s="13">
        <v>157</v>
      </c>
      <c r="J261" s="13">
        <v>1</v>
      </c>
      <c r="K261" s="14">
        <v>46164</v>
      </c>
      <c r="L261" s="14">
        <v>46161</v>
      </c>
      <c r="N261" s="13">
        <v>547</v>
      </c>
      <c r="P261" s="58" t="str">
        <f t="shared" si="28"/>
        <v>Joel Embiid</v>
      </c>
      <c r="Q261" s="58" t="str">
        <f>IFERROR(_xlfn.TEXTAFTER(_xlfn.XLOOKUP(A261,Collection!A:A,Collection!C:C,),"Cards "),C261)</f>
        <v>2024 Topps Chrome Instinct</v>
      </c>
      <c r="R261" s="58" t="str">
        <f t="shared" si="29"/>
        <v>Purple Geometric Refractor</v>
      </c>
      <c r="S261" s="58" t="str">
        <f>IFERROR(_xlfn.TEXTAFTER(_xlfn.XLOOKUP(A261,Collection!A:A,Collection!B:B,),"#"),"")</f>
        <v>INS-6</v>
      </c>
      <c r="T261" s="60">
        <f t="shared" si="30"/>
        <v>1</v>
      </c>
      <c r="U261" s="54" t="s">
        <v>1600</v>
      </c>
      <c r="V261" s="58" t="str">
        <f>IF(ISNUMBER(MATCH(N261,Catalog!$B$4:$B$16, 0)), "Keep", "For Sale")</f>
        <v>For Sale</v>
      </c>
      <c r="W261" s="58">
        <f t="shared" si="31"/>
        <v>1</v>
      </c>
      <c r="X261" s="58">
        <f t="shared" si="32"/>
        <v>3</v>
      </c>
      <c r="Y261" s="60">
        <f t="shared" si="33"/>
        <v>2</v>
      </c>
      <c r="Z261" s="60">
        <f t="shared" si="34"/>
        <v>1</v>
      </c>
      <c r="AE261"/>
      <c r="AF261"/>
      <c r="AG261"/>
    </row>
    <row r="262" spans="1:33" ht="14.4" x14ac:dyDescent="0.3">
      <c r="A262" s="13">
        <v>11586600</v>
      </c>
      <c r="B262" s="13" t="s">
        <v>1279</v>
      </c>
      <c r="C262" s="13" t="s">
        <v>1280</v>
      </c>
      <c r="D262" s="13">
        <v>299</v>
      </c>
      <c r="E262" s="13" t="s">
        <v>171</v>
      </c>
      <c r="F262" s="13" t="s">
        <v>172</v>
      </c>
      <c r="I262" s="13">
        <v>0</v>
      </c>
      <c r="J262" s="13">
        <v>1</v>
      </c>
      <c r="K262" s="14">
        <v>46173</v>
      </c>
      <c r="N262" s="13">
        <v>182</v>
      </c>
      <c r="P262" s="58" t="str">
        <f t="shared" si="28"/>
        <v>John Stockton</v>
      </c>
      <c r="Q262" s="58" t="str">
        <f>IFERROR(_xlfn.TEXTAFTER(_xlfn.XLOOKUP(A262,Collection!A:A,Collection!C:C,),"Cards "),C262)</f>
        <v>1996 Upper Deck Predictor Scoring 2</v>
      </c>
      <c r="R262" s="58" t="str">
        <f t="shared" si="29"/>
        <v>-</v>
      </c>
      <c r="S262" s="58" t="str">
        <f>IFERROR(_xlfn.TEXTAFTER(_xlfn.XLOOKUP(A262,Collection!A:A,Collection!B:B,),"#"),"")</f>
        <v>P18</v>
      </c>
      <c r="T262" s="60">
        <f t="shared" si="30"/>
        <v>2.99</v>
      </c>
      <c r="U262" s="54" t="s">
        <v>1622</v>
      </c>
      <c r="V262" s="58" t="str">
        <f>IF(ISNUMBER(MATCH(N262,Catalog!$B$4:$B$16, 0)), "Keep", "For Sale")</f>
        <v>For Sale</v>
      </c>
      <c r="W262" s="58">
        <f t="shared" si="31"/>
        <v>1</v>
      </c>
      <c r="X262" s="58">
        <f t="shared" si="32"/>
        <v>3</v>
      </c>
      <c r="Y262" s="60">
        <f t="shared" si="33"/>
        <v>4</v>
      </c>
      <c r="Z262" s="60">
        <f t="shared" si="34"/>
        <v>3</v>
      </c>
      <c r="AE262"/>
      <c r="AF262"/>
      <c r="AG262"/>
    </row>
    <row r="263" spans="1:33" ht="14.4" x14ac:dyDescent="0.3">
      <c r="A263" s="13">
        <v>6136569</v>
      </c>
      <c r="B263" s="13" t="s">
        <v>260</v>
      </c>
      <c r="C263" s="13" t="s">
        <v>235</v>
      </c>
      <c r="D263" s="13">
        <v>121</v>
      </c>
      <c r="E263" s="13" t="s">
        <v>171</v>
      </c>
      <c r="F263" s="13" t="s">
        <v>172</v>
      </c>
      <c r="I263" s="13">
        <v>0</v>
      </c>
      <c r="J263" s="13">
        <v>1</v>
      </c>
      <c r="K263" s="14">
        <v>46149</v>
      </c>
      <c r="N263" s="13">
        <v>503</v>
      </c>
      <c r="P263" s="58" t="str">
        <f t="shared" si="28"/>
        <v>John Stockton</v>
      </c>
      <c r="Q263" s="58" t="str">
        <f>IFERROR(_xlfn.TEXTAFTER(_xlfn.XLOOKUP(A263,Collection!A:A,Collection!C:C,),"Cards "),C263)</f>
        <v>1996 Metal Cyber Metal</v>
      </c>
      <c r="R263" s="58" t="str">
        <f t="shared" si="29"/>
        <v>-</v>
      </c>
      <c r="S263" s="58" t="str">
        <f>IFERROR(_xlfn.TEXTAFTER(_xlfn.XLOOKUP(A263,Collection!A:A,Collection!B:B,),"#"),"")</f>
        <v>19</v>
      </c>
      <c r="T263" s="60">
        <f t="shared" si="30"/>
        <v>1.21</v>
      </c>
      <c r="U263" s="54" t="s">
        <v>1622</v>
      </c>
      <c r="V263" s="58" t="str">
        <f>IF(ISNUMBER(MATCH(N263,Catalog!$B$4:$B$16, 0)), "Keep", "For Sale")</f>
        <v>For Sale</v>
      </c>
      <c r="W263" s="58">
        <f t="shared" si="31"/>
        <v>1</v>
      </c>
      <c r="X263" s="58">
        <f t="shared" si="32"/>
        <v>3</v>
      </c>
      <c r="Y263" s="60">
        <f t="shared" si="33"/>
        <v>1.25</v>
      </c>
      <c r="Z263" s="60">
        <f t="shared" si="34"/>
        <v>1</v>
      </c>
      <c r="AE263"/>
      <c r="AF263"/>
      <c r="AG263"/>
    </row>
    <row r="264" spans="1:33" ht="14.4" x14ac:dyDescent="0.3">
      <c r="A264" s="13">
        <v>2730174</v>
      </c>
      <c r="B264" s="13" t="s">
        <v>1784</v>
      </c>
      <c r="C264" s="13" t="s">
        <v>549</v>
      </c>
      <c r="D264" s="13">
        <v>249</v>
      </c>
      <c r="E264" s="13" t="s">
        <v>171</v>
      </c>
      <c r="F264" s="13" t="s">
        <v>172</v>
      </c>
      <c r="I264" s="13">
        <v>0</v>
      </c>
      <c r="J264" s="13">
        <v>1</v>
      </c>
      <c r="K264" s="14">
        <v>46186</v>
      </c>
      <c r="N264" s="13">
        <v>219</v>
      </c>
      <c r="P264" s="58" t="str">
        <f t="shared" si="28"/>
        <v>Joy Fawcett</v>
      </c>
      <c r="Q264" s="58" t="str">
        <f>IFERROR(_xlfn.TEXTAFTER(_xlfn.XLOOKUP(A264,Collection!A:A,Collection!C:C,),"Cards "),C264)</f>
        <v>1994 Upper Deck World Cup Soccer</v>
      </c>
      <c r="R264" s="58" t="str">
        <f t="shared" si="29"/>
        <v>-</v>
      </c>
      <c r="S264" s="58" t="str">
        <f>IFERROR(_xlfn.TEXTAFTER(_xlfn.XLOOKUP(A264,Collection!A:A,Collection!B:B,),"#"),"")</f>
        <v>272</v>
      </c>
      <c r="T264" s="60">
        <f t="shared" si="30"/>
        <v>2.4900000000000002</v>
      </c>
      <c r="U264" s="54" t="s">
        <v>1810</v>
      </c>
      <c r="V264" s="58" t="str">
        <f>IF(ISNUMBER(MATCH(N264,Catalog!$B$4:$B$16, 0)), "Keep", "For Sale")</f>
        <v>For Sale</v>
      </c>
      <c r="W264" s="58">
        <f t="shared" si="31"/>
        <v>1</v>
      </c>
      <c r="X264" s="58">
        <f t="shared" si="32"/>
        <v>3</v>
      </c>
      <c r="Y264" s="60">
        <f t="shared" si="33"/>
        <v>3</v>
      </c>
      <c r="Z264" s="60">
        <f t="shared" si="34"/>
        <v>2.5</v>
      </c>
      <c r="AE264"/>
      <c r="AF264"/>
      <c r="AG264"/>
    </row>
    <row r="265" spans="1:33" ht="14.4" x14ac:dyDescent="0.3">
      <c r="A265" s="13">
        <v>2730173</v>
      </c>
      <c r="B265" s="13" t="s">
        <v>1786</v>
      </c>
      <c r="C265" s="13" t="s">
        <v>549</v>
      </c>
      <c r="D265" s="13">
        <v>200</v>
      </c>
      <c r="E265" s="13" t="s">
        <v>171</v>
      </c>
      <c r="F265" s="13" t="s">
        <v>172</v>
      </c>
      <c r="I265" s="13">
        <v>0</v>
      </c>
      <c r="J265" s="13">
        <v>1</v>
      </c>
      <c r="K265" s="14">
        <v>46186</v>
      </c>
      <c r="N265" s="13">
        <v>261</v>
      </c>
      <c r="P265" s="58" t="str">
        <f t="shared" si="28"/>
        <v>Julie Foudy</v>
      </c>
      <c r="Q265" s="58" t="str">
        <f>IFERROR(_xlfn.TEXTAFTER(_xlfn.XLOOKUP(A265,Collection!A:A,Collection!C:C,),"Cards "),C265)</f>
        <v>1994 Upper Deck World Cup Soccer</v>
      </c>
      <c r="R265" s="58" t="str">
        <f t="shared" si="29"/>
        <v>-</v>
      </c>
      <c r="S265" s="58" t="str">
        <f>IFERROR(_xlfn.TEXTAFTER(_xlfn.XLOOKUP(A265,Collection!A:A,Collection!B:B,),"#"),"")</f>
        <v>271</v>
      </c>
      <c r="T265" s="60">
        <f t="shared" si="30"/>
        <v>2</v>
      </c>
      <c r="U265" s="54" t="s">
        <v>1811</v>
      </c>
      <c r="V265" s="58" t="str">
        <f>IF(ISNUMBER(MATCH(N265,Catalog!$B$4:$B$16, 0)), "Keep", "For Sale")</f>
        <v>For Sale</v>
      </c>
      <c r="W265" s="58">
        <f t="shared" si="31"/>
        <v>1</v>
      </c>
      <c r="X265" s="58">
        <f t="shared" si="32"/>
        <v>3</v>
      </c>
      <c r="Y265" s="60">
        <f t="shared" si="33"/>
        <v>2.5</v>
      </c>
      <c r="Z265" s="60">
        <f t="shared" si="34"/>
        <v>2</v>
      </c>
      <c r="AE265"/>
      <c r="AF265"/>
      <c r="AG265"/>
    </row>
    <row r="266" spans="1:33" ht="14.4" x14ac:dyDescent="0.3">
      <c r="A266" s="13">
        <v>13159385</v>
      </c>
      <c r="B266" s="13" t="s">
        <v>1165</v>
      </c>
      <c r="C266" s="13" t="s">
        <v>1166</v>
      </c>
      <c r="D266" s="13">
        <v>207</v>
      </c>
      <c r="E266" s="13" t="s">
        <v>171</v>
      </c>
      <c r="F266" s="13" t="s">
        <v>172</v>
      </c>
      <c r="I266" s="13">
        <v>0</v>
      </c>
      <c r="J266" s="13">
        <v>1</v>
      </c>
      <c r="K266" s="14">
        <v>46172</v>
      </c>
      <c r="N266" s="13">
        <v>174</v>
      </c>
      <c r="P266" s="58" t="str">
        <f t="shared" si="28"/>
        <v>Karl Malone</v>
      </c>
      <c r="Q266" s="58" t="str">
        <f>IFERROR(_xlfn.TEXTAFTER(_xlfn.XLOOKUP(A266,Collection!A:A,Collection!C:C,),"Cards "),C266)</f>
        <v>1996 Metal Power Tools</v>
      </c>
      <c r="R266" s="58" t="str">
        <f t="shared" si="29"/>
        <v>-</v>
      </c>
      <c r="S266" s="58" t="str">
        <f>IFERROR(_xlfn.TEXTAFTER(_xlfn.XLOOKUP(A266,Collection!A:A,Collection!B:B,),"#"),"")</f>
        <v>7</v>
      </c>
      <c r="T266" s="60">
        <f t="shared" si="30"/>
        <v>2.0699999999999998</v>
      </c>
      <c r="U266" s="54" t="s">
        <v>1587</v>
      </c>
      <c r="V266" s="58" t="str">
        <f>IF(ISNUMBER(MATCH(N266,Catalog!$B$4:$B$16, 0)), "Keep", "For Sale")</f>
        <v>For Sale</v>
      </c>
      <c r="W266" s="58">
        <f t="shared" si="31"/>
        <v>1</v>
      </c>
      <c r="X266" s="58">
        <f t="shared" si="32"/>
        <v>3</v>
      </c>
      <c r="Y266" s="60">
        <f t="shared" si="33"/>
        <v>2.5</v>
      </c>
      <c r="Z266" s="60">
        <f t="shared" si="34"/>
        <v>2</v>
      </c>
      <c r="AE266"/>
      <c r="AF266"/>
      <c r="AG266"/>
    </row>
    <row r="267" spans="1:33" ht="14.4" x14ac:dyDescent="0.3">
      <c r="A267" s="13">
        <v>89046</v>
      </c>
      <c r="B267" s="13" t="s">
        <v>341</v>
      </c>
      <c r="C267" s="13" t="s">
        <v>193</v>
      </c>
      <c r="D267" s="13">
        <v>319</v>
      </c>
      <c r="E267" s="13" t="s">
        <v>171</v>
      </c>
      <c r="F267" s="13" t="s">
        <v>172</v>
      </c>
      <c r="I267" s="13">
        <v>0</v>
      </c>
      <c r="J267" s="13">
        <v>1</v>
      </c>
      <c r="K267" s="14">
        <v>46149</v>
      </c>
      <c r="N267" s="13">
        <v>175</v>
      </c>
      <c r="P267" s="58" t="str">
        <f t="shared" si="28"/>
        <v>Kevin Garnett</v>
      </c>
      <c r="Q267" s="58" t="str">
        <f>IFERROR(_xlfn.TEXTAFTER(_xlfn.XLOOKUP(A267,Collection!A:A,Collection!C:C,),"Cards "),C267)</f>
        <v>1997 Metal Universe</v>
      </c>
      <c r="R267" s="58" t="str">
        <f t="shared" si="29"/>
        <v>-</v>
      </c>
      <c r="S267" s="58" t="str">
        <f>IFERROR(_xlfn.TEXTAFTER(_xlfn.XLOOKUP(A267,Collection!A:A,Collection!B:B,),"#"),"")</f>
        <v>109</v>
      </c>
      <c r="T267" s="60">
        <f t="shared" si="30"/>
        <v>3.19</v>
      </c>
      <c r="U267" s="54" t="s">
        <v>1557</v>
      </c>
      <c r="V267" s="58" t="str">
        <f>IF(ISNUMBER(MATCH(N267,Catalog!$B$4:$B$16, 0)), "Keep", "For Sale")</f>
        <v>For Sale</v>
      </c>
      <c r="W267" s="58">
        <f t="shared" si="31"/>
        <v>1</v>
      </c>
      <c r="X267" s="58">
        <f t="shared" si="32"/>
        <v>3</v>
      </c>
      <c r="Y267" s="60">
        <f t="shared" si="33"/>
        <v>4</v>
      </c>
      <c r="Z267" s="60">
        <f t="shared" si="34"/>
        <v>3</v>
      </c>
      <c r="AE267"/>
      <c r="AF267"/>
      <c r="AG267"/>
    </row>
    <row r="268" spans="1:33" ht="14.4" x14ac:dyDescent="0.3">
      <c r="A268" s="13">
        <v>83392</v>
      </c>
      <c r="B268" s="13" t="s">
        <v>329</v>
      </c>
      <c r="C268" s="13" t="s">
        <v>251</v>
      </c>
      <c r="D268" s="13">
        <v>261</v>
      </c>
      <c r="E268" s="13" t="s">
        <v>171</v>
      </c>
      <c r="F268" s="13" t="s">
        <v>172</v>
      </c>
      <c r="I268" s="13">
        <v>0</v>
      </c>
      <c r="J268" s="13">
        <v>1</v>
      </c>
      <c r="K268" s="14">
        <v>46128</v>
      </c>
      <c r="L268" s="14">
        <v>46128</v>
      </c>
      <c r="N268" s="13">
        <v>157</v>
      </c>
      <c r="P268" s="58" t="str">
        <f t="shared" si="28"/>
        <v>Kevin Garnett</v>
      </c>
      <c r="Q268" s="58" t="str">
        <f>IFERROR(_xlfn.TEXTAFTER(_xlfn.XLOOKUP(A268,Collection!A:A,Collection!C:C,),"Cards "),C268)</f>
        <v>1995 Metal</v>
      </c>
      <c r="R268" s="58" t="str">
        <f t="shared" si="29"/>
        <v>-</v>
      </c>
      <c r="S268" s="58" t="str">
        <f>IFERROR(_xlfn.TEXTAFTER(_xlfn.XLOOKUP(A268,Collection!A:A,Collection!B:B,),"#"),"")</f>
        <v>167</v>
      </c>
      <c r="T268" s="60">
        <f t="shared" si="30"/>
        <v>2.61</v>
      </c>
      <c r="U268" s="54" t="s">
        <v>1557</v>
      </c>
      <c r="V268" s="58" t="str">
        <f>IF(ISNUMBER(MATCH(N268,Catalog!$B$4:$B$16, 0)), "Keep", "For Sale")</f>
        <v>For Sale</v>
      </c>
      <c r="W268" s="58">
        <f t="shared" si="31"/>
        <v>1</v>
      </c>
      <c r="X268" s="58">
        <f t="shared" si="32"/>
        <v>3</v>
      </c>
      <c r="Y268" s="60">
        <f t="shared" si="33"/>
        <v>3</v>
      </c>
      <c r="Z268" s="60">
        <f t="shared" si="34"/>
        <v>3</v>
      </c>
      <c r="AE268"/>
      <c r="AF268"/>
      <c r="AG268"/>
    </row>
    <row r="269" spans="1:33" ht="14.4" x14ac:dyDescent="0.3">
      <c r="A269" s="13">
        <v>13162333</v>
      </c>
      <c r="B269" s="13" t="s">
        <v>1268</v>
      </c>
      <c r="C269" s="13" t="s">
        <v>239</v>
      </c>
      <c r="D269" s="13">
        <v>125</v>
      </c>
      <c r="E269" s="13" t="s">
        <v>171</v>
      </c>
      <c r="F269" s="13" t="s">
        <v>172</v>
      </c>
      <c r="I269" s="13">
        <v>0</v>
      </c>
      <c r="J269" s="13">
        <v>1</v>
      </c>
      <c r="K269" s="14">
        <v>46172</v>
      </c>
      <c r="N269" s="13">
        <v>485</v>
      </c>
      <c r="P269" s="58" t="str">
        <f t="shared" si="28"/>
        <v>Kevin Garnett</v>
      </c>
      <c r="Q269" s="58" t="str">
        <f>IFERROR(_xlfn.TEXTAFTER(_xlfn.XLOOKUP(A269,Collection!A:A,Collection!C:C,),"Cards "),C269)</f>
        <v>1997 Ultra 98 Greats</v>
      </c>
      <c r="R269" s="58" t="str">
        <f t="shared" si="29"/>
        <v>-</v>
      </c>
      <c r="S269" s="58" t="str">
        <f>IFERROR(_xlfn.TEXTAFTER(_xlfn.XLOOKUP(A269,Collection!A:A,Collection!B:B,),"#"),"")</f>
        <v>254</v>
      </c>
      <c r="T269" s="60">
        <f t="shared" si="30"/>
        <v>1.25</v>
      </c>
      <c r="U269" s="54" t="s">
        <v>1557</v>
      </c>
      <c r="V269" s="58" t="str">
        <f>IF(ISNUMBER(MATCH(N269,Catalog!$B$4:$B$16, 0)), "Keep", "For Sale")</f>
        <v>For Sale</v>
      </c>
      <c r="W269" s="58">
        <f t="shared" si="31"/>
        <v>1</v>
      </c>
      <c r="X269" s="58">
        <f t="shared" si="32"/>
        <v>3</v>
      </c>
      <c r="Y269" s="60">
        <f t="shared" si="33"/>
        <v>1.5</v>
      </c>
      <c r="Z269" s="60">
        <f t="shared" si="34"/>
        <v>1.25</v>
      </c>
      <c r="AE269"/>
      <c r="AF269"/>
      <c r="AG269"/>
    </row>
    <row r="270" spans="1:33" ht="14.4" x14ac:dyDescent="0.3">
      <c r="A270" s="13">
        <v>5811066</v>
      </c>
      <c r="B270" s="13" t="s">
        <v>278</v>
      </c>
      <c r="C270" s="13" t="s">
        <v>279</v>
      </c>
      <c r="D270" s="13">
        <v>122</v>
      </c>
      <c r="E270" s="13" t="s">
        <v>171</v>
      </c>
      <c r="F270" s="13" t="s">
        <v>172</v>
      </c>
      <c r="I270" s="13">
        <v>0</v>
      </c>
      <c r="J270" s="13">
        <v>1</v>
      </c>
      <c r="K270" s="14">
        <v>46149</v>
      </c>
      <c r="N270" s="13">
        <v>499</v>
      </c>
      <c r="P270" s="58" t="str">
        <f t="shared" si="28"/>
        <v>Kevin Garnett</v>
      </c>
      <c r="Q270" s="58" t="str">
        <f>IFERROR(_xlfn.TEXTAFTER(_xlfn.XLOOKUP(A270,Collection!A:A,Collection!C:C,),"Cards "),C270)</f>
        <v>1997 Upper Deck</v>
      </c>
      <c r="R270" s="58" t="str">
        <f t="shared" si="29"/>
        <v>Game  Dated</v>
      </c>
      <c r="S270" s="58" t="str">
        <f>IFERROR(_xlfn.TEXTAFTER(_xlfn.XLOOKUP(A270,Collection!A:A,Collection!B:B,),"#"),"")</f>
        <v>75</v>
      </c>
      <c r="T270" s="60">
        <f t="shared" si="30"/>
        <v>1.22</v>
      </c>
      <c r="U270" s="54" t="s">
        <v>1557</v>
      </c>
      <c r="V270" s="58" t="str">
        <f>IF(ISNUMBER(MATCH(N270,Catalog!$B$4:$B$16, 0)), "Keep", "For Sale")</f>
        <v>For Sale</v>
      </c>
      <c r="W270" s="58">
        <f t="shared" si="31"/>
        <v>1</v>
      </c>
      <c r="X270" s="58">
        <f t="shared" si="32"/>
        <v>3</v>
      </c>
      <c r="Y270" s="60">
        <f t="shared" si="33"/>
        <v>1.25</v>
      </c>
      <c r="Z270" s="60">
        <f t="shared" si="34"/>
        <v>1</v>
      </c>
      <c r="AE270"/>
      <c r="AF270"/>
      <c r="AG270"/>
    </row>
    <row r="271" spans="1:33" ht="14.4" x14ac:dyDescent="0.3">
      <c r="A271" s="13">
        <v>3180064</v>
      </c>
      <c r="B271" s="13" t="s">
        <v>1153</v>
      </c>
      <c r="C271" s="13" t="s">
        <v>372</v>
      </c>
      <c r="D271" s="13">
        <v>121</v>
      </c>
      <c r="E271" s="13" t="s">
        <v>171</v>
      </c>
      <c r="F271" s="13" t="s">
        <v>172</v>
      </c>
      <c r="I271" s="13">
        <v>0</v>
      </c>
      <c r="J271" s="13">
        <v>1</v>
      </c>
      <c r="K271" s="14">
        <v>46173</v>
      </c>
      <c r="N271" s="13">
        <v>500</v>
      </c>
      <c r="P271" s="58" t="str">
        <f t="shared" si="28"/>
        <v>Kevin Garnett</v>
      </c>
      <c r="Q271" s="58" t="str">
        <f>IFERROR(_xlfn.TEXTAFTER(_xlfn.XLOOKUP(A271,Collection!A:A,Collection!C:C,),"Cards "),C271)</f>
        <v>1998 Topps</v>
      </c>
      <c r="R271" s="58" t="str">
        <f t="shared" si="29"/>
        <v>-</v>
      </c>
      <c r="S271" s="58" t="str">
        <f>IFERROR(_xlfn.TEXTAFTER(_xlfn.XLOOKUP(A271,Collection!A:A,Collection!B:B,),"#"),"")</f>
        <v>125</v>
      </c>
      <c r="T271" s="60">
        <f t="shared" si="30"/>
        <v>1.21</v>
      </c>
      <c r="U271" s="54" t="s">
        <v>1557</v>
      </c>
      <c r="V271" s="58" t="str">
        <f>IF(ISNUMBER(MATCH(N271,Catalog!$B$4:$B$16, 0)), "Keep", "For Sale")</f>
        <v>For Sale</v>
      </c>
      <c r="W271" s="58">
        <f t="shared" si="31"/>
        <v>1</v>
      </c>
      <c r="X271" s="58">
        <f t="shared" si="32"/>
        <v>3</v>
      </c>
      <c r="Y271" s="60">
        <f t="shared" si="33"/>
        <v>1.25</v>
      </c>
      <c r="Z271" s="60">
        <f t="shared" si="34"/>
        <v>1</v>
      </c>
      <c r="AE271"/>
      <c r="AF271"/>
      <c r="AG271"/>
    </row>
    <row r="272" spans="1:33" ht="14.4" x14ac:dyDescent="0.3">
      <c r="A272" s="13">
        <v>87425</v>
      </c>
      <c r="B272" s="13" t="s">
        <v>199</v>
      </c>
      <c r="C272" s="13" t="s">
        <v>174</v>
      </c>
      <c r="D272" s="13">
        <v>99</v>
      </c>
      <c r="E272" s="13" t="s">
        <v>171</v>
      </c>
      <c r="F272" s="13" t="s">
        <v>172</v>
      </c>
      <c r="I272" s="13">
        <v>0</v>
      </c>
      <c r="J272" s="13">
        <v>1</v>
      </c>
      <c r="K272" s="14">
        <v>46183</v>
      </c>
      <c r="N272" s="13">
        <v>551</v>
      </c>
      <c r="P272" s="58" t="str">
        <f t="shared" si="28"/>
        <v>Kevin Garnett</v>
      </c>
      <c r="Q272" s="58" t="str">
        <f>IFERROR(_xlfn.TEXTAFTER(_xlfn.XLOOKUP(A272,Collection!A:A,Collection!C:C,),"Cards "),C272)</f>
        <v>1996 Upper Deck</v>
      </c>
      <c r="R272" s="58" t="str">
        <f t="shared" si="29"/>
        <v>-</v>
      </c>
      <c r="S272" s="58" t="str">
        <f>IFERROR(_xlfn.TEXTAFTER(_xlfn.XLOOKUP(A272,Collection!A:A,Collection!B:B,),"#"),"")</f>
        <v>251</v>
      </c>
      <c r="T272" s="60">
        <f t="shared" si="30"/>
        <v>0.99</v>
      </c>
      <c r="U272" s="54" t="s">
        <v>1557</v>
      </c>
      <c r="V272" s="58" t="str">
        <f>IF(ISNUMBER(MATCH(N272,Catalog!$B$4:$B$16, 0)), "Keep", "For Sale")</f>
        <v>For Sale</v>
      </c>
      <c r="W272" s="58">
        <f t="shared" si="31"/>
        <v>3</v>
      </c>
      <c r="X272" s="58">
        <f t="shared" si="32"/>
        <v>3</v>
      </c>
      <c r="Y272" s="60">
        <f t="shared" si="33"/>
        <v>1</v>
      </c>
      <c r="Z272" s="60">
        <f t="shared" si="34"/>
        <v>0.75</v>
      </c>
      <c r="AE272"/>
      <c r="AF272"/>
      <c r="AG272"/>
    </row>
    <row r="273" spans="1:33" ht="14.4" x14ac:dyDescent="0.3">
      <c r="A273" s="13">
        <v>87425</v>
      </c>
      <c r="B273" s="13" t="s">
        <v>199</v>
      </c>
      <c r="C273" s="13" t="s">
        <v>174</v>
      </c>
      <c r="D273" s="13">
        <v>99</v>
      </c>
      <c r="E273" s="13" t="s">
        <v>171</v>
      </c>
      <c r="F273" s="13" t="s">
        <v>172</v>
      </c>
      <c r="I273" s="13">
        <v>0</v>
      </c>
      <c r="J273" s="13">
        <v>1</v>
      </c>
      <c r="K273" s="14">
        <v>46149</v>
      </c>
      <c r="N273" s="13">
        <v>553</v>
      </c>
      <c r="P273" s="58" t="str">
        <f t="shared" si="28"/>
        <v>Kevin Garnett</v>
      </c>
      <c r="Q273" s="58" t="str">
        <f>IFERROR(_xlfn.TEXTAFTER(_xlfn.XLOOKUP(A273,Collection!A:A,Collection!C:C,),"Cards "),C273)</f>
        <v>1996 Upper Deck</v>
      </c>
      <c r="R273" s="58" t="str">
        <f t="shared" si="29"/>
        <v>-</v>
      </c>
      <c r="S273" s="58" t="str">
        <f>IFERROR(_xlfn.TEXTAFTER(_xlfn.XLOOKUP(A273,Collection!A:A,Collection!B:B,),"#"),"")</f>
        <v>251</v>
      </c>
      <c r="T273" s="60">
        <f t="shared" si="30"/>
        <v>0.99</v>
      </c>
      <c r="U273" s="54" t="s">
        <v>1557</v>
      </c>
      <c r="V273" s="58" t="str">
        <f>IF(ISNUMBER(MATCH(N273,Catalog!$B$4:$B$16, 0)), "Keep", "For Sale")</f>
        <v>For Sale</v>
      </c>
      <c r="W273" s="58">
        <f t="shared" si="31"/>
        <v>3</v>
      </c>
      <c r="X273" s="58">
        <f t="shared" si="32"/>
        <v>3</v>
      </c>
      <c r="Y273" s="60">
        <f t="shared" si="33"/>
        <v>1</v>
      </c>
      <c r="Z273" s="60">
        <f t="shared" si="34"/>
        <v>0.75</v>
      </c>
      <c r="AE273"/>
      <c r="AF273"/>
      <c r="AG273"/>
    </row>
    <row r="274" spans="1:33" ht="14.4" x14ac:dyDescent="0.3">
      <c r="A274" s="13">
        <v>87425</v>
      </c>
      <c r="B274" s="13" t="s">
        <v>199</v>
      </c>
      <c r="C274" s="13" t="s">
        <v>174</v>
      </c>
      <c r="D274" s="13">
        <v>99</v>
      </c>
      <c r="E274" s="13" t="s">
        <v>171</v>
      </c>
      <c r="F274" s="13" t="s">
        <v>172</v>
      </c>
      <c r="I274" s="13">
        <v>0</v>
      </c>
      <c r="J274" s="13">
        <v>1</v>
      </c>
      <c r="K274" s="14">
        <v>46183</v>
      </c>
      <c r="N274" s="13">
        <v>574</v>
      </c>
      <c r="P274" s="58" t="str">
        <f t="shared" si="28"/>
        <v>Kevin Garnett</v>
      </c>
      <c r="Q274" s="58" t="str">
        <f>IFERROR(_xlfn.TEXTAFTER(_xlfn.XLOOKUP(A274,Collection!A:A,Collection!C:C,),"Cards "),C274)</f>
        <v>1996 Upper Deck</v>
      </c>
      <c r="R274" s="58" t="str">
        <f t="shared" si="29"/>
        <v>-</v>
      </c>
      <c r="S274" s="58" t="str">
        <f>IFERROR(_xlfn.TEXTAFTER(_xlfn.XLOOKUP(A274,Collection!A:A,Collection!B:B,),"#"),"")</f>
        <v>251</v>
      </c>
      <c r="T274" s="60">
        <f t="shared" si="30"/>
        <v>0.99</v>
      </c>
      <c r="U274" s="54" t="s">
        <v>1557</v>
      </c>
      <c r="V274" s="58" t="str">
        <f>IF(ISNUMBER(MATCH(N274,Catalog!$B$4:$B$16, 0)), "Keep", "For Sale")</f>
        <v>For Sale</v>
      </c>
      <c r="W274" s="58">
        <f t="shared" si="31"/>
        <v>3</v>
      </c>
      <c r="X274" s="58">
        <f t="shared" si="32"/>
        <v>3</v>
      </c>
      <c r="Y274" s="60">
        <f t="shared" si="33"/>
        <v>1</v>
      </c>
      <c r="Z274" s="60">
        <f t="shared" si="34"/>
        <v>0.75</v>
      </c>
      <c r="AE274"/>
      <c r="AF274"/>
      <c r="AG274"/>
    </row>
    <row r="275" spans="1:33" ht="14.4" x14ac:dyDescent="0.3">
      <c r="A275" s="13">
        <v>147563</v>
      </c>
      <c r="B275" s="13" t="s">
        <v>1067</v>
      </c>
      <c r="C275" s="13" t="s">
        <v>1068</v>
      </c>
      <c r="D275" s="13">
        <v>688</v>
      </c>
      <c r="E275" s="13" t="s">
        <v>171</v>
      </c>
      <c r="F275" s="13" t="s">
        <v>172</v>
      </c>
      <c r="H275" s="13" t="s">
        <v>1069</v>
      </c>
      <c r="I275" s="13">
        <v>1874</v>
      </c>
      <c r="J275" s="13">
        <v>1</v>
      </c>
      <c r="K275" s="14">
        <v>46165</v>
      </c>
      <c r="L275" s="14">
        <v>46164</v>
      </c>
      <c r="N275" s="13">
        <v>40</v>
      </c>
      <c r="P275" s="58" t="str">
        <f t="shared" si="28"/>
        <v>LeBron James</v>
      </c>
      <c r="Q275" s="58" t="str">
        <f>IFERROR(_xlfn.TEXTAFTER(_xlfn.XLOOKUP(A275,Collection!A:A,Collection!C:C,),"Cards "),C275)</f>
        <v>2003 Upper Deck Phenomenal Beginning</v>
      </c>
      <c r="R275" s="58" t="str">
        <f t="shared" si="29"/>
        <v>Phenomenal Beginning</v>
      </c>
      <c r="S275" s="58" t="str">
        <f>IFERROR(_xlfn.TEXTAFTER(_xlfn.XLOOKUP(A275,Collection!A:A,Collection!B:B,),"#"),"")</f>
        <v>11</v>
      </c>
      <c r="T275" s="60">
        <f t="shared" si="30"/>
        <v>6.88</v>
      </c>
      <c r="U275" s="54" t="s">
        <v>1597</v>
      </c>
      <c r="V275" s="58" t="str">
        <f>IF(ISNUMBER(MATCH(N275,Catalog!$B$4:$B$16, 0)), "Keep", "For Sale")</f>
        <v>For Sale</v>
      </c>
      <c r="W275" s="58">
        <f t="shared" si="31"/>
        <v>1</v>
      </c>
      <c r="X275" s="58">
        <f t="shared" si="32"/>
        <v>3</v>
      </c>
      <c r="Y275" s="60">
        <f t="shared" si="33"/>
        <v>22</v>
      </c>
      <c r="Z275" s="60">
        <f t="shared" si="34"/>
        <v>7</v>
      </c>
      <c r="AE275"/>
      <c r="AF275"/>
      <c r="AG275"/>
    </row>
    <row r="276" spans="1:33" ht="14.4" x14ac:dyDescent="0.3">
      <c r="A276" s="13">
        <v>9781694</v>
      </c>
      <c r="B276" s="13" t="s">
        <v>681</v>
      </c>
      <c r="C276" s="13" t="s">
        <v>585</v>
      </c>
      <c r="D276" s="13">
        <v>168</v>
      </c>
      <c r="E276" s="13" t="s">
        <v>171</v>
      </c>
      <c r="F276" s="13" t="s">
        <v>172</v>
      </c>
      <c r="H276" s="13" t="s">
        <v>539</v>
      </c>
      <c r="I276" s="13">
        <v>23</v>
      </c>
      <c r="J276" s="13">
        <v>1</v>
      </c>
      <c r="K276" s="14">
        <v>46154</v>
      </c>
      <c r="L276" s="14">
        <v>46148</v>
      </c>
      <c r="N276" s="13">
        <v>335</v>
      </c>
      <c r="P276" s="58" t="str">
        <f t="shared" si="28"/>
        <v>LeBron James</v>
      </c>
      <c r="Q276" s="58" t="str">
        <f>IFERROR(_xlfn.TEXTAFTER(_xlfn.XLOOKUP(A276,Collection!A:A,Collection!C:C,),"Cards "),C276)</f>
        <v>2024 Panini Select</v>
      </c>
      <c r="R276" s="58" t="str">
        <f t="shared" si="29"/>
        <v>Blue Prizm</v>
      </c>
      <c r="S276" s="58" t="str">
        <f>IFERROR(_xlfn.TEXTAFTER(_xlfn.XLOOKUP(A276,Collection!A:A,Collection!B:B,),"#"),"")</f>
        <v>54</v>
      </c>
      <c r="T276" s="60">
        <f t="shared" si="30"/>
        <v>1.68</v>
      </c>
      <c r="U276" s="54" t="s">
        <v>1597</v>
      </c>
      <c r="V276" s="58" t="str">
        <f>IF(ISNUMBER(MATCH(N276,Catalog!$B$4:$B$16, 0)), "Keep", "For Sale")</f>
        <v>For Sale</v>
      </c>
      <c r="W276" s="58">
        <f t="shared" si="31"/>
        <v>1</v>
      </c>
      <c r="X276" s="58">
        <f t="shared" si="32"/>
        <v>3</v>
      </c>
      <c r="Y276" s="60">
        <f t="shared" si="33"/>
        <v>2</v>
      </c>
      <c r="Z276" s="60">
        <f t="shared" si="34"/>
        <v>0.25</v>
      </c>
      <c r="AE276"/>
      <c r="AF276"/>
      <c r="AG276"/>
    </row>
    <row r="277" spans="1:33" ht="14.4" x14ac:dyDescent="0.3">
      <c r="A277" s="13">
        <v>2489255</v>
      </c>
      <c r="B277" s="13" t="s">
        <v>1189</v>
      </c>
      <c r="C277" s="13" t="s">
        <v>1002</v>
      </c>
      <c r="D277" s="13">
        <v>150</v>
      </c>
      <c r="E277" s="13" t="s">
        <v>171</v>
      </c>
      <c r="F277" s="13" t="s">
        <v>172</v>
      </c>
      <c r="H277" s="13" t="s">
        <v>1190</v>
      </c>
      <c r="I277" s="13">
        <v>221</v>
      </c>
      <c r="J277" s="13">
        <v>1</v>
      </c>
      <c r="K277" s="14">
        <v>46182</v>
      </c>
      <c r="L277" s="14">
        <v>46181</v>
      </c>
      <c r="N277" s="13">
        <v>395</v>
      </c>
      <c r="P277" s="58" t="str">
        <f t="shared" si="28"/>
        <v>LeBron James</v>
      </c>
      <c r="Q277" s="58" t="str">
        <f>IFERROR(_xlfn.TEXTAFTER(_xlfn.XLOOKUP(A277,Collection!A:A,Collection!C:C,),"Cards "),C277)</f>
        <v>2020 Panini Select</v>
      </c>
      <c r="R277" s="58" t="str">
        <f t="shared" si="29"/>
        <v>Blue Prizm</v>
      </c>
      <c r="S277" s="58" t="str">
        <f>IFERROR(_xlfn.TEXTAFTER(_xlfn.XLOOKUP(A277,Collection!A:A,Collection!B:B,),"#"),"")</f>
        <v>113</v>
      </c>
      <c r="T277" s="60">
        <f t="shared" si="30"/>
        <v>1.5</v>
      </c>
      <c r="U277" s="54" t="s">
        <v>1597</v>
      </c>
      <c r="V277" s="58" t="str">
        <f>IF(ISNUMBER(MATCH(N277,Catalog!$B$4:$B$16, 0)), "Keep", "For Sale")</f>
        <v>For Sale</v>
      </c>
      <c r="W277" s="58">
        <f t="shared" si="31"/>
        <v>1</v>
      </c>
      <c r="X277" s="58">
        <f t="shared" si="32"/>
        <v>3</v>
      </c>
      <c r="Y277" s="60">
        <f t="shared" si="33"/>
        <v>3</v>
      </c>
      <c r="Z277" s="60">
        <f t="shared" si="34"/>
        <v>1.5</v>
      </c>
      <c r="AE277"/>
      <c r="AF277"/>
      <c r="AG277"/>
    </row>
    <row r="278" spans="1:33" ht="14.4" x14ac:dyDescent="0.3">
      <c r="A278" s="13">
        <v>6284261</v>
      </c>
      <c r="B278" s="13" t="s">
        <v>1792</v>
      </c>
      <c r="C278" s="13" t="s">
        <v>590</v>
      </c>
      <c r="D278" s="13">
        <v>149</v>
      </c>
      <c r="E278" s="13" t="s">
        <v>171</v>
      </c>
      <c r="F278" s="13" t="s">
        <v>172</v>
      </c>
      <c r="H278" s="13" t="s">
        <v>1793</v>
      </c>
      <c r="I278" s="13">
        <v>165</v>
      </c>
      <c r="J278" s="13">
        <v>1</v>
      </c>
      <c r="K278" s="14">
        <v>46191</v>
      </c>
      <c r="L278" s="14">
        <v>46182</v>
      </c>
      <c r="N278" s="13">
        <v>390</v>
      </c>
      <c r="P278" s="58" t="str">
        <f t="shared" si="28"/>
        <v>LeBron James</v>
      </c>
      <c r="Q278" s="58" t="str">
        <f>IFERROR(_xlfn.TEXTAFTER(_xlfn.XLOOKUP(A278,Collection!A:A,Collection!C:C,),"Cards "),C278)</f>
        <v>2023 Panini Donruss</v>
      </c>
      <c r="R278" s="58" t="str">
        <f t="shared" si="29"/>
        <v>-</v>
      </c>
      <c r="S278" s="58" t="str">
        <f>IFERROR(_xlfn.TEXTAFTER(_xlfn.XLOOKUP(A278,Collection!A:A,Collection!B:B,),"#"),"")</f>
        <v>2</v>
      </c>
      <c r="T278" s="60">
        <f t="shared" si="30"/>
        <v>1.49</v>
      </c>
      <c r="U278" s="54" t="s">
        <v>1597</v>
      </c>
      <c r="V278" s="58" t="str">
        <f>IF(ISNUMBER(MATCH(N278,Catalog!$B$4:$B$16, 0)), "Keep", "For Sale")</f>
        <v>For Sale</v>
      </c>
      <c r="W278" s="58">
        <f t="shared" si="31"/>
        <v>1</v>
      </c>
      <c r="X278" s="58">
        <f t="shared" si="32"/>
        <v>3</v>
      </c>
      <c r="Y278" s="60">
        <f t="shared" si="33"/>
        <v>2</v>
      </c>
      <c r="Z278" s="60">
        <f t="shared" si="34"/>
        <v>1.25</v>
      </c>
      <c r="AE278"/>
      <c r="AF278"/>
      <c r="AG278"/>
    </row>
    <row r="279" spans="1:33" ht="14.4" x14ac:dyDescent="0.3">
      <c r="A279" s="13">
        <v>2945777</v>
      </c>
      <c r="B279" s="13" t="s">
        <v>1284</v>
      </c>
      <c r="C279" s="13" t="s">
        <v>551</v>
      </c>
      <c r="D279" s="13">
        <v>121</v>
      </c>
      <c r="E279" s="13" t="s">
        <v>171</v>
      </c>
      <c r="F279" s="13" t="s">
        <v>172</v>
      </c>
      <c r="H279" s="13" t="s">
        <v>1285</v>
      </c>
      <c r="I279" s="13">
        <v>276</v>
      </c>
      <c r="J279" s="13">
        <v>1</v>
      </c>
      <c r="K279" s="14">
        <v>46182</v>
      </c>
      <c r="L279" s="14">
        <v>46181</v>
      </c>
      <c r="N279" s="13">
        <v>488</v>
      </c>
      <c r="P279" s="58" t="str">
        <f t="shared" si="28"/>
        <v>LeBron James</v>
      </c>
      <c r="Q279" s="58" t="str">
        <f>IFERROR(_xlfn.TEXTAFTER(_xlfn.XLOOKUP(A279,Collection!A:A,Collection!C:C,),"Cards "),C279)</f>
        <v>2020 Panini Chronicles</v>
      </c>
      <c r="R279" s="58" t="str">
        <f t="shared" si="29"/>
        <v>-</v>
      </c>
      <c r="S279" s="58" t="str">
        <f>IFERROR(_xlfn.TEXTAFTER(_xlfn.XLOOKUP(A279,Collection!A:A,Collection!B:B,),"#"),"")</f>
        <v>178</v>
      </c>
      <c r="T279" s="60">
        <f t="shared" si="30"/>
        <v>1.21</v>
      </c>
      <c r="U279" s="54" t="s">
        <v>1597</v>
      </c>
      <c r="V279" s="58" t="str">
        <f>IF(ISNUMBER(MATCH(N279,Catalog!$B$4:$B$16, 0)), "Keep", "For Sale")</f>
        <v>For Sale</v>
      </c>
      <c r="W279" s="58">
        <f t="shared" si="31"/>
        <v>1</v>
      </c>
      <c r="X279" s="58">
        <f t="shared" si="32"/>
        <v>3</v>
      </c>
      <c r="Y279" s="60">
        <f t="shared" si="33"/>
        <v>3</v>
      </c>
      <c r="Z279" s="60">
        <f t="shared" si="34"/>
        <v>1</v>
      </c>
      <c r="AE279"/>
      <c r="AF279"/>
      <c r="AG279"/>
    </row>
    <row r="280" spans="1:33" ht="14.4" x14ac:dyDescent="0.3">
      <c r="A280" s="13">
        <v>2945720</v>
      </c>
      <c r="B280" s="13" t="s">
        <v>601</v>
      </c>
      <c r="C280" s="13" t="s">
        <v>551</v>
      </c>
      <c r="D280" s="13">
        <v>106</v>
      </c>
      <c r="E280" s="13" t="s">
        <v>171</v>
      </c>
      <c r="F280" s="13" t="s">
        <v>172</v>
      </c>
      <c r="H280" s="13" t="s">
        <v>556</v>
      </c>
      <c r="I280" s="13">
        <v>297</v>
      </c>
      <c r="J280" s="13">
        <v>1</v>
      </c>
      <c r="K280" s="14">
        <v>46154</v>
      </c>
      <c r="L280" s="14">
        <v>46150</v>
      </c>
      <c r="N280" s="13">
        <v>467</v>
      </c>
      <c r="P280" s="58" t="str">
        <f t="shared" si="28"/>
        <v>LeBron James</v>
      </c>
      <c r="Q280" s="58" t="str">
        <f>IFERROR(_xlfn.TEXTAFTER(_xlfn.XLOOKUP(A280,Collection!A:A,Collection!C:C,),"Cards "),C280)</f>
        <v>2020 Panini Chronicles</v>
      </c>
      <c r="R280" s="58" t="str">
        <f t="shared" si="29"/>
        <v>-</v>
      </c>
      <c r="S280" s="58" t="str">
        <f>IFERROR(_xlfn.TEXTAFTER(_xlfn.XLOOKUP(A280,Collection!A:A,Collection!B:B,),"#"),"")</f>
        <v>118</v>
      </c>
      <c r="T280" s="60">
        <f t="shared" si="30"/>
        <v>1.06</v>
      </c>
      <c r="U280" s="54" t="s">
        <v>1597</v>
      </c>
      <c r="V280" s="58" t="str">
        <f>IF(ISNUMBER(MATCH(N280,Catalog!$B$4:$B$16, 0)), "Keep", "For Sale")</f>
        <v>For Sale</v>
      </c>
      <c r="W280" s="58">
        <f t="shared" si="31"/>
        <v>1</v>
      </c>
      <c r="X280" s="58">
        <f t="shared" si="32"/>
        <v>3</v>
      </c>
      <c r="Y280" s="60">
        <f t="shared" si="33"/>
        <v>4</v>
      </c>
      <c r="Z280" s="60">
        <f t="shared" si="34"/>
        <v>1</v>
      </c>
      <c r="AE280"/>
      <c r="AF280"/>
      <c r="AG280"/>
    </row>
    <row r="281" spans="1:33" ht="14.4" x14ac:dyDescent="0.3">
      <c r="A281" s="13">
        <v>5079399</v>
      </c>
      <c r="B281" s="13" t="s">
        <v>652</v>
      </c>
      <c r="C281" s="13" t="s">
        <v>610</v>
      </c>
      <c r="D281" s="13">
        <v>282</v>
      </c>
      <c r="E281" s="13" t="s">
        <v>171</v>
      </c>
      <c r="F281" s="13" t="s">
        <v>172</v>
      </c>
      <c r="I281" s="13">
        <v>0</v>
      </c>
      <c r="J281" s="13">
        <v>1</v>
      </c>
      <c r="K281" s="14">
        <v>46129</v>
      </c>
      <c r="N281" s="13">
        <v>289</v>
      </c>
      <c r="P281" s="58" t="str">
        <f t="shared" si="28"/>
        <v>Maximum Carnage</v>
      </c>
      <c r="Q281" s="58" t="str">
        <f>IFERROR(_xlfn.TEXTAFTER(_xlfn.XLOOKUP(A281,Collection!A:A,Collection!C:C,),"Cards "),C281)</f>
        <v>Marvel 1994 Flair</v>
      </c>
      <c r="R281" s="58" t="str">
        <f t="shared" si="29"/>
        <v>-</v>
      </c>
      <c r="S281" s="58" t="str">
        <f>IFERROR(_xlfn.TEXTAFTER(_xlfn.XLOOKUP(A281,Collection!A:A,Collection!B:B,),"#"),"")</f>
        <v>104</v>
      </c>
      <c r="T281" s="60">
        <f t="shared" si="30"/>
        <v>2.82</v>
      </c>
      <c r="U281" s="54" t="s">
        <v>1678</v>
      </c>
      <c r="V281" s="58" t="str">
        <f>IF(ISNUMBER(MATCH(N281,Catalog!$B$4:$B$16, 0)), "Keep", "For Sale")</f>
        <v>For Sale</v>
      </c>
      <c r="W281" s="58">
        <f t="shared" si="31"/>
        <v>1</v>
      </c>
      <c r="X281" s="58">
        <f t="shared" si="32"/>
        <v>3</v>
      </c>
      <c r="Y281" s="60">
        <f t="shared" si="33"/>
        <v>3</v>
      </c>
      <c r="Z281" s="60">
        <f t="shared" si="34"/>
        <v>3</v>
      </c>
      <c r="AE281"/>
      <c r="AF281"/>
      <c r="AG281"/>
    </row>
    <row r="282" spans="1:33" ht="14.4" x14ac:dyDescent="0.3">
      <c r="A282" s="13">
        <v>87401</v>
      </c>
      <c r="B282" s="13" t="s">
        <v>1820</v>
      </c>
      <c r="C282" s="13" t="s">
        <v>174</v>
      </c>
      <c r="D282" s="13">
        <v>372</v>
      </c>
      <c r="E282" s="13" t="s">
        <v>171</v>
      </c>
      <c r="F282" s="13" t="s">
        <v>172</v>
      </c>
      <c r="I282" s="13">
        <v>0</v>
      </c>
      <c r="J282" s="13">
        <v>1</v>
      </c>
      <c r="K282" s="14">
        <v>46172</v>
      </c>
      <c r="N282" s="13">
        <v>142</v>
      </c>
      <c r="P282" s="58" t="str">
        <f t="shared" si="28"/>
        <v>Michael Jordan / Scottie Pippen / Dennis Rodman / Toni Kukoc / Ron Harper</v>
      </c>
      <c r="Q282" s="58" t="str">
        <f>IFERROR(_xlfn.TEXTAFTER(_xlfn.XLOOKUP(A282,Collection!A:A,Collection!C:C,),"Cards "),C282)</f>
        <v>1996 Upper Deck</v>
      </c>
      <c r="R282" s="58" t="str">
        <f t="shared" si="29"/>
        <v>-</v>
      </c>
      <c r="S282" s="58" t="str">
        <f>IFERROR(_xlfn.TEXTAFTER(_xlfn.XLOOKUP(A282,Collection!A:A,Collection!B:B,),"#"),"")</f>
        <v>139</v>
      </c>
      <c r="T282" s="60">
        <f t="shared" si="30"/>
        <v>3.72</v>
      </c>
      <c r="U282" s="54" t="s">
        <v>1821</v>
      </c>
      <c r="V282" s="58" t="str">
        <f>IF(ISNUMBER(MATCH(N282,Catalog!$B$4:$B$16, 0)), "Keep", "For Sale")</f>
        <v>For Sale</v>
      </c>
      <c r="W282" s="58">
        <f t="shared" si="31"/>
        <v>1</v>
      </c>
      <c r="X282" s="58">
        <f t="shared" si="32"/>
        <v>3</v>
      </c>
      <c r="Y282" s="60">
        <f t="shared" si="33"/>
        <v>4</v>
      </c>
      <c r="Z282" s="60">
        <f t="shared" si="34"/>
        <v>4</v>
      </c>
      <c r="AE282"/>
      <c r="AF282"/>
      <c r="AG282"/>
    </row>
    <row r="283" spans="1:33" ht="14.4" x14ac:dyDescent="0.3">
      <c r="A283" s="13">
        <v>154508</v>
      </c>
      <c r="B283" s="13" t="s">
        <v>265</v>
      </c>
      <c r="C283" s="13" t="s">
        <v>266</v>
      </c>
      <c r="D283" s="13">
        <v>200</v>
      </c>
      <c r="E283" s="13" t="s">
        <v>171</v>
      </c>
      <c r="F283" s="13" t="s">
        <v>172</v>
      </c>
      <c r="I283" s="13">
        <v>0</v>
      </c>
      <c r="J283" s="13">
        <v>1</v>
      </c>
      <c r="K283" s="14">
        <v>46149</v>
      </c>
      <c r="N283" s="13">
        <v>212</v>
      </c>
      <c r="P283" s="58" t="str">
        <f t="shared" si="28"/>
        <v>Michael vs. Magic</v>
      </c>
      <c r="Q283" s="58" t="str">
        <f>IFERROR(_xlfn.TEXTAFTER(_xlfn.XLOOKUP(A283,Collection!A:A,Collection!C:C,),"Cards "),C283)</f>
        <v>1991 Skybox</v>
      </c>
      <c r="R283" s="58" t="str">
        <f t="shared" si="29"/>
        <v>-</v>
      </c>
      <c r="S283" s="58" t="str">
        <f>IFERROR(_xlfn.TEXTAFTER(_xlfn.XLOOKUP(A283,Collection!A:A,Collection!B:B,),"#"),"")</f>
        <v>333</v>
      </c>
      <c r="T283" s="60">
        <f t="shared" si="30"/>
        <v>2</v>
      </c>
      <c r="U283" s="54" t="s">
        <v>1627</v>
      </c>
      <c r="V283" s="58" t="str">
        <f>IF(ISNUMBER(MATCH(N283,Catalog!$B$4:$B$16, 0)), "Keep", "For Sale")</f>
        <v>For Sale</v>
      </c>
      <c r="W283" s="58">
        <f t="shared" si="31"/>
        <v>1</v>
      </c>
      <c r="X283" s="58">
        <f t="shared" si="32"/>
        <v>3</v>
      </c>
      <c r="Y283" s="60">
        <f t="shared" si="33"/>
        <v>2.5</v>
      </c>
      <c r="Z283" s="60">
        <f t="shared" si="34"/>
        <v>2</v>
      </c>
      <c r="AE283"/>
      <c r="AF283"/>
      <c r="AG283"/>
    </row>
    <row r="284" spans="1:33" ht="14.4" x14ac:dyDescent="0.3">
      <c r="A284" s="13">
        <v>3000560</v>
      </c>
      <c r="B284" s="13" t="s">
        <v>1708</v>
      </c>
      <c r="C284" s="13" t="s">
        <v>1116</v>
      </c>
      <c r="D284" s="13">
        <v>714</v>
      </c>
      <c r="E284" s="13" t="s">
        <v>171</v>
      </c>
      <c r="F284" s="13" t="s">
        <v>172</v>
      </c>
      <c r="I284" s="13">
        <v>0</v>
      </c>
      <c r="J284" s="13">
        <v>1</v>
      </c>
      <c r="K284" s="14">
        <v>46181</v>
      </c>
      <c r="N284" s="13">
        <v>38</v>
      </c>
      <c r="P284" s="58" t="str">
        <f t="shared" si="28"/>
        <v>Miles Bridges</v>
      </c>
      <c r="Q284" s="58" t="str">
        <f>IFERROR(_xlfn.TEXTAFTER(_xlfn.XLOOKUP(A284,Collection!A:A,Collection!C:C,),"Cards "),C284)</f>
        <v>2018 Panini Chronicles</v>
      </c>
      <c r="R284" s="58" t="str">
        <f t="shared" si="29"/>
        <v>Red</v>
      </c>
      <c r="S284" s="58" t="str">
        <f>IFERROR(_xlfn.TEXTAFTER(_xlfn.XLOOKUP(A284,Collection!A:A,Collection!B:B,),"#"),"")</f>
        <v>243</v>
      </c>
      <c r="T284" s="60">
        <f t="shared" si="30"/>
        <v>7.14</v>
      </c>
      <c r="U284" s="54" t="s">
        <v>1658</v>
      </c>
      <c r="V284" s="58" t="str">
        <f>IF(ISNUMBER(MATCH(N284,Catalog!$B$4:$B$16, 0)), "Keep", "For Sale")</f>
        <v>For Sale</v>
      </c>
      <c r="W284" s="58">
        <f t="shared" si="31"/>
        <v>1</v>
      </c>
      <c r="X284" s="58">
        <f t="shared" si="32"/>
        <v>3</v>
      </c>
      <c r="Y284" s="60">
        <f t="shared" si="33"/>
        <v>9</v>
      </c>
      <c r="Z284" s="60">
        <f t="shared" si="34"/>
        <v>7</v>
      </c>
      <c r="AE284"/>
      <c r="AF284"/>
      <c r="AG284"/>
    </row>
    <row r="285" spans="1:33" ht="14.4" x14ac:dyDescent="0.3">
      <c r="A285" s="13">
        <v>9936923</v>
      </c>
      <c r="B285" s="13" t="s">
        <v>1782</v>
      </c>
      <c r="C285" s="13" t="s">
        <v>587</v>
      </c>
      <c r="D285" s="13">
        <v>223</v>
      </c>
      <c r="E285" s="13" t="s">
        <v>171</v>
      </c>
      <c r="F285" s="13" t="s">
        <v>172</v>
      </c>
      <c r="H285" s="13" t="s">
        <v>1783</v>
      </c>
      <c r="I285" s="13">
        <v>69</v>
      </c>
      <c r="J285" s="13">
        <v>1</v>
      </c>
      <c r="K285" s="14">
        <v>46186</v>
      </c>
      <c r="L285" s="14">
        <v>46155</v>
      </c>
      <c r="N285" s="13">
        <v>230</v>
      </c>
      <c r="P285" s="58" t="str">
        <f t="shared" si="28"/>
        <v>Miles Bridges</v>
      </c>
      <c r="Q285" s="58" t="str">
        <f>IFERROR(_xlfn.TEXTAFTER(_xlfn.XLOOKUP(A285,Collection!A:A,Collection!C:C,),"Cards "),C285)</f>
        <v>2024 Panini Mosaic</v>
      </c>
      <c r="R285" s="58" t="str">
        <f t="shared" si="29"/>
        <v>Reactive Blue</v>
      </c>
      <c r="S285" s="58" t="str">
        <f>IFERROR(_xlfn.TEXTAFTER(_xlfn.XLOOKUP(A285,Collection!A:A,Collection!B:B,),"#"),"")</f>
        <v>67</v>
      </c>
      <c r="T285" s="60">
        <f t="shared" si="30"/>
        <v>2.23</v>
      </c>
      <c r="U285" s="54" t="s">
        <v>1658</v>
      </c>
      <c r="V285" s="58" t="str">
        <f>IF(ISNUMBER(MATCH(N285,Catalog!$B$4:$B$16, 0)), "Keep", "For Sale")</f>
        <v>For Sale</v>
      </c>
      <c r="W285" s="58">
        <f t="shared" si="31"/>
        <v>1</v>
      </c>
      <c r="X285" s="58">
        <f t="shared" si="32"/>
        <v>3</v>
      </c>
      <c r="Y285" s="60">
        <f t="shared" si="33"/>
        <v>3</v>
      </c>
      <c r="Z285" s="60">
        <f t="shared" si="34"/>
        <v>0.5</v>
      </c>
      <c r="AE285"/>
      <c r="AF285"/>
      <c r="AG285"/>
    </row>
    <row r="286" spans="1:33" ht="14.4" x14ac:dyDescent="0.3">
      <c r="A286" s="13">
        <v>11668252</v>
      </c>
      <c r="B286" s="13" t="s">
        <v>1781</v>
      </c>
      <c r="C286" s="13" t="s">
        <v>549</v>
      </c>
      <c r="D286" s="13">
        <v>209</v>
      </c>
      <c r="E286" s="13" t="s">
        <v>171</v>
      </c>
      <c r="F286" s="13" t="s">
        <v>172</v>
      </c>
      <c r="I286" s="13">
        <v>0</v>
      </c>
      <c r="J286" s="13">
        <v>1</v>
      </c>
      <c r="K286" s="14">
        <v>46186</v>
      </c>
      <c r="N286" s="13">
        <v>242</v>
      </c>
      <c r="P286" s="58" t="str">
        <f t="shared" si="28"/>
        <v>Muller</v>
      </c>
      <c r="Q286" s="58" t="str">
        <f>IFERROR(_xlfn.TEXTAFTER(_xlfn.XLOOKUP(A286,Collection!A:A,Collection!C:C,),"Cards "),C286)</f>
        <v>1994 Upper Deck World Cup Soccer</v>
      </c>
      <c r="R286" s="58" t="str">
        <f t="shared" si="29"/>
        <v>-</v>
      </c>
      <c r="S286" s="58" t="str">
        <f>IFERROR(_xlfn.TEXTAFTER(_xlfn.XLOOKUP(A286,Collection!A:A,Collection!B:B,),"#"),"")</f>
        <v>77</v>
      </c>
      <c r="T286" s="60">
        <f t="shared" si="30"/>
        <v>2.09</v>
      </c>
      <c r="U286" s="54" t="s">
        <v>1809</v>
      </c>
      <c r="V286" s="58" t="str">
        <f>IF(ISNUMBER(MATCH(N286,Catalog!$B$4:$B$16, 0)), "Keep", "For Sale")</f>
        <v>For Sale</v>
      </c>
      <c r="W286" s="58">
        <f t="shared" si="31"/>
        <v>1</v>
      </c>
      <c r="X286" s="58">
        <f t="shared" si="32"/>
        <v>3</v>
      </c>
      <c r="Y286" s="60">
        <f t="shared" si="33"/>
        <v>3</v>
      </c>
      <c r="Z286" s="60">
        <f t="shared" si="34"/>
        <v>2</v>
      </c>
      <c r="AE286"/>
      <c r="AF286"/>
      <c r="AG286"/>
    </row>
    <row r="287" spans="1:33" ht="14.4" x14ac:dyDescent="0.3">
      <c r="A287" s="13">
        <v>10842357</v>
      </c>
      <c r="B287" s="13" t="s">
        <v>892</v>
      </c>
      <c r="C287" s="13" t="s">
        <v>893</v>
      </c>
      <c r="D287" s="13">
        <v>420</v>
      </c>
      <c r="E287" s="13" t="s">
        <v>171</v>
      </c>
      <c r="F287" s="13" t="s">
        <v>172</v>
      </c>
      <c r="H287" s="13" t="s">
        <v>894</v>
      </c>
      <c r="I287" s="13">
        <v>416</v>
      </c>
      <c r="J287" s="13">
        <v>1</v>
      </c>
      <c r="K287" s="14">
        <v>46159</v>
      </c>
      <c r="L287" s="14">
        <v>46159</v>
      </c>
      <c r="N287" s="13">
        <v>131</v>
      </c>
      <c r="P287" s="58" t="str">
        <f t="shared" si="28"/>
        <v>Paolo Banchero</v>
      </c>
      <c r="Q287" s="58" t="str">
        <f>IFERROR(_xlfn.TEXTAFTER(_xlfn.XLOOKUP(A287,Collection!A:A,Collection!C:C,),"Cards "),C287)</f>
        <v>2025 Topps Stars of the NBA</v>
      </c>
      <c r="R287" s="58" t="str">
        <f t="shared" si="29"/>
        <v>Purple Rainbow</v>
      </c>
      <c r="S287" s="58" t="str">
        <f>IFERROR(_xlfn.TEXTAFTER(_xlfn.XLOOKUP(A287,Collection!A:A,Collection!B:B,),"#"),"")</f>
        <v>SA-20</v>
      </c>
      <c r="T287" s="60">
        <f t="shared" si="30"/>
        <v>4.2</v>
      </c>
      <c r="U287" s="54" t="s">
        <v>1621</v>
      </c>
      <c r="V287" s="58" t="str">
        <f>IF(ISNUMBER(MATCH(N287,Catalog!$B$4:$B$16, 0)), "Keep", "For Sale")</f>
        <v>For Sale</v>
      </c>
      <c r="W287" s="58">
        <f t="shared" si="31"/>
        <v>1</v>
      </c>
      <c r="X287" s="58">
        <f t="shared" si="32"/>
        <v>3</v>
      </c>
      <c r="Y287" s="60">
        <f t="shared" si="33"/>
        <v>5</v>
      </c>
      <c r="Z287" s="60">
        <f t="shared" si="34"/>
        <v>4</v>
      </c>
      <c r="AE287"/>
      <c r="AF287"/>
      <c r="AG287"/>
    </row>
    <row r="288" spans="1:33" ht="14.4" x14ac:dyDescent="0.3">
      <c r="A288" s="13">
        <v>6389627</v>
      </c>
      <c r="B288" s="13" t="s">
        <v>1305</v>
      </c>
      <c r="C288" s="13" t="s">
        <v>235</v>
      </c>
      <c r="D288" s="13">
        <v>300</v>
      </c>
      <c r="E288" s="13" t="s">
        <v>171</v>
      </c>
      <c r="F288" s="13" t="s">
        <v>172</v>
      </c>
      <c r="I288" s="13">
        <v>0</v>
      </c>
      <c r="J288" s="13">
        <v>1</v>
      </c>
      <c r="K288" s="14">
        <v>46173</v>
      </c>
      <c r="N288" s="13">
        <v>186</v>
      </c>
      <c r="P288" s="58" t="str">
        <f t="shared" si="28"/>
        <v>Patrick Ewing</v>
      </c>
      <c r="Q288" s="58" t="str">
        <f>IFERROR(_xlfn.TEXTAFTER(_xlfn.XLOOKUP(A288,Collection!A:A,Collection!C:C,),"Cards "),C288)</f>
        <v>1996 Metal Cyber Metal</v>
      </c>
      <c r="R288" s="58" t="str">
        <f t="shared" si="29"/>
        <v>-</v>
      </c>
      <c r="S288" s="58" t="str">
        <f>IFERROR(_xlfn.TEXTAFTER(_xlfn.XLOOKUP(A288,Collection!A:A,Collection!B:B,),"#"),"")</f>
        <v>6</v>
      </c>
      <c r="T288" s="60">
        <f t="shared" si="30"/>
        <v>3</v>
      </c>
      <c r="U288" s="54" t="s">
        <v>1633</v>
      </c>
      <c r="V288" s="58" t="str">
        <f>IF(ISNUMBER(MATCH(N288,Catalog!$B$4:$B$16, 0)), "Keep", "For Sale")</f>
        <v>For Sale</v>
      </c>
      <c r="W288" s="58">
        <f t="shared" si="31"/>
        <v>1</v>
      </c>
      <c r="X288" s="58">
        <f t="shared" si="32"/>
        <v>3</v>
      </c>
      <c r="Y288" s="60">
        <f t="shared" si="33"/>
        <v>4</v>
      </c>
      <c r="Z288" s="60">
        <f t="shared" si="34"/>
        <v>3</v>
      </c>
      <c r="AE288"/>
      <c r="AF288"/>
      <c r="AG288"/>
    </row>
    <row r="289" spans="1:33" ht="14.4" x14ac:dyDescent="0.3">
      <c r="A289" s="13">
        <v>5672077</v>
      </c>
      <c r="B289" s="13" t="s">
        <v>281</v>
      </c>
      <c r="C289" s="13" t="s">
        <v>282</v>
      </c>
      <c r="D289" s="13">
        <v>209</v>
      </c>
      <c r="E289" s="13" t="s">
        <v>171</v>
      </c>
      <c r="F289" s="13" t="s">
        <v>172</v>
      </c>
      <c r="I289" s="13">
        <v>0</v>
      </c>
      <c r="J289" s="13">
        <v>1</v>
      </c>
      <c r="K289" s="14">
        <v>46149</v>
      </c>
      <c r="N289" s="13">
        <v>256</v>
      </c>
      <c r="P289" s="58" t="str">
        <f t="shared" si="28"/>
        <v>Patrick Ewing</v>
      </c>
      <c r="Q289" s="58" t="str">
        <f>IFERROR(_xlfn.TEXTAFTER(_xlfn.XLOOKUP(A289,Collection!A:A,Collection!C:C,),"Cards "),C289)</f>
        <v>1994 Ultra Power in the Key</v>
      </c>
      <c r="R289" s="58" t="str">
        <f t="shared" si="29"/>
        <v>-</v>
      </c>
      <c r="S289" s="58" t="str">
        <f>IFERROR(_xlfn.TEXTAFTER(_xlfn.XLOOKUP(A289,Collection!A:A,Collection!B:B,),"#"),"")</f>
        <v>2</v>
      </c>
      <c r="T289" s="60">
        <f t="shared" si="30"/>
        <v>2.09</v>
      </c>
      <c r="U289" s="54" t="s">
        <v>1633</v>
      </c>
      <c r="V289" s="58" t="str">
        <f>IF(ISNUMBER(MATCH(N289,Catalog!$B$4:$B$16, 0)), "Keep", "For Sale")</f>
        <v>For Sale</v>
      </c>
      <c r="W289" s="58">
        <f t="shared" si="31"/>
        <v>1</v>
      </c>
      <c r="X289" s="58">
        <f t="shared" si="32"/>
        <v>3</v>
      </c>
      <c r="Y289" s="60">
        <f t="shared" si="33"/>
        <v>3</v>
      </c>
      <c r="Z289" s="60">
        <f t="shared" si="34"/>
        <v>2</v>
      </c>
      <c r="AE289"/>
      <c r="AF289"/>
      <c r="AG289"/>
    </row>
    <row r="290" spans="1:33" ht="14.4" x14ac:dyDescent="0.3">
      <c r="A290" s="13">
        <v>9514806</v>
      </c>
      <c r="B290" s="13" t="s">
        <v>900</v>
      </c>
      <c r="C290" s="13" t="s">
        <v>901</v>
      </c>
      <c r="D290" s="13">
        <v>305</v>
      </c>
      <c r="E290" s="13" t="s">
        <v>171</v>
      </c>
      <c r="F290" s="13" t="s">
        <v>172</v>
      </c>
      <c r="H290" s="13" t="s">
        <v>902</v>
      </c>
      <c r="I290" s="13">
        <v>811</v>
      </c>
      <c r="J290" s="13">
        <v>1</v>
      </c>
      <c r="K290" s="14">
        <v>46159</v>
      </c>
      <c r="L290" s="14">
        <v>46157</v>
      </c>
      <c r="N290" s="13">
        <v>194</v>
      </c>
      <c r="P290" s="58" t="str">
        <f t="shared" si="28"/>
        <v>Patrick Mahomes II</v>
      </c>
      <c r="Q290" s="58" t="str">
        <f>IFERROR(_xlfn.TEXTAFTER(_xlfn.XLOOKUP(A290,Collection!A:A,Collection!C:C,),"Cards "),C290)</f>
        <v>2024 Panini Select</v>
      </c>
      <c r="R290" s="58" t="str">
        <f t="shared" si="29"/>
        <v>Red Yellow Prizm Shock</v>
      </c>
      <c r="S290" s="58" t="str">
        <f>IFERROR(_xlfn.TEXTAFTER(_xlfn.XLOOKUP(A290,Collection!A:A,Collection!B:B,),"#"),"")</f>
        <v>120</v>
      </c>
      <c r="T290" s="60">
        <f t="shared" si="30"/>
        <v>3.05</v>
      </c>
      <c r="U290" s="54" t="s">
        <v>1634</v>
      </c>
      <c r="V290" s="58" t="str">
        <f>IF(ISNUMBER(MATCH(N290,Catalog!$B$4:$B$16, 0)), "Keep", "For Sale")</f>
        <v>For Sale</v>
      </c>
      <c r="W290" s="58">
        <f t="shared" si="31"/>
        <v>1</v>
      </c>
      <c r="X290" s="58">
        <f t="shared" si="32"/>
        <v>3</v>
      </c>
      <c r="Y290" s="60">
        <f t="shared" si="33"/>
        <v>10</v>
      </c>
      <c r="Z290" s="60">
        <f t="shared" si="34"/>
        <v>3</v>
      </c>
      <c r="AE290"/>
      <c r="AF290"/>
      <c r="AG290"/>
    </row>
    <row r="291" spans="1:33" ht="14.4" x14ac:dyDescent="0.3">
      <c r="A291" s="13">
        <v>83855</v>
      </c>
      <c r="B291" s="13" t="s">
        <v>1164</v>
      </c>
      <c r="C291" s="13" t="s">
        <v>181</v>
      </c>
      <c r="D291" s="13">
        <v>492</v>
      </c>
      <c r="E291" s="13" t="s">
        <v>171</v>
      </c>
      <c r="F291" s="13" t="s">
        <v>172</v>
      </c>
      <c r="I291" s="13">
        <v>0</v>
      </c>
      <c r="J291" s="13">
        <v>1</v>
      </c>
      <c r="K291" s="14">
        <v>46172</v>
      </c>
      <c r="N291" s="13">
        <v>123</v>
      </c>
      <c r="P291" s="58" t="str">
        <f t="shared" si="28"/>
        <v>Return of Excellence</v>
      </c>
      <c r="Q291" s="58" t="str">
        <f>IFERROR(_xlfn.TEXTAFTER(_xlfn.XLOOKUP(A291,Collection!A:A,Collection!C:C,),"Cards "),C291)</f>
        <v>1995 Upper Deck</v>
      </c>
      <c r="R291" s="58" t="str">
        <f t="shared" si="29"/>
        <v>Electric Court</v>
      </c>
      <c r="S291" s="58" t="str">
        <f>IFERROR(_xlfn.TEXTAFTER(_xlfn.XLOOKUP(A291,Collection!A:A,Collection!B:B,),"#"),"")</f>
        <v>335</v>
      </c>
      <c r="T291" s="60">
        <f t="shared" si="30"/>
        <v>4.92</v>
      </c>
      <c r="U291" s="54" t="s">
        <v>1585</v>
      </c>
      <c r="V291" s="58" t="str">
        <f>IF(ISNUMBER(MATCH(N291,Catalog!$B$4:$B$16, 0)), "Keep", "For Sale")</f>
        <v>For Sale</v>
      </c>
      <c r="W291" s="58">
        <f t="shared" si="31"/>
        <v>1</v>
      </c>
      <c r="X291" s="58">
        <f t="shared" si="32"/>
        <v>3</v>
      </c>
      <c r="Y291" s="60">
        <f t="shared" si="33"/>
        <v>6</v>
      </c>
      <c r="Z291" s="60">
        <f t="shared" si="34"/>
        <v>5</v>
      </c>
      <c r="AE291"/>
      <c r="AF291"/>
      <c r="AG291"/>
    </row>
    <row r="292" spans="1:33" ht="14.4" x14ac:dyDescent="0.3">
      <c r="A292" s="13">
        <v>8802138</v>
      </c>
      <c r="B292" s="13" t="s">
        <v>604</v>
      </c>
      <c r="C292" s="13" t="s">
        <v>549</v>
      </c>
      <c r="D292" s="13">
        <v>357</v>
      </c>
      <c r="E292" s="13" t="s">
        <v>171</v>
      </c>
      <c r="F292" s="13" t="s">
        <v>172</v>
      </c>
      <c r="I292" s="13">
        <v>0</v>
      </c>
      <c r="J292" s="13">
        <v>1</v>
      </c>
      <c r="K292" s="14">
        <v>46129</v>
      </c>
      <c r="N292" s="13">
        <v>153</v>
      </c>
      <c r="P292" s="58" t="str">
        <f t="shared" si="28"/>
        <v>Ruud Gullit</v>
      </c>
      <c r="Q292" s="58" t="str">
        <f>IFERROR(_xlfn.TEXTAFTER(_xlfn.XLOOKUP(A292,Collection!A:A,Collection!C:C,),"Cards "),C292)</f>
        <v>1994 Upper Deck World Cup Soccer</v>
      </c>
      <c r="R292" s="58" t="str">
        <f t="shared" si="29"/>
        <v>-</v>
      </c>
      <c r="S292" s="58" t="str">
        <f>IFERROR(_xlfn.TEXTAFTER(_xlfn.XLOOKUP(A292,Collection!A:A,Collection!B:B,),"#"),"")</f>
        <v>306</v>
      </c>
      <c r="T292" s="60">
        <f t="shared" si="30"/>
        <v>3.57</v>
      </c>
      <c r="U292" s="54" t="s">
        <v>1653</v>
      </c>
      <c r="V292" s="58" t="str">
        <f>IF(ISNUMBER(MATCH(N292,Catalog!$B$4:$B$16, 0)), "Keep", "For Sale")</f>
        <v>For Sale</v>
      </c>
      <c r="W292" s="58">
        <f t="shared" si="31"/>
        <v>1</v>
      </c>
      <c r="X292" s="58">
        <f t="shared" si="32"/>
        <v>3</v>
      </c>
      <c r="Y292" s="60">
        <f t="shared" si="33"/>
        <v>4</v>
      </c>
      <c r="Z292" s="60">
        <f t="shared" si="34"/>
        <v>4</v>
      </c>
      <c r="AE292"/>
      <c r="AF292"/>
      <c r="AG292"/>
    </row>
    <row r="293" spans="1:33" ht="14.4" x14ac:dyDescent="0.3">
      <c r="A293" s="13">
        <v>77612</v>
      </c>
      <c r="B293" s="13" t="s">
        <v>336</v>
      </c>
      <c r="C293" s="13" t="s">
        <v>241</v>
      </c>
      <c r="D293" s="13">
        <v>388</v>
      </c>
      <c r="E293" s="13" t="s">
        <v>171</v>
      </c>
      <c r="F293" s="13" t="s">
        <v>172</v>
      </c>
      <c r="I293" s="13">
        <v>0</v>
      </c>
      <c r="J293" s="13">
        <v>1</v>
      </c>
      <c r="K293" s="14">
        <v>46183</v>
      </c>
      <c r="N293" s="13">
        <v>137</v>
      </c>
      <c r="P293" s="58" t="str">
        <f t="shared" si="28"/>
        <v>Sam Vincent</v>
      </c>
      <c r="Q293" s="58" t="str">
        <f>IFERROR(_xlfn.TEXTAFTER(_xlfn.XLOOKUP(A293,Collection!A:A,Collection!C:C,),"Cards "),C293)</f>
        <v>1990 Hoops</v>
      </c>
      <c r="R293" s="58" t="str">
        <f t="shared" si="29"/>
        <v>-</v>
      </c>
      <c r="S293" s="58" t="str">
        <f>IFERROR(_xlfn.TEXTAFTER(_xlfn.XLOOKUP(A293,Collection!A:A,Collection!B:B,),"#"),"")</f>
        <v>223</v>
      </c>
      <c r="T293" s="60">
        <f t="shared" si="30"/>
        <v>3.88</v>
      </c>
      <c r="U293" s="54" t="s">
        <v>1607</v>
      </c>
      <c r="V293" s="58" t="str">
        <f>IF(ISNUMBER(MATCH(N293,Catalog!$B$4:$B$16, 0)), "Keep", "For Sale")</f>
        <v>For Sale</v>
      </c>
      <c r="W293" s="58">
        <f t="shared" si="31"/>
        <v>6</v>
      </c>
      <c r="X293" s="58">
        <f t="shared" si="32"/>
        <v>3</v>
      </c>
      <c r="Y293" s="60">
        <f t="shared" si="33"/>
        <v>5</v>
      </c>
      <c r="Z293" s="60">
        <f t="shared" si="34"/>
        <v>3</v>
      </c>
      <c r="AE293"/>
      <c r="AF293"/>
      <c r="AG293"/>
    </row>
    <row r="294" spans="1:33" ht="14.4" x14ac:dyDescent="0.3">
      <c r="A294" s="13">
        <v>77612</v>
      </c>
      <c r="B294" s="13" t="s">
        <v>336</v>
      </c>
      <c r="C294" s="13" t="s">
        <v>241</v>
      </c>
      <c r="D294" s="13">
        <v>388</v>
      </c>
      <c r="E294" s="13" t="s">
        <v>171</v>
      </c>
      <c r="F294" s="13" t="s">
        <v>172</v>
      </c>
      <c r="I294" s="13">
        <v>0</v>
      </c>
      <c r="J294" s="13">
        <v>1</v>
      </c>
      <c r="K294" s="14">
        <v>46183</v>
      </c>
      <c r="N294" s="13">
        <v>138</v>
      </c>
      <c r="P294" s="58" t="str">
        <f t="shared" si="28"/>
        <v>Sam Vincent</v>
      </c>
      <c r="Q294" s="58" t="str">
        <f>IFERROR(_xlfn.TEXTAFTER(_xlfn.XLOOKUP(A294,Collection!A:A,Collection!C:C,),"Cards "),C294)</f>
        <v>1990 Hoops</v>
      </c>
      <c r="R294" s="58" t="str">
        <f t="shared" si="29"/>
        <v>-</v>
      </c>
      <c r="S294" s="58" t="str">
        <f>IFERROR(_xlfn.TEXTAFTER(_xlfn.XLOOKUP(A294,Collection!A:A,Collection!B:B,),"#"),"")</f>
        <v>223</v>
      </c>
      <c r="T294" s="60">
        <f t="shared" si="30"/>
        <v>3.88</v>
      </c>
      <c r="U294" s="54" t="s">
        <v>1607</v>
      </c>
      <c r="V294" s="58" t="str">
        <f>IF(ISNUMBER(MATCH(N294,Catalog!$B$4:$B$16, 0)), "Keep", "For Sale")</f>
        <v>For Sale</v>
      </c>
      <c r="W294" s="58">
        <f t="shared" si="31"/>
        <v>6</v>
      </c>
      <c r="X294" s="58">
        <f t="shared" si="32"/>
        <v>3</v>
      </c>
      <c r="Y294" s="60">
        <f t="shared" si="33"/>
        <v>5</v>
      </c>
      <c r="Z294" s="60">
        <f t="shared" si="34"/>
        <v>3</v>
      </c>
      <c r="AE294"/>
      <c r="AF294"/>
      <c r="AG294"/>
    </row>
    <row r="295" spans="1:33" ht="14.4" x14ac:dyDescent="0.3">
      <c r="A295" s="13">
        <v>77612</v>
      </c>
      <c r="B295" s="13" t="s">
        <v>336</v>
      </c>
      <c r="C295" s="13" t="s">
        <v>241</v>
      </c>
      <c r="D295" s="13">
        <v>388</v>
      </c>
      <c r="E295" s="13" t="s">
        <v>171</v>
      </c>
      <c r="F295" s="13" t="s">
        <v>172</v>
      </c>
      <c r="I295" s="13">
        <v>0</v>
      </c>
      <c r="J295" s="13">
        <v>1</v>
      </c>
      <c r="K295" s="14">
        <v>46183</v>
      </c>
      <c r="N295" s="13">
        <v>139</v>
      </c>
      <c r="P295" s="58" t="str">
        <f t="shared" si="28"/>
        <v>Sam Vincent</v>
      </c>
      <c r="Q295" s="58" t="str">
        <f>IFERROR(_xlfn.TEXTAFTER(_xlfn.XLOOKUP(A295,Collection!A:A,Collection!C:C,),"Cards "),C295)</f>
        <v>1990 Hoops</v>
      </c>
      <c r="R295" s="58" t="str">
        <f t="shared" si="29"/>
        <v>-</v>
      </c>
      <c r="S295" s="58" t="str">
        <f>IFERROR(_xlfn.TEXTAFTER(_xlfn.XLOOKUP(A295,Collection!A:A,Collection!B:B,),"#"),"")</f>
        <v>223</v>
      </c>
      <c r="T295" s="60">
        <f t="shared" si="30"/>
        <v>3.88</v>
      </c>
      <c r="U295" s="54" t="s">
        <v>1607</v>
      </c>
      <c r="V295" s="58" t="str">
        <f>IF(ISNUMBER(MATCH(N295,Catalog!$B$4:$B$16, 0)), "Keep", "For Sale")</f>
        <v>For Sale</v>
      </c>
      <c r="W295" s="58">
        <f t="shared" si="31"/>
        <v>6</v>
      </c>
      <c r="X295" s="58">
        <f t="shared" si="32"/>
        <v>3</v>
      </c>
      <c r="Y295" s="60">
        <f t="shared" si="33"/>
        <v>5</v>
      </c>
      <c r="Z295" s="60">
        <f t="shared" si="34"/>
        <v>3</v>
      </c>
      <c r="AE295"/>
      <c r="AF295"/>
      <c r="AG295"/>
    </row>
    <row r="296" spans="1:33" ht="14.4" x14ac:dyDescent="0.3">
      <c r="A296" s="13">
        <v>77612</v>
      </c>
      <c r="B296" s="13" t="s">
        <v>336</v>
      </c>
      <c r="C296" s="13" t="s">
        <v>241</v>
      </c>
      <c r="D296" s="13">
        <v>388</v>
      </c>
      <c r="E296" s="13" t="s">
        <v>171</v>
      </c>
      <c r="F296" s="13" t="s">
        <v>172</v>
      </c>
      <c r="I296" s="13">
        <v>0</v>
      </c>
      <c r="J296" s="13">
        <v>1</v>
      </c>
      <c r="K296" s="14">
        <v>46183</v>
      </c>
      <c r="N296" s="13">
        <v>140</v>
      </c>
      <c r="P296" s="58" t="str">
        <f t="shared" si="28"/>
        <v>Sam Vincent</v>
      </c>
      <c r="Q296" s="58" t="str">
        <f>IFERROR(_xlfn.TEXTAFTER(_xlfn.XLOOKUP(A296,Collection!A:A,Collection!C:C,),"Cards "),C296)</f>
        <v>1990 Hoops</v>
      </c>
      <c r="R296" s="58" t="str">
        <f t="shared" si="29"/>
        <v>-</v>
      </c>
      <c r="S296" s="58" t="str">
        <f>IFERROR(_xlfn.TEXTAFTER(_xlfn.XLOOKUP(A296,Collection!A:A,Collection!B:B,),"#"),"")</f>
        <v>223</v>
      </c>
      <c r="T296" s="60">
        <f t="shared" si="30"/>
        <v>3.88</v>
      </c>
      <c r="U296" s="54" t="s">
        <v>1607</v>
      </c>
      <c r="V296" s="58" t="str">
        <f>IF(ISNUMBER(MATCH(N296,Catalog!$B$4:$B$16, 0)), "Keep", "For Sale")</f>
        <v>For Sale</v>
      </c>
      <c r="W296" s="58">
        <f t="shared" si="31"/>
        <v>6</v>
      </c>
      <c r="X296" s="58">
        <f t="shared" si="32"/>
        <v>3</v>
      </c>
      <c r="Y296" s="60">
        <f t="shared" si="33"/>
        <v>5</v>
      </c>
      <c r="Z296" s="60">
        <f t="shared" si="34"/>
        <v>3</v>
      </c>
      <c r="AE296"/>
      <c r="AF296"/>
      <c r="AG296"/>
    </row>
    <row r="297" spans="1:33" ht="14.4" x14ac:dyDescent="0.3">
      <c r="A297" s="13">
        <v>77612</v>
      </c>
      <c r="B297" s="13" t="s">
        <v>336</v>
      </c>
      <c r="C297" s="13" t="s">
        <v>241</v>
      </c>
      <c r="D297" s="13">
        <v>388</v>
      </c>
      <c r="E297" s="13" t="s">
        <v>171</v>
      </c>
      <c r="F297" s="13" t="s">
        <v>172</v>
      </c>
      <c r="I297" s="13">
        <v>0</v>
      </c>
      <c r="J297" s="13">
        <v>1</v>
      </c>
      <c r="K297" s="14">
        <v>46149</v>
      </c>
      <c r="N297" s="13">
        <v>143</v>
      </c>
      <c r="P297" s="58" t="str">
        <f t="shared" si="28"/>
        <v>Sam Vincent</v>
      </c>
      <c r="Q297" s="58" t="str">
        <f>IFERROR(_xlfn.TEXTAFTER(_xlfn.XLOOKUP(A297,Collection!A:A,Collection!C:C,),"Cards "),C297)</f>
        <v>1990 Hoops</v>
      </c>
      <c r="R297" s="58" t="str">
        <f t="shared" si="29"/>
        <v>-</v>
      </c>
      <c r="S297" s="58" t="str">
        <f>IFERROR(_xlfn.TEXTAFTER(_xlfn.XLOOKUP(A297,Collection!A:A,Collection!B:B,),"#"),"")</f>
        <v>223</v>
      </c>
      <c r="T297" s="60">
        <f t="shared" si="30"/>
        <v>3.88</v>
      </c>
      <c r="U297" s="54" t="s">
        <v>1607</v>
      </c>
      <c r="V297" s="58" t="str">
        <f>IF(ISNUMBER(MATCH(N297,Catalog!$B$4:$B$16, 0)), "Keep", "For Sale")</f>
        <v>For Sale</v>
      </c>
      <c r="W297" s="58">
        <f t="shared" si="31"/>
        <v>6</v>
      </c>
      <c r="X297" s="58">
        <f t="shared" si="32"/>
        <v>3</v>
      </c>
      <c r="Y297" s="60">
        <f t="shared" si="33"/>
        <v>5</v>
      </c>
      <c r="Z297" s="60">
        <f t="shared" si="34"/>
        <v>3</v>
      </c>
      <c r="AE297"/>
      <c r="AF297"/>
      <c r="AG297"/>
    </row>
    <row r="298" spans="1:33" ht="14.4" x14ac:dyDescent="0.3">
      <c r="A298" s="13">
        <v>77612</v>
      </c>
      <c r="B298" s="13" t="s">
        <v>336</v>
      </c>
      <c r="C298" s="13" t="s">
        <v>241</v>
      </c>
      <c r="D298" s="13">
        <v>388</v>
      </c>
      <c r="E298" s="13" t="s">
        <v>171</v>
      </c>
      <c r="F298" s="13" t="s">
        <v>172</v>
      </c>
      <c r="I298" s="13">
        <v>0</v>
      </c>
      <c r="J298" s="13">
        <v>1</v>
      </c>
      <c r="K298" s="14">
        <v>46183</v>
      </c>
      <c r="N298" s="13">
        <v>145</v>
      </c>
      <c r="P298" s="58" t="str">
        <f t="shared" si="28"/>
        <v>Sam Vincent</v>
      </c>
      <c r="Q298" s="58" t="str">
        <f>IFERROR(_xlfn.TEXTAFTER(_xlfn.XLOOKUP(A298,Collection!A:A,Collection!C:C,),"Cards "),C298)</f>
        <v>1990 Hoops</v>
      </c>
      <c r="R298" s="58" t="str">
        <f t="shared" si="29"/>
        <v>-</v>
      </c>
      <c r="S298" s="58" t="str">
        <f>IFERROR(_xlfn.TEXTAFTER(_xlfn.XLOOKUP(A298,Collection!A:A,Collection!B:B,),"#"),"")</f>
        <v>223</v>
      </c>
      <c r="T298" s="60">
        <f t="shared" si="30"/>
        <v>3.88</v>
      </c>
      <c r="U298" s="54" t="s">
        <v>1607</v>
      </c>
      <c r="V298" s="58" t="str">
        <f>IF(ISNUMBER(MATCH(N298,Catalog!$B$4:$B$16, 0)), "Keep", "For Sale")</f>
        <v>For Sale</v>
      </c>
      <c r="W298" s="58">
        <f t="shared" si="31"/>
        <v>6</v>
      </c>
      <c r="X298" s="58">
        <f t="shared" si="32"/>
        <v>3</v>
      </c>
      <c r="Y298" s="60">
        <f t="shared" si="33"/>
        <v>5</v>
      </c>
      <c r="Z298" s="60">
        <f t="shared" si="34"/>
        <v>3</v>
      </c>
      <c r="AE298"/>
      <c r="AF298"/>
      <c r="AG298"/>
    </row>
    <row r="299" spans="1:33" ht="14.4" x14ac:dyDescent="0.3">
      <c r="A299" s="13">
        <v>81413</v>
      </c>
      <c r="B299" s="13" t="s">
        <v>1317</v>
      </c>
      <c r="C299" s="13" t="s">
        <v>1201</v>
      </c>
      <c r="D299" s="13">
        <v>365</v>
      </c>
      <c r="E299" s="13" t="s">
        <v>171</v>
      </c>
      <c r="F299" s="13" t="s">
        <v>172</v>
      </c>
      <c r="I299" s="13">
        <v>0</v>
      </c>
      <c r="J299" s="13">
        <v>1</v>
      </c>
      <c r="K299" s="14">
        <v>46173</v>
      </c>
      <c r="N299" s="13">
        <v>190</v>
      </c>
      <c r="P299" s="58" t="str">
        <f t="shared" si="28"/>
        <v>Scottie Pippen</v>
      </c>
      <c r="Q299" s="58" t="str">
        <f>IFERROR(_xlfn.TEXTAFTER(_xlfn.XLOOKUP(A299,Collection!A:A,Collection!C:C,),"Cards "),C299)</f>
        <v>1994 E Motion</v>
      </c>
      <c r="R299" s="58" t="str">
        <f t="shared" si="29"/>
        <v>-</v>
      </c>
      <c r="S299" s="58" t="str">
        <f>IFERROR(_xlfn.TEXTAFTER(_xlfn.XLOOKUP(A299,Collection!A:A,Collection!B:B,),"#"),"")</f>
        <v>13</v>
      </c>
      <c r="T299" s="60">
        <f t="shared" si="30"/>
        <v>3.65</v>
      </c>
      <c r="U299" s="54" t="s">
        <v>1554</v>
      </c>
      <c r="V299" s="58" t="str">
        <f>IF(ISNUMBER(MATCH(N299,Catalog!$B$4:$B$16, 0)), "Keep", "For Sale")</f>
        <v>For Sale</v>
      </c>
      <c r="W299" s="58">
        <f t="shared" si="31"/>
        <v>1</v>
      </c>
      <c r="X299" s="58">
        <f t="shared" si="32"/>
        <v>3</v>
      </c>
      <c r="Y299" s="60">
        <f t="shared" si="33"/>
        <v>4</v>
      </c>
      <c r="Z299" s="60">
        <f t="shared" si="34"/>
        <v>4</v>
      </c>
      <c r="AE299"/>
      <c r="AF299"/>
      <c r="AG299"/>
    </row>
    <row r="300" spans="1:33" ht="14.4" x14ac:dyDescent="0.3">
      <c r="A300" s="13">
        <v>6755014</v>
      </c>
      <c r="B300" s="13" t="s">
        <v>234</v>
      </c>
      <c r="C300" s="13" t="s">
        <v>235</v>
      </c>
      <c r="D300" s="13">
        <v>350</v>
      </c>
      <c r="E300" s="13" t="s">
        <v>171</v>
      </c>
      <c r="F300" s="13" t="s">
        <v>172</v>
      </c>
      <c r="I300" s="13">
        <v>0</v>
      </c>
      <c r="J300" s="13">
        <v>1</v>
      </c>
      <c r="K300" s="14">
        <v>46127</v>
      </c>
      <c r="N300" s="13">
        <v>158</v>
      </c>
      <c r="P300" s="58" t="str">
        <f t="shared" si="28"/>
        <v>Scottie Pippen</v>
      </c>
      <c r="Q300" s="58" t="str">
        <f>IFERROR(_xlfn.TEXTAFTER(_xlfn.XLOOKUP(A300,Collection!A:A,Collection!C:C,),"Cards "),C300)</f>
        <v>1996 Metal Cyber Metal</v>
      </c>
      <c r="R300" s="58" t="str">
        <f t="shared" si="29"/>
        <v>-</v>
      </c>
      <c r="S300" s="58" t="str">
        <f>IFERROR(_xlfn.TEXTAFTER(_xlfn.XLOOKUP(A300,Collection!A:A,Collection!B:B,),"#"),"")</f>
        <v>14</v>
      </c>
      <c r="T300" s="60">
        <f t="shared" si="30"/>
        <v>3.5</v>
      </c>
      <c r="U300" s="54" t="s">
        <v>1554</v>
      </c>
      <c r="V300" s="58" t="str">
        <f>IF(ISNUMBER(MATCH(N300,Catalog!$B$4:$B$16, 0)), "Keep", "For Sale")</f>
        <v>For Sale</v>
      </c>
      <c r="W300" s="58">
        <f t="shared" si="31"/>
        <v>1</v>
      </c>
      <c r="X300" s="58">
        <f t="shared" si="32"/>
        <v>3</v>
      </c>
      <c r="Y300" s="60">
        <f t="shared" si="33"/>
        <v>4</v>
      </c>
      <c r="Z300" s="60">
        <f t="shared" si="34"/>
        <v>4</v>
      </c>
      <c r="AE300"/>
      <c r="AF300"/>
      <c r="AG300"/>
    </row>
    <row r="301" spans="1:33" ht="14.4" x14ac:dyDescent="0.3">
      <c r="A301" s="13">
        <v>85375</v>
      </c>
      <c r="B301" s="13" t="s">
        <v>234</v>
      </c>
      <c r="C301" s="13" t="s">
        <v>216</v>
      </c>
      <c r="D301" s="13">
        <v>200</v>
      </c>
      <c r="E301" s="13" t="s">
        <v>171</v>
      </c>
      <c r="F301" s="13" t="s">
        <v>172</v>
      </c>
      <c r="I301" s="13">
        <v>0</v>
      </c>
      <c r="J301" s="13">
        <v>1</v>
      </c>
      <c r="K301" s="14">
        <v>46173</v>
      </c>
      <c r="N301" s="13">
        <v>234</v>
      </c>
      <c r="P301" s="58" t="str">
        <f t="shared" si="28"/>
        <v>Scottie Pippen</v>
      </c>
      <c r="Q301" s="58" t="str">
        <f>IFERROR(_xlfn.TEXTAFTER(_xlfn.XLOOKUP(A301,Collection!A:A,Collection!C:C,),"Cards "),C301)</f>
        <v>1996 Fleer Metal</v>
      </c>
      <c r="R301" s="58" t="str">
        <f t="shared" si="29"/>
        <v>-</v>
      </c>
      <c r="S301" s="58" t="str">
        <f>IFERROR(_xlfn.TEXTAFTER(_xlfn.XLOOKUP(A301,Collection!A:A,Collection!B:B,),"#"),"")</f>
        <v>14</v>
      </c>
      <c r="T301" s="60">
        <f t="shared" si="30"/>
        <v>2</v>
      </c>
      <c r="U301" s="54" t="s">
        <v>1554</v>
      </c>
      <c r="V301" s="58" t="str">
        <f>IF(ISNUMBER(MATCH(N301,Catalog!$B$4:$B$16, 0)), "Keep", "For Sale")</f>
        <v>For Sale</v>
      </c>
      <c r="W301" s="58">
        <f t="shared" si="31"/>
        <v>1</v>
      </c>
      <c r="X301" s="58">
        <f t="shared" si="32"/>
        <v>3</v>
      </c>
      <c r="Y301" s="60">
        <f t="shared" si="33"/>
        <v>2.5</v>
      </c>
      <c r="Z301" s="60">
        <f t="shared" si="34"/>
        <v>2</v>
      </c>
      <c r="AE301"/>
      <c r="AF301"/>
      <c r="AG301"/>
    </row>
    <row r="302" spans="1:33" ht="14.4" x14ac:dyDescent="0.3">
      <c r="A302" s="13">
        <v>94008</v>
      </c>
      <c r="B302" s="13" t="s">
        <v>1204</v>
      </c>
      <c r="C302" s="13" t="s">
        <v>189</v>
      </c>
      <c r="D302" s="13">
        <v>189</v>
      </c>
      <c r="E302" s="13" t="s">
        <v>171</v>
      </c>
      <c r="F302" s="13" t="s">
        <v>172</v>
      </c>
      <c r="I302" s="13">
        <v>0</v>
      </c>
      <c r="J302" s="13">
        <v>1</v>
      </c>
      <c r="K302" s="14">
        <v>46173</v>
      </c>
      <c r="N302" s="13">
        <v>366</v>
      </c>
      <c r="P302" s="58" t="str">
        <f t="shared" si="28"/>
        <v>Scottie Pippen</v>
      </c>
      <c r="Q302" s="58" t="str">
        <f>IFERROR(_xlfn.TEXTAFTER(_xlfn.XLOOKUP(A302,Collection!A:A,Collection!C:C,),"Cards "),C302)</f>
        <v>1998 Upper Deck Black Diamond</v>
      </c>
      <c r="R302" s="58" t="str">
        <f t="shared" si="29"/>
        <v>-</v>
      </c>
      <c r="S302" s="58" t="str">
        <f>IFERROR(_xlfn.TEXTAFTER(_xlfn.XLOOKUP(A302,Collection!A:A,Collection!B:B,),"#"),"")</f>
        <v>38</v>
      </c>
      <c r="T302" s="60">
        <f t="shared" si="30"/>
        <v>1.89</v>
      </c>
      <c r="U302" s="54" t="s">
        <v>1554</v>
      </c>
      <c r="V302" s="58" t="str">
        <f>IF(ISNUMBER(MATCH(N302,Catalog!$B$4:$B$16, 0)), "Keep", "For Sale")</f>
        <v>For Sale</v>
      </c>
      <c r="W302" s="58">
        <f t="shared" si="31"/>
        <v>2</v>
      </c>
      <c r="X302" s="58">
        <f t="shared" si="32"/>
        <v>3</v>
      </c>
      <c r="Y302" s="60">
        <f t="shared" si="33"/>
        <v>2.5</v>
      </c>
      <c r="Z302" s="60">
        <f t="shared" si="34"/>
        <v>1.5</v>
      </c>
      <c r="AE302"/>
      <c r="AF302"/>
      <c r="AG302"/>
    </row>
    <row r="303" spans="1:33" ht="14.4" x14ac:dyDescent="0.3">
      <c r="A303" s="13">
        <v>94008</v>
      </c>
      <c r="B303" s="13" t="s">
        <v>1204</v>
      </c>
      <c r="C303" s="13" t="s">
        <v>189</v>
      </c>
      <c r="D303" s="13">
        <v>189</v>
      </c>
      <c r="E303" s="13" t="s">
        <v>171</v>
      </c>
      <c r="F303" s="13" t="s">
        <v>172</v>
      </c>
      <c r="I303" s="13">
        <v>0</v>
      </c>
      <c r="J303" s="13">
        <v>1</v>
      </c>
      <c r="K303" s="14">
        <v>46183</v>
      </c>
      <c r="N303" s="13">
        <v>367</v>
      </c>
      <c r="P303" s="58" t="str">
        <f t="shared" si="28"/>
        <v>Scottie Pippen</v>
      </c>
      <c r="Q303" s="58" t="str">
        <f>IFERROR(_xlfn.TEXTAFTER(_xlfn.XLOOKUP(A303,Collection!A:A,Collection!C:C,),"Cards "),C303)</f>
        <v>1998 Upper Deck Black Diamond</v>
      </c>
      <c r="R303" s="58" t="str">
        <f t="shared" si="29"/>
        <v>-</v>
      </c>
      <c r="S303" s="58" t="str">
        <f>IFERROR(_xlfn.TEXTAFTER(_xlfn.XLOOKUP(A303,Collection!A:A,Collection!B:B,),"#"),"")</f>
        <v>38</v>
      </c>
      <c r="T303" s="60">
        <f t="shared" si="30"/>
        <v>1.89</v>
      </c>
      <c r="U303" s="54" t="s">
        <v>1554</v>
      </c>
      <c r="V303" s="58" t="str">
        <f>IF(ISNUMBER(MATCH(N303,Catalog!$B$4:$B$16, 0)), "Keep", "For Sale")</f>
        <v>For Sale</v>
      </c>
      <c r="W303" s="58">
        <f t="shared" si="31"/>
        <v>2</v>
      </c>
      <c r="X303" s="58">
        <f t="shared" si="32"/>
        <v>3</v>
      </c>
      <c r="Y303" s="60">
        <f t="shared" si="33"/>
        <v>2.5</v>
      </c>
      <c r="Z303" s="60">
        <f t="shared" si="34"/>
        <v>1.5</v>
      </c>
      <c r="AE303"/>
      <c r="AF303"/>
      <c r="AG303"/>
    </row>
    <row r="304" spans="1:33" ht="14.4" x14ac:dyDescent="0.3">
      <c r="A304" s="13">
        <v>87421</v>
      </c>
      <c r="B304" s="13" t="s">
        <v>1210</v>
      </c>
      <c r="C304" s="13" t="s">
        <v>174</v>
      </c>
      <c r="D304" s="13">
        <v>163</v>
      </c>
      <c r="E304" s="13" t="s">
        <v>171</v>
      </c>
      <c r="F304" s="13" t="s">
        <v>172</v>
      </c>
      <c r="I304" s="13">
        <v>0</v>
      </c>
      <c r="J304" s="13">
        <v>1</v>
      </c>
      <c r="K304" s="14">
        <v>46183</v>
      </c>
      <c r="N304" s="13">
        <v>369</v>
      </c>
      <c r="P304" s="58" t="str">
        <f t="shared" si="28"/>
        <v>Scottie Pippen</v>
      </c>
      <c r="Q304" s="58" t="str">
        <f>IFERROR(_xlfn.TEXTAFTER(_xlfn.XLOOKUP(A304,Collection!A:A,Collection!C:C,),"Cards "),C304)</f>
        <v>1996 Upper Deck</v>
      </c>
      <c r="R304" s="58" t="str">
        <f t="shared" si="29"/>
        <v>-</v>
      </c>
      <c r="S304" s="58" t="str">
        <f>IFERROR(_xlfn.TEXTAFTER(_xlfn.XLOOKUP(A304,Collection!A:A,Collection!B:B,),"#"),"")</f>
        <v>197</v>
      </c>
      <c r="T304" s="60">
        <f t="shared" si="30"/>
        <v>1.63</v>
      </c>
      <c r="U304" s="54" t="s">
        <v>1554</v>
      </c>
      <c r="V304" s="58" t="str">
        <f>IF(ISNUMBER(MATCH(N304,Catalog!$B$4:$B$16, 0)), "Keep", "For Sale")</f>
        <v>For Sale</v>
      </c>
      <c r="W304" s="58">
        <f t="shared" si="31"/>
        <v>4</v>
      </c>
      <c r="X304" s="58">
        <f t="shared" si="32"/>
        <v>3</v>
      </c>
      <c r="Y304" s="60">
        <f t="shared" si="33"/>
        <v>2</v>
      </c>
      <c r="Z304" s="60">
        <f t="shared" si="34"/>
        <v>1.25</v>
      </c>
      <c r="AE304"/>
      <c r="AF304"/>
      <c r="AG304"/>
    </row>
    <row r="305" spans="1:33" ht="14.4" x14ac:dyDescent="0.3">
      <c r="A305" s="13">
        <v>87421</v>
      </c>
      <c r="B305" s="13" t="s">
        <v>1210</v>
      </c>
      <c r="C305" s="13" t="s">
        <v>174</v>
      </c>
      <c r="D305" s="13">
        <v>163</v>
      </c>
      <c r="E305" s="13" t="s">
        <v>171</v>
      </c>
      <c r="F305" s="13" t="s">
        <v>172</v>
      </c>
      <c r="I305" s="13">
        <v>0</v>
      </c>
      <c r="J305" s="13">
        <v>1</v>
      </c>
      <c r="K305" s="14">
        <v>46183</v>
      </c>
      <c r="N305" s="13">
        <v>371</v>
      </c>
      <c r="P305" s="58" t="str">
        <f t="shared" si="28"/>
        <v>Scottie Pippen</v>
      </c>
      <c r="Q305" s="58" t="str">
        <f>IFERROR(_xlfn.TEXTAFTER(_xlfn.XLOOKUP(A305,Collection!A:A,Collection!C:C,),"Cards "),C305)</f>
        <v>1996 Upper Deck</v>
      </c>
      <c r="R305" s="58" t="str">
        <f t="shared" si="29"/>
        <v>-</v>
      </c>
      <c r="S305" s="58" t="str">
        <f>IFERROR(_xlfn.TEXTAFTER(_xlfn.XLOOKUP(A305,Collection!A:A,Collection!B:B,),"#"),"")</f>
        <v>197</v>
      </c>
      <c r="T305" s="60">
        <f t="shared" si="30"/>
        <v>1.63</v>
      </c>
      <c r="U305" s="54" t="s">
        <v>1554</v>
      </c>
      <c r="V305" s="58" t="str">
        <f>IF(ISNUMBER(MATCH(N305,Catalog!$B$4:$B$16, 0)), "Keep", "For Sale")</f>
        <v>For Sale</v>
      </c>
      <c r="W305" s="58">
        <f t="shared" si="31"/>
        <v>4</v>
      </c>
      <c r="X305" s="58">
        <f t="shared" si="32"/>
        <v>3</v>
      </c>
      <c r="Y305" s="60">
        <f t="shared" si="33"/>
        <v>2</v>
      </c>
      <c r="Z305" s="60">
        <f t="shared" si="34"/>
        <v>1.25</v>
      </c>
      <c r="AE305"/>
      <c r="AF305"/>
      <c r="AG305"/>
    </row>
    <row r="306" spans="1:33" ht="14.4" x14ac:dyDescent="0.3">
      <c r="A306" s="13">
        <v>87421</v>
      </c>
      <c r="B306" s="13" t="s">
        <v>1210</v>
      </c>
      <c r="C306" s="13" t="s">
        <v>174</v>
      </c>
      <c r="D306" s="13">
        <v>163</v>
      </c>
      <c r="E306" s="13" t="s">
        <v>171</v>
      </c>
      <c r="F306" s="13" t="s">
        <v>172</v>
      </c>
      <c r="I306" s="13">
        <v>0</v>
      </c>
      <c r="J306" s="13">
        <v>1</v>
      </c>
      <c r="K306" s="14">
        <v>46173</v>
      </c>
      <c r="N306" s="13">
        <v>372</v>
      </c>
      <c r="P306" s="58" t="str">
        <f t="shared" si="28"/>
        <v>Scottie Pippen</v>
      </c>
      <c r="Q306" s="58" t="str">
        <f>IFERROR(_xlfn.TEXTAFTER(_xlfn.XLOOKUP(A306,Collection!A:A,Collection!C:C,),"Cards "),C306)</f>
        <v>1996 Upper Deck</v>
      </c>
      <c r="R306" s="58" t="str">
        <f t="shared" si="29"/>
        <v>-</v>
      </c>
      <c r="S306" s="58" t="str">
        <f>IFERROR(_xlfn.TEXTAFTER(_xlfn.XLOOKUP(A306,Collection!A:A,Collection!B:B,),"#"),"")</f>
        <v>197</v>
      </c>
      <c r="T306" s="60">
        <f t="shared" si="30"/>
        <v>1.63</v>
      </c>
      <c r="U306" s="54" t="s">
        <v>1554</v>
      </c>
      <c r="V306" s="58" t="str">
        <f>IF(ISNUMBER(MATCH(N306,Catalog!$B$4:$B$16, 0)), "Keep", "For Sale")</f>
        <v>For Sale</v>
      </c>
      <c r="W306" s="58">
        <f t="shared" si="31"/>
        <v>4</v>
      </c>
      <c r="X306" s="58">
        <f t="shared" si="32"/>
        <v>3</v>
      </c>
      <c r="Y306" s="60">
        <f t="shared" si="33"/>
        <v>2</v>
      </c>
      <c r="Z306" s="60">
        <f t="shared" si="34"/>
        <v>1.25</v>
      </c>
      <c r="AE306"/>
      <c r="AF306"/>
      <c r="AG306"/>
    </row>
    <row r="307" spans="1:33" ht="14.4" x14ac:dyDescent="0.3">
      <c r="A307" s="13">
        <v>87421</v>
      </c>
      <c r="B307" s="13" t="s">
        <v>1210</v>
      </c>
      <c r="C307" s="13" t="s">
        <v>174</v>
      </c>
      <c r="D307" s="13">
        <v>163</v>
      </c>
      <c r="E307" s="13" t="s">
        <v>171</v>
      </c>
      <c r="F307" s="13" t="s">
        <v>172</v>
      </c>
      <c r="I307" s="13">
        <v>0</v>
      </c>
      <c r="J307" s="13">
        <v>1</v>
      </c>
      <c r="K307" s="14">
        <v>46183</v>
      </c>
      <c r="N307" s="13">
        <v>374</v>
      </c>
      <c r="P307" s="58" t="str">
        <f t="shared" si="28"/>
        <v>Scottie Pippen</v>
      </c>
      <c r="Q307" s="58" t="str">
        <f>IFERROR(_xlfn.TEXTAFTER(_xlfn.XLOOKUP(A307,Collection!A:A,Collection!C:C,),"Cards "),C307)</f>
        <v>1996 Upper Deck</v>
      </c>
      <c r="R307" s="58" t="str">
        <f t="shared" si="29"/>
        <v>-</v>
      </c>
      <c r="S307" s="58" t="str">
        <f>IFERROR(_xlfn.TEXTAFTER(_xlfn.XLOOKUP(A307,Collection!A:A,Collection!B:B,),"#"),"")</f>
        <v>197</v>
      </c>
      <c r="T307" s="60">
        <f t="shared" si="30"/>
        <v>1.63</v>
      </c>
      <c r="U307" s="54" t="s">
        <v>1554</v>
      </c>
      <c r="V307" s="58" t="str">
        <f>IF(ISNUMBER(MATCH(N307,Catalog!$B$4:$B$16, 0)), "Keep", "For Sale")</f>
        <v>For Sale</v>
      </c>
      <c r="W307" s="58">
        <f t="shared" si="31"/>
        <v>4</v>
      </c>
      <c r="X307" s="58">
        <f t="shared" si="32"/>
        <v>3</v>
      </c>
      <c r="Y307" s="60">
        <f t="shared" si="33"/>
        <v>2</v>
      </c>
      <c r="Z307" s="60">
        <f t="shared" si="34"/>
        <v>1.25</v>
      </c>
      <c r="AE307"/>
      <c r="AF307"/>
      <c r="AG307"/>
    </row>
    <row r="308" spans="1:33" ht="14.4" x14ac:dyDescent="0.3">
      <c r="A308" s="13">
        <v>2984810</v>
      </c>
      <c r="B308" s="13" t="s">
        <v>248</v>
      </c>
      <c r="C308" s="13" t="s">
        <v>249</v>
      </c>
      <c r="D308" s="13">
        <v>157</v>
      </c>
      <c r="E308" s="13" t="s">
        <v>171</v>
      </c>
      <c r="F308" s="13" t="s">
        <v>172</v>
      </c>
      <c r="I308" s="13">
        <v>0</v>
      </c>
      <c r="J308" s="13">
        <v>1</v>
      </c>
      <c r="K308" s="14">
        <v>46149</v>
      </c>
      <c r="N308" s="13">
        <v>458</v>
      </c>
      <c r="P308" s="58" t="str">
        <f t="shared" si="28"/>
        <v>Scottie Pippen</v>
      </c>
      <c r="Q308" s="58" t="str">
        <f>IFERROR(_xlfn.TEXTAFTER(_xlfn.XLOOKUP(A308,Collection!A:A,Collection!C:C,),"Cards "),C308)</f>
        <v>1993 Ultra Inside Outside</v>
      </c>
      <c r="R308" s="58" t="str">
        <f t="shared" si="29"/>
        <v>-</v>
      </c>
      <c r="S308" s="58" t="str">
        <f>IFERROR(_xlfn.TEXTAFTER(_xlfn.XLOOKUP(A308,Collection!A:A,Collection!B:B,),"#"),"")</f>
        <v>7</v>
      </c>
      <c r="T308" s="60">
        <f t="shared" si="30"/>
        <v>1.57</v>
      </c>
      <c r="U308" s="54" t="s">
        <v>1554</v>
      </c>
      <c r="V308" s="58" t="str">
        <f>IF(ISNUMBER(MATCH(N308,Catalog!$B$4:$B$16, 0)), "Keep", "For Sale")</f>
        <v>For Sale</v>
      </c>
      <c r="W308" s="58">
        <f t="shared" si="31"/>
        <v>1</v>
      </c>
      <c r="X308" s="58">
        <f t="shared" si="32"/>
        <v>3</v>
      </c>
      <c r="Y308" s="60">
        <f t="shared" si="33"/>
        <v>2</v>
      </c>
      <c r="Z308" s="60">
        <f t="shared" si="34"/>
        <v>1.5</v>
      </c>
      <c r="AE308"/>
      <c r="AF308"/>
      <c r="AG308"/>
    </row>
    <row r="309" spans="1:33" ht="14.4" x14ac:dyDescent="0.3">
      <c r="A309" s="13">
        <v>87821</v>
      </c>
      <c r="B309" s="13" t="s">
        <v>169</v>
      </c>
      <c r="C309" s="13" t="s">
        <v>170</v>
      </c>
      <c r="D309" s="13">
        <v>150</v>
      </c>
      <c r="E309" s="13" t="s">
        <v>171</v>
      </c>
      <c r="F309" s="13" t="s">
        <v>172</v>
      </c>
      <c r="I309" s="13">
        <v>0</v>
      </c>
      <c r="J309" s="13">
        <v>1</v>
      </c>
      <c r="K309" s="14">
        <v>46149</v>
      </c>
      <c r="L309" s="14">
        <v>46149</v>
      </c>
      <c r="N309" s="13">
        <v>550</v>
      </c>
      <c r="P309" s="58" t="str">
        <f t="shared" si="28"/>
        <v>Scottie Pippen</v>
      </c>
      <c r="Q309" s="58" t="str">
        <f>IFERROR(_xlfn.TEXTAFTER(_xlfn.XLOOKUP(A309,Collection!A:A,Collection!C:C,),"Cards "),C309)</f>
        <v>1997 Finest</v>
      </c>
      <c r="R309" s="58" t="str">
        <f t="shared" si="29"/>
        <v>w/ Coating</v>
      </c>
      <c r="S309" s="58" t="str">
        <f>IFERROR(_xlfn.TEXTAFTER(_xlfn.XLOOKUP(A309,Collection!A:A,Collection!B:B,),"#"),"")</f>
        <v>1</v>
      </c>
      <c r="T309" s="60">
        <f t="shared" si="30"/>
        <v>1.5</v>
      </c>
      <c r="U309" s="54" t="s">
        <v>1554</v>
      </c>
      <c r="V309" s="58" t="str">
        <f>IF(ISNUMBER(MATCH(N309,Catalog!$B$4:$B$16, 0)), "Keep", "For Sale")</f>
        <v>For Sale</v>
      </c>
      <c r="W309" s="58">
        <f t="shared" si="31"/>
        <v>1</v>
      </c>
      <c r="X309" s="58">
        <f t="shared" si="32"/>
        <v>3</v>
      </c>
      <c r="Y309" s="60">
        <f t="shared" si="33"/>
        <v>2</v>
      </c>
      <c r="Z309" s="60">
        <f t="shared" si="34"/>
        <v>1.5</v>
      </c>
      <c r="AE309"/>
      <c r="AF309"/>
      <c r="AG309"/>
    </row>
    <row r="310" spans="1:33" ht="14.4" x14ac:dyDescent="0.3">
      <c r="A310" s="13">
        <v>5233999</v>
      </c>
      <c r="B310" s="13" t="s">
        <v>267</v>
      </c>
      <c r="C310" s="13" t="s">
        <v>189</v>
      </c>
      <c r="D310" s="13">
        <v>775</v>
      </c>
      <c r="E310" s="13" t="s">
        <v>171</v>
      </c>
      <c r="F310" s="13" t="s">
        <v>172</v>
      </c>
      <c r="I310" s="13">
        <v>0</v>
      </c>
      <c r="J310" s="13">
        <v>1</v>
      </c>
      <c r="K310" s="14">
        <v>46127</v>
      </c>
      <c r="N310" s="13">
        <v>36</v>
      </c>
      <c r="P310" s="58" t="str">
        <f t="shared" si="28"/>
        <v>Shaquille O'Neal</v>
      </c>
      <c r="Q310" s="58" t="str">
        <f>IFERROR(_xlfn.TEXTAFTER(_xlfn.XLOOKUP(A310,Collection!A:A,Collection!C:C,),"Cards "),C310)</f>
        <v>1998 Upper Deck Black Diamond</v>
      </c>
      <c r="R310" s="58" t="str">
        <f t="shared" si="29"/>
        <v>Double</v>
      </c>
      <c r="S310" s="58" t="str">
        <f>IFERROR(_xlfn.TEXTAFTER(_xlfn.XLOOKUP(A310,Collection!A:A,Collection!B:B,),"#"),"")</f>
        <v>45</v>
      </c>
      <c r="T310" s="60">
        <f t="shared" si="30"/>
        <v>7.75</v>
      </c>
      <c r="U310" s="54" t="s">
        <v>1568</v>
      </c>
      <c r="V310" s="58" t="str">
        <f>IF(ISNUMBER(MATCH(N310,Catalog!$B$4:$B$16, 0)), "Keep", "For Sale")</f>
        <v>For Sale</v>
      </c>
      <c r="W310" s="58">
        <f t="shared" si="31"/>
        <v>1</v>
      </c>
      <c r="X310" s="58">
        <f t="shared" si="32"/>
        <v>3</v>
      </c>
      <c r="Y310" s="60">
        <f t="shared" si="33"/>
        <v>9</v>
      </c>
      <c r="Z310" s="60">
        <f t="shared" si="34"/>
        <v>8</v>
      </c>
      <c r="AE310"/>
      <c r="AF310"/>
      <c r="AG310"/>
    </row>
    <row r="311" spans="1:33" ht="14.4" x14ac:dyDescent="0.3">
      <c r="A311" s="13">
        <v>89013</v>
      </c>
      <c r="B311" s="13" t="s">
        <v>435</v>
      </c>
      <c r="C311" s="13" t="s">
        <v>193</v>
      </c>
      <c r="D311" s="13">
        <v>496</v>
      </c>
      <c r="E311" s="13" t="s">
        <v>171</v>
      </c>
      <c r="F311" s="13" t="s">
        <v>172</v>
      </c>
      <c r="I311" s="13">
        <v>0</v>
      </c>
      <c r="J311" s="13">
        <v>1</v>
      </c>
      <c r="K311" s="14">
        <v>46129</v>
      </c>
      <c r="N311" s="13">
        <v>146</v>
      </c>
      <c r="P311" s="58" t="str">
        <f t="shared" si="28"/>
        <v>Shaquille O'neal</v>
      </c>
      <c r="Q311" s="58" t="str">
        <f>IFERROR(_xlfn.TEXTAFTER(_xlfn.XLOOKUP(A311,Collection!A:A,Collection!C:C,),"Cards "),C311)</f>
        <v>1997 Metal Universe</v>
      </c>
      <c r="R311" s="58" t="str">
        <f t="shared" si="29"/>
        <v>-</v>
      </c>
      <c r="S311" s="58" t="str">
        <f>IFERROR(_xlfn.TEXTAFTER(_xlfn.XLOOKUP(A311,Collection!A:A,Collection!B:B,),"#"),"")</f>
        <v>50</v>
      </c>
      <c r="T311" s="60">
        <f t="shared" si="30"/>
        <v>4.96</v>
      </c>
      <c r="U311" s="54" t="s">
        <v>1609</v>
      </c>
      <c r="V311" s="58" t="str">
        <f>IF(ISNUMBER(MATCH(N311,Catalog!$B$4:$B$16, 0)), "Keep", "For Sale")</f>
        <v>For Sale</v>
      </c>
      <c r="W311" s="58">
        <f t="shared" si="31"/>
        <v>1</v>
      </c>
      <c r="X311" s="58">
        <f t="shared" si="32"/>
        <v>3</v>
      </c>
      <c r="Y311" s="60">
        <f t="shared" si="33"/>
        <v>6</v>
      </c>
      <c r="Z311" s="60">
        <f t="shared" si="34"/>
        <v>5</v>
      </c>
      <c r="AE311"/>
      <c r="AF311"/>
      <c r="AG311"/>
    </row>
    <row r="312" spans="1:33" ht="14.4" x14ac:dyDescent="0.3">
      <c r="A312" s="13">
        <v>85417</v>
      </c>
      <c r="B312" s="13" t="s">
        <v>456</v>
      </c>
      <c r="C312" s="13" t="s">
        <v>216</v>
      </c>
      <c r="D312" s="13">
        <v>249</v>
      </c>
      <c r="E312" s="13" t="s">
        <v>171</v>
      </c>
      <c r="F312" s="13" t="s">
        <v>172</v>
      </c>
      <c r="I312" s="13">
        <v>0</v>
      </c>
      <c r="J312" s="13">
        <v>1</v>
      </c>
      <c r="K312" s="14">
        <v>46149</v>
      </c>
      <c r="N312" s="13">
        <v>213</v>
      </c>
      <c r="P312" s="58" t="str">
        <f t="shared" si="28"/>
        <v>Shaquille O'Neal</v>
      </c>
      <c r="Q312" s="58" t="str">
        <f>IFERROR(_xlfn.TEXTAFTER(_xlfn.XLOOKUP(A312,Collection!A:A,Collection!C:C,),"Cards "),C312)</f>
        <v>1996 Fleer Metal</v>
      </c>
      <c r="R312" s="58" t="str">
        <f t="shared" si="29"/>
        <v>-</v>
      </c>
      <c r="S312" s="58" t="str">
        <f>IFERROR(_xlfn.TEXTAFTER(_xlfn.XLOOKUP(A312,Collection!A:A,Collection!B:B,),"#"),"")</f>
        <v>183</v>
      </c>
      <c r="T312" s="60">
        <f t="shared" si="30"/>
        <v>2.4900000000000002</v>
      </c>
      <c r="U312" s="54" t="s">
        <v>1568</v>
      </c>
      <c r="V312" s="58" t="str">
        <f>IF(ISNUMBER(MATCH(N312,Catalog!$B$4:$B$16, 0)), "Keep", "For Sale")</f>
        <v>For Sale</v>
      </c>
      <c r="W312" s="58">
        <f t="shared" si="31"/>
        <v>1</v>
      </c>
      <c r="X312" s="58">
        <f t="shared" si="32"/>
        <v>3</v>
      </c>
      <c r="Y312" s="60">
        <f t="shared" si="33"/>
        <v>3</v>
      </c>
      <c r="Z312" s="60">
        <f t="shared" si="34"/>
        <v>2.5</v>
      </c>
      <c r="AE312"/>
      <c r="AF312"/>
      <c r="AG312"/>
    </row>
    <row r="313" spans="1:33" ht="14.4" x14ac:dyDescent="0.3">
      <c r="A313" s="13">
        <v>2920597</v>
      </c>
      <c r="B313" s="13" t="s">
        <v>457</v>
      </c>
      <c r="C313" s="13" t="s">
        <v>213</v>
      </c>
      <c r="D313" s="13">
        <v>249</v>
      </c>
      <c r="E313" s="13" t="s">
        <v>171</v>
      </c>
      <c r="F313" s="13" t="s">
        <v>172</v>
      </c>
      <c r="I313" s="13">
        <v>0</v>
      </c>
      <c r="J313" s="13">
        <v>1</v>
      </c>
      <c r="K313" s="14">
        <v>46129</v>
      </c>
      <c r="N313" s="13">
        <v>283</v>
      </c>
      <c r="P313" s="58" t="str">
        <f t="shared" si="28"/>
        <v>Shaquille O'Neal</v>
      </c>
      <c r="Q313" s="58" t="str">
        <f>IFERROR(_xlfn.TEXTAFTER(_xlfn.XLOOKUP(A313,Collection!A:A,Collection!C:C,),"Cards "),C313)</f>
        <v>1999 SP Authentic</v>
      </c>
      <c r="R313" s="58" t="str">
        <f t="shared" si="29"/>
        <v>-</v>
      </c>
      <c r="S313" s="58" t="str">
        <f>IFERROR(_xlfn.TEXTAFTER(_xlfn.XLOOKUP(A313,Collection!A:A,Collection!B:B,),"#"),"")</f>
        <v>39</v>
      </c>
      <c r="T313" s="60">
        <f t="shared" si="30"/>
        <v>2.4900000000000002</v>
      </c>
      <c r="U313" s="54" t="s">
        <v>1568</v>
      </c>
      <c r="V313" s="58" t="str">
        <f>IF(ISNUMBER(MATCH(N313,Catalog!$B$4:$B$16, 0)), "Keep", "For Sale")</f>
        <v>For Sale</v>
      </c>
      <c r="W313" s="58">
        <f t="shared" si="31"/>
        <v>1</v>
      </c>
      <c r="X313" s="58">
        <f t="shared" si="32"/>
        <v>3</v>
      </c>
      <c r="Y313" s="60">
        <f t="shared" si="33"/>
        <v>3</v>
      </c>
      <c r="Z313" s="60">
        <f t="shared" si="34"/>
        <v>2.5</v>
      </c>
      <c r="AE313"/>
      <c r="AF313"/>
      <c r="AG313"/>
    </row>
    <row r="314" spans="1:33" ht="14.4" x14ac:dyDescent="0.3">
      <c r="A314" s="13">
        <v>2920615</v>
      </c>
      <c r="B314" s="13" t="s">
        <v>238</v>
      </c>
      <c r="C314" s="13" t="s">
        <v>239</v>
      </c>
      <c r="D314" s="13">
        <v>200</v>
      </c>
      <c r="E314" s="13" t="s">
        <v>171</v>
      </c>
      <c r="F314" s="13" t="s">
        <v>172</v>
      </c>
      <c r="I314" s="13">
        <v>0</v>
      </c>
      <c r="J314" s="13">
        <v>1</v>
      </c>
      <c r="K314" s="14">
        <v>46128</v>
      </c>
      <c r="L314" s="14">
        <v>46128</v>
      </c>
      <c r="N314" s="13">
        <v>252</v>
      </c>
      <c r="P314" s="58" t="str">
        <f t="shared" si="28"/>
        <v>Shaquille O'Neal</v>
      </c>
      <c r="Q314" s="58" t="str">
        <f>IFERROR(_xlfn.TEXTAFTER(_xlfn.XLOOKUP(A314,Collection!A:A,Collection!C:C,),"Cards "),C314)</f>
        <v>1997 Ultra 98 Greats</v>
      </c>
      <c r="R314" s="58" t="str">
        <f t="shared" si="29"/>
        <v>-</v>
      </c>
      <c r="S314" s="58" t="str">
        <f>IFERROR(_xlfn.TEXTAFTER(_xlfn.XLOOKUP(A314,Collection!A:A,Collection!B:B,),"#"),"")</f>
        <v>1</v>
      </c>
      <c r="T314" s="60">
        <f t="shared" si="30"/>
        <v>2</v>
      </c>
      <c r="U314" s="54" t="s">
        <v>1568</v>
      </c>
      <c r="V314" s="58" t="str">
        <f>IF(ISNUMBER(MATCH(N314,Catalog!$B$4:$B$16, 0)), "Keep", "For Sale")</f>
        <v>For Sale</v>
      </c>
      <c r="W314" s="58">
        <f t="shared" si="31"/>
        <v>1</v>
      </c>
      <c r="X314" s="58">
        <f t="shared" si="32"/>
        <v>3</v>
      </c>
      <c r="Y314" s="60">
        <f t="shared" si="33"/>
        <v>2.5</v>
      </c>
      <c r="Z314" s="60">
        <f t="shared" si="34"/>
        <v>2</v>
      </c>
      <c r="AE314"/>
      <c r="AF314"/>
      <c r="AG314"/>
    </row>
    <row r="315" spans="1:33" ht="14.4" x14ac:dyDescent="0.3">
      <c r="A315" s="13">
        <v>85405</v>
      </c>
      <c r="B315" s="13" t="s">
        <v>1307</v>
      </c>
      <c r="C315" s="13" t="s">
        <v>216</v>
      </c>
      <c r="D315" s="13">
        <v>199</v>
      </c>
      <c r="E315" s="13" t="s">
        <v>171</v>
      </c>
      <c r="F315" s="13" t="s">
        <v>172</v>
      </c>
      <c r="I315" s="13">
        <v>0</v>
      </c>
      <c r="J315" s="13">
        <v>1</v>
      </c>
      <c r="K315" s="14">
        <v>46183</v>
      </c>
      <c r="N315" s="13">
        <v>254</v>
      </c>
      <c r="P315" s="58" t="str">
        <f t="shared" si="28"/>
        <v>Shaquille O'Neal</v>
      </c>
      <c r="Q315" s="58" t="str">
        <f>IFERROR(_xlfn.TEXTAFTER(_xlfn.XLOOKUP(A315,Collection!A:A,Collection!C:C,),"Cards "),C315)</f>
        <v>1996 Fleer Metal</v>
      </c>
      <c r="R315" s="58" t="str">
        <f t="shared" si="29"/>
        <v>-</v>
      </c>
      <c r="S315" s="58" t="str">
        <f>IFERROR(_xlfn.TEXTAFTER(_xlfn.XLOOKUP(A315,Collection!A:A,Collection!B:B,),"#"),"")</f>
        <v>143</v>
      </c>
      <c r="T315" s="60">
        <f t="shared" si="30"/>
        <v>1.99</v>
      </c>
      <c r="U315" s="54" t="s">
        <v>1568</v>
      </c>
      <c r="V315" s="58" t="str">
        <f>IF(ISNUMBER(MATCH(N315,Catalog!$B$4:$B$16, 0)), "Keep", "For Sale")</f>
        <v>For Sale</v>
      </c>
      <c r="W315" s="58">
        <f t="shared" si="31"/>
        <v>3</v>
      </c>
      <c r="X315" s="58">
        <f t="shared" si="32"/>
        <v>3</v>
      </c>
      <c r="Y315" s="60">
        <f t="shared" si="33"/>
        <v>2.5</v>
      </c>
      <c r="Z315" s="60">
        <f t="shared" si="34"/>
        <v>1.5</v>
      </c>
      <c r="AE315"/>
      <c r="AF315"/>
      <c r="AG315"/>
    </row>
    <row r="316" spans="1:33" ht="14.4" x14ac:dyDescent="0.3">
      <c r="A316" s="13">
        <v>85405</v>
      </c>
      <c r="B316" s="13" t="s">
        <v>1307</v>
      </c>
      <c r="C316" s="13" t="s">
        <v>216</v>
      </c>
      <c r="D316" s="13">
        <v>199</v>
      </c>
      <c r="E316" s="13" t="s">
        <v>171</v>
      </c>
      <c r="F316" s="13" t="s">
        <v>172</v>
      </c>
      <c r="I316" s="13">
        <v>0</v>
      </c>
      <c r="J316" s="13">
        <v>1</v>
      </c>
      <c r="K316" s="14">
        <v>46183</v>
      </c>
      <c r="N316" s="13">
        <v>260</v>
      </c>
      <c r="P316" s="58" t="str">
        <f t="shared" si="28"/>
        <v>Shaquille O'Neal</v>
      </c>
      <c r="Q316" s="58" t="str">
        <f>IFERROR(_xlfn.TEXTAFTER(_xlfn.XLOOKUP(A316,Collection!A:A,Collection!C:C,),"Cards "),C316)</f>
        <v>1996 Fleer Metal</v>
      </c>
      <c r="R316" s="58" t="str">
        <f t="shared" si="29"/>
        <v>-</v>
      </c>
      <c r="S316" s="58" t="str">
        <f>IFERROR(_xlfn.TEXTAFTER(_xlfn.XLOOKUP(A316,Collection!A:A,Collection!B:B,),"#"),"")</f>
        <v>143</v>
      </c>
      <c r="T316" s="60">
        <f t="shared" si="30"/>
        <v>1.99</v>
      </c>
      <c r="U316" s="54" t="s">
        <v>1568</v>
      </c>
      <c r="V316" s="58" t="str">
        <f>IF(ISNUMBER(MATCH(N316,Catalog!$B$4:$B$16, 0)), "Keep", "For Sale")</f>
        <v>For Sale</v>
      </c>
      <c r="W316" s="58">
        <f t="shared" si="31"/>
        <v>3</v>
      </c>
      <c r="X316" s="58">
        <f t="shared" si="32"/>
        <v>3</v>
      </c>
      <c r="Y316" s="60">
        <f t="shared" si="33"/>
        <v>2.5</v>
      </c>
      <c r="Z316" s="60">
        <f t="shared" si="34"/>
        <v>1.5</v>
      </c>
      <c r="AE316"/>
      <c r="AF316"/>
      <c r="AG316"/>
    </row>
    <row r="317" spans="1:33" ht="14.4" x14ac:dyDescent="0.3">
      <c r="A317" s="13">
        <v>85405</v>
      </c>
      <c r="B317" s="13" t="s">
        <v>1307</v>
      </c>
      <c r="C317" s="13" t="s">
        <v>216</v>
      </c>
      <c r="D317" s="13">
        <v>199</v>
      </c>
      <c r="E317" s="13" t="s">
        <v>171</v>
      </c>
      <c r="F317" s="13" t="s">
        <v>172</v>
      </c>
      <c r="I317" s="13">
        <v>0</v>
      </c>
      <c r="J317" s="13">
        <v>1</v>
      </c>
      <c r="K317" s="14">
        <v>46173</v>
      </c>
      <c r="N317" s="13">
        <v>262</v>
      </c>
      <c r="P317" s="58" t="str">
        <f t="shared" si="28"/>
        <v>Shaquille O'Neal</v>
      </c>
      <c r="Q317" s="58" t="str">
        <f>IFERROR(_xlfn.TEXTAFTER(_xlfn.XLOOKUP(A317,Collection!A:A,Collection!C:C,),"Cards "),C317)</f>
        <v>1996 Fleer Metal</v>
      </c>
      <c r="R317" s="58" t="str">
        <f t="shared" si="29"/>
        <v>-</v>
      </c>
      <c r="S317" s="58" t="str">
        <f>IFERROR(_xlfn.TEXTAFTER(_xlfn.XLOOKUP(A317,Collection!A:A,Collection!B:B,),"#"),"")</f>
        <v>143</v>
      </c>
      <c r="T317" s="60">
        <f t="shared" si="30"/>
        <v>1.99</v>
      </c>
      <c r="U317" s="54" t="s">
        <v>1568</v>
      </c>
      <c r="V317" s="58" t="str">
        <f>IF(ISNUMBER(MATCH(N317,Catalog!$B$4:$B$16, 0)), "Keep", "For Sale")</f>
        <v>For Sale</v>
      </c>
      <c r="W317" s="58">
        <f t="shared" si="31"/>
        <v>3</v>
      </c>
      <c r="X317" s="58">
        <f t="shared" si="32"/>
        <v>3</v>
      </c>
      <c r="Y317" s="60">
        <f t="shared" si="33"/>
        <v>2.5</v>
      </c>
      <c r="Z317" s="60">
        <f t="shared" si="34"/>
        <v>1.5</v>
      </c>
      <c r="AE317"/>
      <c r="AF317"/>
      <c r="AG317"/>
    </row>
    <row r="318" spans="1:33" ht="14.4" x14ac:dyDescent="0.3">
      <c r="A318" s="13">
        <v>94020</v>
      </c>
      <c r="B318" s="13" t="s">
        <v>433</v>
      </c>
      <c r="C318" s="13" t="s">
        <v>189</v>
      </c>
      <c r="D318" s="13">
        <v>197</v>
      </c>
      <c r="E318" s="13" t="s">
        <v>171</v>
      </c>
      <c r="F318" s="13" t="s">
        <v>172</v>
      </c>
      <c r="I318" s="13">
        <v>0</v>
      </c>
      <c r="J318" s="13">
        <v>1</v>
      </c>
      <c r="K318" s="14">
        <v>46129</v>
      </c>
      <c r="N318" s="13">
        <v>173</v>
      </c>
      <c r="P318" s="58" t="str">
        <f t="shared" si="28"/>
        <v>Shaquille O'Neal</v>
      </c>
      <c r="Q318" s="58" t="str">
        <f>IFERROR(_xlfn.TEXTAFTER(_xlfn.XLOOKUP(A318,Collection!A:A,Collection!C:C,),"Cards "),C318)</f>
        <v>1998 Upper Deck Black Diamond</v>
      </c>
      <c r="R318" s="58" t="str">
        <f t="shared" si="29"/>
        <v>-</v>
      </c>
      <c r="S318" s="58" t="str">
        <f>IFERROR(_xlfn.TEXTAFTER(_xlfn.XLOOKUP(A318,Collection!A:A,Collection!B:B,),"#"),"")</f>
        <v>45</v>
      </c>
      <c r="T318" s="60">
        <f t="shared" si="30"/>
        <v>1.97</v>
      </c>
      <c r="U318" s="54" t="s">
        <v>1568</v>
      </c>
      <c r="V318" s="58" t="str">
        <f>IF(ISNUMBER(MATCH(N318,Catalog!$B$4:$B$16, 0)), "Keep", "For Sale")</f>
        <v>For Sale</v>
      </c>
      <c r="W318" s="58">
        <f t="shared" si="31"/>
        <v>1</v>
      </c>
      <c r="X318" s="58">
        <f t="shared" si="32"/>
        <v>3</v>
      </c>
      <c r="Y318" s="60">
        <f t="shared" si="33"/>
        <v>2.5</v>
      </c>
      <c r="Z318" s="60">
        <f t="shared" si="34"/>
        <v>2</v>
      </c>
      <c r="AE318"/>
      <c r="AF318"/>
      <c r="AG318"/>
    </row>
    <row r="319" spans="1:33" ht="14.4" x14ac:dyDescent="0.3">
      <c r="A319" s="13">
        <v>87383</v>
      </c>
      <c r="B319" s="13" t="s">
        <v>187</v>
      </c>
      <c r="C319" s="13" t="s">
        <v>174</v>
      </c>
      <c r="D319" s="13">
        <v>195</v>
      </c>
      <c r="E319" s="13" t="s">
        <v>171</v>
      </c>
      <c r="F319" s="13" t="s">
        <v>172</v>
      </c>
      <c r="I319" s="13">
        <v>0</v>
      </c>
      <c r="J319" s="13">
        <v>1</v>
      </c>
      <c r="K319" s="14">
        <v>46183</v>
      </c>
      <c r="N319" s="13">
        <v>614</v>
      </c>
      <c r="P319" s="58" t="str">
        <f t="shared" si="28"/>
        <v>Shaquille O'Neal</v>
      </c>
      <c r="Q319" s="58" t="str">
        <f>IFERROR(_xlfn.TEXTAFTER(_xlfn.XLOOKUP(A319,Collection!A:A,Collection!C:C,),"Cards "),C319)</f>
        <v>1996 Upper Deck</v>
      </c>
      <c r="R319" s="58" t="str">
        <f t="shared" si="29"/>
        <v>-</v>
      </c>
      <c r="S319" s="58" t="str">
        <f>IFERROR(_xlfn.TEXTAFTER(_xlfn.XLOOKUP(A319,Collection!A:A,Collection!B:B,),"#"),"")</f>
        <v>61</v>
      </c>
      <c r="T319" s="60">
        <f t="shared" si="30"/>
        <v>1.95</v>
      </c>
      <c r="U319" s="54" t="s">
        <v>1568</v>
      </c>
      <c r="V319" s="58" t="str">
        <f>IF(ISNUMBER(MATCH(N319,Catalog!$B$4:$B$16, 0)), "Keep", "For Sale")</f>
        <v>For Sale</v>
      </c>
      <c r="W319" s="58">
        <f t="shared" si="31"/>
        <v>5</v>
      </c>
      <c r="X319" s="58">
        <f t="shared" si="32"/>
        <v>3</v>
      </c>
      <c r="Y319" s="60">
        <f t="shared" si="33"/>
        <v>2.5</v>
      </c>
      <c r="Z319" s="60">
        <f t="shared" si="34"/>
        <v>1.5</v>
      </c>
      <c r="AE319"/>
      <c r="AF319"/>
      <c r="AG319"/>
    </row>
    <row r="320" spans="1:33" ht="14.4" x14ac:dyDescent="0.3">
      <c r="A320" s="13">
        <v>85691</v>
      </c>
      <c r="B320" s="13" t="s">
        <v>1271</v>
      </c>
      <c r="C320" s="13" t="s">
        <v>195</v>
      </c>
      <c r="D320" s="13">
        <v>187</v>
      </c>
      <c r="E320" s="13" t="s">
        <v>171</v>
      </c>
      <c r="F320" s="13" t="s">
        <v>172</v>
      </c>
      <c r="I320" s="13">
        <v>0</v>
      </c>
      <c r="J320" s="13">
        <v>1</v>
      </c>
      <c r="K320" s="14">
        <v>46183</v>
      </c>
      <c r="N320" s="13">
        <v>297</v>
      </c>
      <c r="P320" s="58" t="str">
        <f t="shared" si="28"/>
        <v>Shaquille O'neal</v>
      </c>
      <c r="Q320" s="58" t="str">
        <f>IFERROR(_xlfn.TEXTAFTER(_xlfn.XLOOKUP(A320,Collection!A:A,Collection!C:C,),"Cards "),C320)</f>
        <v>1996 Skybox Premium</v>
      </c>
      <c r="R320" s="58" t="str">
        <f t="shared" si="29"/>
        <v>-</v>
      </c>
      <c r="S320" s="58" t="str">
        <f>IFERROR(_xlfn.TEXTAFTER(_xlfn.XLOOKUP(A320,Collection!A:A,Collection!B:B,),"#"),"")</f>
        <v>163</v>
      </c>
      <c r="T320" s="60">
        <f t="shared" si="30"/>
        <v>1.87</v>
      </c>
      <c r="U320" s="54" t="s">
        <v>1609</v>
      </c>
      <c r="V320" s="58" t="str">
        <f>IF(ISNUMBER(MATCH(N320,Catalog!$B$4:$B$16, 0)), "Keep", "For Sale")</f>
        <v>For Sale</v>
      </c>
      <c r="W320" s="58">
        <f t="shared" si="31"/>
        <v>2</v>
      </c>
      <c r="X320" s="58">
        <f t="shared" si="32"/>
        <v>3</v>
      </c>
      <c r="Y320" s="60">
        <f t="shared" si="33"/>
        <v>2</v>
      </c>
      <c r="Z320" s="60">
        <f t="shared" si="34"/>
        <v>1.5</v>
      </c>
      <c r="AE320"/>
      <c r="AF320"/>
      <c r="AG320"/>
    </row>
    <row r="321" spans="1:33" ht="14.4" x14ac:dyDescent="0.3">
      <c r="A321" s="13">
        <v>85691</v>
      </c>
      <c r="B321" s="13" t="s">
        <v>1271</v>
      </c>
      <c r="C321" s="13" t="s">
        <v>195</v>
      </c>
      <c r="D321" s="13">
        <v>187</v>
      </c>
      <c r="E321" s="13" t="s">
        <v>171</v>
      </c>
      <c r="F321" s="13" t="s">
        <v>172</v>
      </c>
      <c r="I321" s="13">
        <v>0</v>
      </c>
      <c r="J321" s="13">
        <v>1</v>
      </c>
      <c r="K321" s="14">
        <v>46173</v>
      </c>
      <c r="N321" s="13">
        <v>302</v>
      </c>
      <c r="P321" s="58" t="str">
        <f t="shared" si="28"/>
        <v>Shaquille O'neal</v>
      </c>
      <c r="Q321" s="58" t="str">
        <f>IFERROR(_xlfn.TEXTAFTER(_xlfn.XLOOKUP(A321,Collection!A:A,Collection!C:C,),"Cards "),C321)</f>
        <v>1996 Skybox Premium</v>
      </c>
      <c r="R321" s="58" t="str">
        <f t="shared" si="29"/>
        <v>-</v>
      </c>
      <c r="S321" s="58" t="str">
        <f>IFERROR(_xlfn.TEXTAFTER(_xlfn.XLOOKUP(A321,Collection!A:A,Collection!B:B,),"#"),"")</f>
        <v>163</v>
      </c>
      <c r="T321" s="60">
        <f t="shared" si="30"/>
        <v>1.87</v>
      </c>
      <c r="U321" s="54" t="s">
        <v>1609</v>
      </c>
      <c r="V321" s="58" t="str">
        <f>IF(ISNUMBER(MATCH(N321,Catalog!$B$4:$B$16, 0)), "Keep", "For Sale")</f>
        <v>For Sale</v>
      </c>
      <c r="W321" s="58">
        <f t="shared" si="31"/>
        <v>2</v>
      </c>
      <c r="X321" s="58">
        <f t="shared" si="32"/>
        <v>3</v>
      </c>
      <c r="Y321" s="60">
        <f t="shared" si="33"/>
        <v>2</v>
      </c>
      <c r="Z321" s="60">
        <f t="shared" si="34"/>
        <v>1.5</v>
      </c>
      <c r="AE321"/>
      <c r="AF321"/>
      <c r="AG321"/>
    </row>
    <row r="322" spans="1:33" ht="14.4" x14ac:dyDescent="0.3">
      <c r="A322" s="13">
        <v>3225874</v>
      </c>
      <c r="B322" s="13" t="s">
        <v>1237</v>
      </c>
      <c r="C322" s="13" t="s">
        <v>323</v>
      </c>
      <c r="D322" s="13">
        <v>186</v>
      </c>
      <c r="E322" s="13" t="s">
        <v>171</v>
      </c>
      <c r="F322" s="13" t="s">
        <v>172</v>
      </c>
      <c r="I322" s="13">
        <v>0</v>
      </c>
      <c r="J322" s="13">
        <v>1</v>
      </c>
      <c r="K322" s="14">
        <v>46173</v>
      </c>
      <c r="N322" s="13">
        <v>359</v>
      </c>
      <c r="P322" s="58" t="str">
        <f t="shared" ref="P322:P385" si="35">TRIM(LEFT(B322, MIN(IFERROR(FIND("[", B322), LEN(B322)+1), IFERROR(FIND("#", B322), LEN(B322)+1)) - 1))</f>
        <v>Shaquille O'Neal</v>
      </c>
      <c r="Q322" s="58" t="str">
        <f>IFERROR(_xlfn.TEXTAFTER(_xlfn.XLOOKUP(A322,Collection!A:A,Collection!C:C,),"Cards "),C322)</f>
        <v>1999 Topps NBA Tipoff</v>
      </c>
      <c r="R322" s="58" t="str">
        <f t="shared" ref="R322:R385" si="36">IFERROR(_xlfn.TEXTBEFORE(_xlfn.TEXTAFTER(B322, "["), "]"), "-")</f>
        <v>-</v>
      </c>
      <c r="S322" s="58" t="str">
        <f>IFERROR(_xlfn.TEXTAFTER(_xlfn.XLOOKUP(A322,Collection!A:A,Collection!B:B,),"#"),"")</f>
        <v>23</v>
      </c>
      <c r="T322" s="60">
        <f t="shared" ref="T322:T385" si="37">D322/100</f>
        <v>1.86</v>
      </c>
      <c r="U322" s="54" t="s">
        <v>1568</v>
      </c>
      <c r="V322" s="58" t="str">
        <f>IF(ISNUMBER(MATCH(N322,Catalog!$B$4:$B$16, 0)), "Keep", "For Sale")</f>
        <v>For Sale</v>
      </c>
      <c r="W322" s="58">
        <f t="shared" ref="W322:W385" si="38">COUNTIFS(V:V,"For Sale",A:A,A322)</f>
        <v>1</v>
      </c>
      <c r="X322" s="58">
        <f t="shared" ref="X322:X385" si="39">_xlfn.LET(
_xlpm.val,_xlfn.XLOOKUP(U322,AE:AE,AG:AG,)/100,
_xlpm.tier,IF(_xlpm.val&lt;1,5,IF(_xlpm.val&lt;2,4,IF(_xlpm.val&lt;5,3,IF(_xlpm.val&lt;10,2,1)))),
_xlpm.tier)</f>
        <v>3</v>
      </c>
      <c r="Y322" s="60">
        <f t="shared" ref="Y322:Y385" si="40">_xlfn.LET(
    _xlpm.price, (MAX(I322,D322,25)/100)*(1+$AC$3),
    _xlpm.rounder, IF(_xlpm.price &lt; 1.5, FLOOR(_xlpm.price, 0.25),
           IF(_xlpm.price &lt; 2.5, MROUND(_xlpm.price, 0.5),
               MROUND(_xlpm.price, 1))),
    MAX(0.25, _xlpm.rounder))</f>
        <v>2</v>
      </c>
      <c r="Z322" s="60">
        <f t="shared" ref="Z322:Z385" si="41">_xlfn.LET(
    _xlpm.price, IF(I322=0, IF(W322&gt;1,1-$AC$2,1)*(D322/100), MIN(IF(W322&gt;1,1-$AC$2,1)*(D322/100), IF(W322&gt;1,1-$AC$2,1)*(I322/100))),
    _xlpm.rounder, IF(_xlpm.price &lt; 1.5, FLOOR(_xlpm.price, 0.25),
           IF(_xlpm.price &lt; 2.5, MROUND(_xlpm.price, 0.5),
               MROUND(_xlpm.price, 1))),
    MAX(0.25, _xlpm.rounder))</f>
        <v>2</v>
      </c>
      <c r="AE322"/>
      <c r="AF322"/>
      <c r="AG322"/>
    </row>
    <row r="323" spans="1:33" ht="14.4" x14ac:dyDescent="0.3">
      <c r="A323" s="13">
        <v>87297</v>
      </c>
      <c r="B323" s="13" t="s">
        <v>211</v>
      </c>
      <c r="C323" s="13" t="s">
        <v>198</v>
      </c>
      <c r="D323" s="13">
        <v>185</v>
      </c>
      <c r="E323" s="13" t="s">
        <v>171</v>
      </c>
      <c r="F323" s="13" t="s">
        <v>172</v>
      </c>
      <c r="I323" s="13">
        <v>0</v>
      </c>
      <c r="J323" s="13">
        <v>1</v>
      </c>
      <c r="K323" s="14">
        <v>46149</v>
      </c>
      <c r="L323" s="14">
        <v>46149</v>
      </c>
      <c r="N323" s="13">
        <v>223</v>
      </c>
      <c r="P323" s="58" t="str">
        <f t="shared" si="35"/>
        <v>Shaquille O'Neal</v>
      </c>
      <c r="Q323" s="58" t="str">
        <f>IFERROR(_xlfn.TEXTAFTER(_xlfn.XLOOKUP(A323,Collection!A:A,Collection!C:C,),"Cards "),C323)</f>
        <v>1996 Ultra</v>
      </c>
      <c r="R323" s="58" t="str">
        <f t="shared" si="36"/>
        <v>-</v>
      </c>
      <c r="S323" s="58" t="str">
        <f>IFERROR(_xlfn.TEXTAFTER(_xlfn.XLOOKUP(A323,Collection!A:A,Collection!B:B,),"#"),"")</f>
        <v>55</v>
      </c>
      <c r="T323" s="60">
        <f t="shared" si="37"/>
        <v>1.85</v>
      </c>
      <c r="U323" s="54" t="s">
        <v>1568</v>
      </c>
      <c r="V323" s="58" t="str">
        <f>IF(ISNUMBER(MATCH(N323,Catalog!$B$4:$B$16, 0)), "Keep", "For Sale")</f>
        <v>For Sale</v>
      </c>
      <c r="W323" s="58">
        <f t="shared" si="38"/>
        <v>1</v>
      </c>
      <c r="X323" s="58">
        <f t="shared" si="39"/>
        <v>3</v>
      </c>
      <c r="Y323" s="60">
        <f t="shared" si="40"/>
        <v>2</v>
      </c>
      <c r="Z323" s="60">
        <f t="shared" si="41"/>
        <v>2</v>
      </c>
      <c r="AE323"/>
      <c r="AF323"/>
      <c r="AG323"/>
    </row>
    <row r="324" spans="1:33" ht="14.4" x14ac:dyDescent="0.3">
      <c r="A324" s="13">
        <v>89458</v>
      </c>
      <c r="B324" s="13" t="s">
        <v>450</v>
      </c>
      <c r="C324" s="13" t="s">
        <v>451</v>
      </c>
      <c r="D324" s="13">
        <v>175</v>
      </c>
      <c r="E324" s="13" t="s">
        <v>171</v>
      </c>
      <c r="F324" s="13" t="s">
        <v>172</v>
      </c>
      <c r="I324" s="13">
        <v>0</v>
      </c>
      <c r="J324" s="13">
        <v>1</v>
      </c>
      <c r="K324" s="14">
        <v>46149</v>
      </c>
      <c r="N324" s="13">
        <v>352</v>
      </c>
      <c r="P324" s="58" t="str">
        <f t="shared" si="35"/>
        <v>Shaquille O'Neal</v>
      </c>
      <c r="Q324" s="58" t="str">
        <f>IFERROR(_xlfn.TEXTAFTER(_xlfn.XLOOKUP(A324,Collection!A:A,Collection!C:C,),"Cards "),C324)</f>
        <v>1997 Skybox Premium</v>
      </c>
      <c r="R324" s="58" t="str">
        <f t="shared" si="36"/>
        <v>-</v>
      </c>
      <c r="S324" s="58" t="str">
        <f>IFERROR(_xlfn.TEXTAFTER(_xlfn.XLOOKUP(A324,Collection!A:A,Collection!B:B,),"#"),"")</f>
        <v>116</v>
      </c>
      <c r="T324" s="60">
        <f t="shared" si="37"/>
        <v>1.75</v>
      </c>
      <c r="U324" s="54" t="s">
        <v>1568</v>
      </c>
      <c r="V324" s="58" t="str">
        <f>IF(ISNUMBER(MATCH(N324,Catalog!$B$4:$B$16, 0)), "Keep", "For Sale")</f>
        <v>For Sale</v>
      </c>
      <c r="W324" s="58">
        <f t="shared" si="38"/>
        <v>1</v>
      </c>
      <c r="X324" s="58">
        <f t="shared" si="39"/>
        <v>3</v>
      </c>
      <c r="Y324" s="60">
        <f t="shared" si="40"/>
        <v>2</v>
      </c>
      <c r="Z324" s="60">
        <f t="shared" si="41"/>
        <v>2</v>
      </c>
      <c r="AE324"/>
      <c r="AF324"/>
      <c r="AG324"/>
    </row>
    <row r="325" spans="1:33" ht="14.4" x14ac:dyDescent="0.3">
      <c r="A325" s="13">
        <v>4683555</v>
      </c>
      <c r="B325" s="13" t="s">
        <v>1286</v>
      </c>
      <c r="C325" s="13" t="s">
        <v>279</v>
      </c>
      <c r="D325" s="13">
        <v>174</v>
      </c>
      <c r="E325" s="13" t="s">
        <v>171</v>
      </c>
      <c r="F325" s="13" t="s">
        <v>172</v>
      </c>
      <c r="I325" s="13">
        <v>0</v>
      </c>
      <c r="J325" s="13">
        <v>1</v>
      </c>
      <c r="K325" s="14">
        <v>46183</v>
      </c>
      <c r="N325" s="13">
        <v>399</v>
      </c>
      <c r="P325" s="58" t="str">
        <f t="shared" si="35"/>
        <v>Shaquille O'Neal</v>
      </c>
      <c r="Q325" s="58" t="str">
        <f>IFERROR(_xlfn.TEXTAFTER(_xlfn.XLOOKUP(A325,Collection!A:A,Collection!C:C,),"Cards "),C325)</f>
        <v>1997 Upper Deck</v>
      </c>
      <c r="R325" s="58" t="str">
        <f t="shared" si="36"/>
        <v>-</v>
      </c>
      <c r="S325" s="58" t="str">
        <f>IFERROR(_xlfn.TEXTAFTER(_xlfn.XLOOKUP(A325,Collection!A:A,Collection!B:B,),"#"),"")</f>
        <v>320</v>
      </c>
      <c r="T325" s="60">
        <f t="shared" si="37"/>
        <v>1.74</v>
      </c>
      <c r="U325" s="54" t="s">
        <v>1568</v>
      </c>
      <c r="V325" s="58" t="str">
        <f>IF(ISNUMBER(MATCH(N325,Catalog!$B$4:$B$16, 0)), "Keep", "For Sale")</f>
        <v>For Sale</v>
      </c>
      <c r="W325" s="58">
        <f t="shared" si="38"/>
        <v>3</v>
      </c>
      <c r="X325" s="58">
        <f t="shared" si="39"/>
        <v>3</v>
      </c>
      <c r="Y325" s="60">
        <f t="shared" si="40"/>
        <v>2</v>
      </c>
      <c r="Z325" s="60">
        <f t="shared" si="41"/>
        <v>1.25</v>
      </c>
      <c r="AE325"/>
      <c r="AF325"/>
      <c r="AG325"/>
    </row>
    <row r="326" spans="1:33" ht="14.4" x14ac:dyDescent="0.3">
      <c r="A326" s="13">
        <v>4683555</v>
      </c>
      <c r="B326" s="13" t="s">
        <v>1286</v>
      </c>
      <c r="C326" s="13" t="s">
        <v>279</v>
      </c>
      <c r="D326" s="13">
        <v>174</v>
      </c>
      <c r="E326" s="13" t="s">
        <v>171</v>
      </c>
      <c r="F326" s="13" t="s">
        <v>172</v>
      </c>
      <c r="I326" s="13">
        <v>0</v>
      </c>
      <c r="J326" s="13">
        <v>1</v>
      </c>
      <c r="K326" s="14">
        <v>46183</v>
      </c>
      <c r="N326" s="13">
        <v>400</v>
      </c>
      <c r="P326" s="58" t="str">
        <f t="shared" si="35"/>
        <v>Shaquille O'Neal</v>
      </c>
      <c r="Q326" s="58" t="str">
        <f>IFERROR(_xlfn.TEXTAFTER(_xlfn.XLOOKUP(A326,Collection!A:A,Collection!C:C,),"Cards "),C326)</f>
        <v>1997 Upper Deck</v>
      </c>
      <c r="R326" s="58" t="str">
        <f t="shared" si="36"/>
        <v>-</v>
      </c>
      <c r="S326" s="58" t="str">
        <f>IFERROR(_xlfn.TEXTAFTER(_xlfn.XLOOKUP(A326,Collection!A:A,Collection!B:B,),"#"),"")</f>
        <v>320</v>
      </c>
      <c r="T326" s="60">
        <f t="shared" si="37"/>
        <v>1.74</v>
      </c>
      <c r="U326" s="54" t="s">
        <v>1568</v>
      </c>
      <c r="V326" s="58" t="str">
        <f>IF(ISNUMBER(MATCH(N326,Catalog!$B$4:$B$16, 0)), "Keep", "For Sale")</f>
        <v>For Sale</v>
      </c>
      <c r="W326" s="58">
        <f t="shared" si="38"/>
        <v>3</v>
      </c>
      <c r="X326" s="58">
        <f t="shared" si="39"/>
        <v>3</v>
      </c>
      <c r="Y326" s="60">
        <f t="shared" si="40"/>
        <v>2</v>
      </c>
      <c r="Z326" s="60">
        <f t="shared" si="41"/>
        <v>1.25</v>
      </c>
      <c r="AE326"/>
      <c r="AF326"/>
      <c r="AG326"/>
    </row>
    <row r="327" spans="1:33" ht="14.4" x14ac:dyDescent="0.3">
      <c r="A327" s="13">
        <v>4683555</v>
      </c>
      <c r="B327" s="13" t="s">
        <v>1286</v>
      </c>
      <c r="C327" s="13" t="s">
        <v>279</v>
      </c>
      <c r="D327" s="13">
        <v>174</v>
      </c>
      <c r="E327" s="13" t="s">
        <v>171</v>
      </c>
      <c r="F327" s="13" t="s">
        <v>172</v>
      </c>
      <c r="I327" s="13">
        <v>0</v>
      </c>
      <c r="J327" s="13">
        <v>1</v>
      </c>
      <c r="K327" s="14">
        <v>46173</v>
      </c>
      <c r="N327" s="13">
        <v>401</v>
      </c>
      <c r="P327" s="58" t="str">
        <f t="shared" si="35"/>
        <v>Shaquille O'Neal</v>
      </c>
      <c r="Q327" s="58" t="str">
        <f>IFERROR(_xlfn.TEXTAFTER(_xlfn.XLOOKUP(A327,Collection!A:A,Collection!C:C,),"Cards "),C327)</f>
        <v>1997 Upper Deck</v>
      </c>
      <c r="R327" s="58" t="str">
        <f t="shared" si="36"/>
        <v>-</v>
      </c>
      <c r="S327" s="58" t="str">
        <f>IFERROR(_xlfn.TEXTAFTER(_xlfn.XLOOKUP(A327,Collection!A:A,Collection!B:B,),"#"),"")</f>
        <v>320</v>
      </c>
      <c r="T327" s="60">
        <f t="shared" si="37"/>
        <v>1.74</v>
      </c>
      <c r="U327" s="54" t="s">
        <v>1568</v>
      </c>
      <c r="V327" s="58" t="str">
        <f>IF(ISNUMBER(MATCH(N327,Catalog!$B$4:$B$16, 0)), "Keep", "For Sale")</f>
        <v>For Sale</v>
      </c>
      <c r="W327" s="58">
        <f t="shared" si="38"/>
        <v>3</v>
      </c>
      <c r="X327" s="58">
        <f t="shared" si="39"/>
        <v>3</v>
      </c>
      <c r="Y327" s="60">
        <f t="shared" si="40"/>
        <v>2</v>
      </c>
      <c r="Z327" s="60">
        <f t="shared" si="41"/>
        <v>1.25</v>
      </c>
      <c r="AE327"/>
      <c r="AF327"/>
      <c r="AG327"/>
    </row>
    <row r="328" spans="1:33" ht="14.4" x14ac:dyDescent="0.3">
      <c r="A328" s="13">
        <v>82478</v>
      </c>
      <c r="B328" s="13" t="s">
        <v>224</v>
      </c>
      <c r="C328" s="13" t="s">
        <v>225</v>
      </c>
      <c r="D328" s="13">
        <v>171</v>
      </c>
      <c r="E328" s="13" t="s">
        <v>171</v>
      </c>
      <c r="F328" s="13" t="s">
        <v>172</v>
      </c>
      <c r="I328" s="13">
        <v>0</v>
      </c>
      <c r="J328" s="13">
        <v>1</v>
      </c>
      <c r="K328" s="14">
        <v>46149</v>
      </c>
      <c r="N328" s="13">
        <v>248</v>
      </c>
      <c r="P328" s="58" t="str">
        <f t="shared" si="35"/>
        <v>Shaquille O'Neal</v>
      </c>
      <c r="Q328" s="58" t="str">
        <f>IFERROR(_xlfn.TEXTAFTER(_xlfn.XLOOKUP(A328,Collection!A:A,Collection!C:C,),"Cards "),C328)</f>
        <v>1994 Upper Deck</v>
      </c>
      <c r="R328" s="58" t="str">
        <f t="shared" si="36"/>
        <v>-</v>
      </c>
      <c r="S328" s="58" t="str">
        <f>IFERROR(_xlfn.TEXTAFTER(_xlfn.XLOOKUP(A328,Collection!A:A,Collection!B:B,),"#"),"")</f>
        <v>100</v>
      </c>
      <c r="T328" s="60">
        <f t="shared" si="37"/>
        <v>1.71</v>
      </c>
      <c r="U328" s="54" t="s">
        <v>1568</v>
      </c>
      <c r="V328" s="58" t="str">
        <f>IF(ISNUMBER(MATCH(N328,Catalog!$B$4:$B$16, 0)), "Keep", "For Sale")</f>
        <v>For Sale</v>
      </c>
      <c r="W328" s="58">
        <f t="shared" si="38"/>
        <v>1</v>
      </c>
      <c r="X328" s="58">
        <f t="shared" si="39"/>
        <v>3</v>
      </c>
      <c r="Y328" s="60">
        <f t="shared" si="40"/>
        <v>2</v>
      </c>
      <c r="Z328" s="60">
        <f t="shared" si="41"/>
        <v>1.5</v>
      </c>
      <c r="AE328"/>
      <c r="AF328"/>
      <c r="AG328"/>
    </row>
    <row r="329" spans="1:33" ht="14.4" x14ac:dyDescent="0.3">
      <c r="A329" s="13">
        <v>85734</v>
      </c>
      <c r="B329" s="13" t="s">
        <v>1218</v>
      </c>
      <c r="C329" s="13" t="s">
        <v>195</v>
      </c>
      <c r="D329" s="13">
        <v>169</v>
      </c>
      <c r="E329" s="13" t="s">
        <v>171</v>
      </c>
      <c r="F329" s="13" t="s">
        <v>172</v>
      </c>
      <c r="I329" s="13">
        <v>0</v>
      </c>
      <c r="J329" s="13">
        <v>1</v>
      </c>
      <c r="K329" s="14">
        <v>46173</v>
      </c>
      <c r="N329" s="13">
        <v>319</v>
      </c>
      <c r="P329" s="58" t="str">
        <f t="shared" si="35"/>
        <v>Shaquille O'neal</v>
      </c>
      <c r="Q329" s="58" t="str">
        <f>IFERROR(_xlfn.TEXTAFTER(_xlfn.XLOOKUP(A329,Collection!A:A,Collection!C:C,),"Cards "),C329)</f>
        <v>1996 Skybox Premium</v>
      </c>
      <c r="R329" s="58" t="str">
        <f t="shared" si="36"/>
        <v>-</v>
      </c>
      <c r="S329" s="58" t="str">
        <f>IFERROR(_xlfn.TEXTAFTER(_xlfn.XLOOKUP(A329,Collection!A:A,Collection!B:B,),"#"),"")</f>
        <v>274</v>
      </c>
      <c r="T329" s="60">
        <f t="shared" si="37"/>
        <v>1.69</v>
      </c>
      <c r="U329" s="54" t="s">
        <v>1609</v>
      </c>
      <c r="V329" s="58" t="str">
        <f>IF(ISNUMBER(MATCH(N329,Catalog!$B$4:$B$16, 0)), "Keep", "For Sale")</f>
        <v>For Sale</v>
      </c>
      <c r="W329" s="58">
        <f t="shared" si="38"/>
        <v>1</v>
      </c>
      <c r="X329" s="58">
        <f t="shared" si="39"/>
        <v>3</v>
      </c>
      <c r="Y329" s="60">
        <f t="shared" si="40"/>
        <v>2</v>
      </c>
      <c r="Z329" s="60">
        <f t="shared" si="41"/>
        <v>1.5</v>
      </c>
      <c r="AE329"/>
      <c r="AF329"/>
      <c r="AG329"/>
    </row>
    <row r="330" spans="1:33" ht="14.4" x14ac:dyDescent="0.3">
      <c r="A330" s="13">
        <v>87383</v>
      </c>
      <c r="B330" s="13" t="s">
        <v>187</v>
      </c>
      <c r="C330" s="13" t="s">
        <v>174</v>
      </c>
      <c r="D330" s="13">
        <v>167</v>
      </c>
      <c r="E330" s="13" t="s">
        <v>171</v>
      </c>
      <c r="F330" s="13" t="s">
        <v>172</v>
      </c>
      <c r="I330" s="13">
        <v>0</v>
      </c>
      <c r="J330" s="13">
        <v>1</v>
      </c>
      <c r="K330" s="14">
        <v>46149</v>
      </c>
      <c r="L330" s="14">
        <v>46149</v>
      </c>
      <c r="N330" s="13">
        <v>284</v>
      </c>
      <c r="P330" s="58" t="str">
        <f t="shared" si="35"/>
        <v>Shaquille O'Neal</v>
      </c>
      <c r="Q330" s="58" t="str">
        <f>IFERROR(_xlfn.TEXTAFTER(_xlfn.XLOOKUP(A330,Collection!A:A,Collection!C:C,),"Cards "),C330)</f>
        <v>1996 Upper Deck</v>
      </c>
      <c r="R330" s="58" t="str">
        <f t="shared" si="36"/>
        <v>-</v>
      </c>
      <c r="S330" s="58" t="str">
        <f>IFERROR(_xlfn.TEXTAFTER(_xlfn.XLOOKUP(A330,Collection!A:A,Collection!B:B,),"#"),"")</f>
        <v>61</v>
      </c>
      <c r="T330" s="60">
        <f t="shared" si="37"/>
        <v>1.67</v>
      </c>
      <c r="U330" s="54" t="s">
        <v>1568</v>
      </c>
      <c r="V330" s="58" t="str">
        <f>IF(ISNUMBER(MATCH(N330,Catalog!$B$4:$B$16, 0)), "Keep", "For Sale")</f>
        <v>For Sale</v>
      </c>
      <c r="W330" s="58">
        <f t="shared" si="38"/>
        <v>5</v>
      </c>
      <c r="X330" s="58">
        <f t="shared" si="39"/>
        <v>3</v>
      </c>
      <c r="Y330" s="60">
        <f t="shared" si="40"/>
        <v>2</v>
      </c>
      <c r="Z330" s="60">
        <f t="shared" si="41"/>
        <v>1.25</v>
      </c>
      <c r="AE330"/>
      <c r="AF330"/>
      <c r="AG330"/>
    </row>
    <row r="331" spans="1:33" ht="14.4" x14ac:dyDescent="0.3">
      <c r="A331" s="13">
        <v>87383</v>
      </c>
      <c r="B331" s="13" t="s">
        <v>187</v>
      </c>
      <c r="C331" s="13" t="s">
        <v>174</v>
      </c>
      <c r="D331" s="13">
        <v>167</v>
      </c>
      <c r="E331" s="13" t="s">
        <v>171</v>
      </c>
      <c r="F331" s="13" t="s">
        <v>172</v>
      </c>
      <c r="I331" s="13">
        <v>0</v>
      </c>
      <c r="J331" s="13">
        <v>1</v>
      </c>
      <c r="K331" s="14">
        <v>46183</v>
      </c>
      <c r="N331" s="13">
        <v>285</v>
      </c>
      <c r="P331" s="58" t="str">
        <f t="shared" si="35"/>
        <v>Shaquille O'Neal</v>
      </c>
      <c r="Q331" s="58" t="str">
        <f>IFERROR(_xlfn.TEXTAFTER(_xlfn.XLOOKUP(A331,Collection!A:A,Collection!C:C,),"Cards "),C331)</f>
        <v>1996 Upper Deck</v>
      </c>
      <c r="R331" s="58" t="str">
        <f t="shared" si="36"/>
        <v>-</v>
      </c>
      <c r="S331" s="58" t="str">
        <f>IFERROR(_xlfn.TEXTAFTER(_xlfn.XLOOKUP(A331,Collection!A:A,Collection!B:B,),"#"),"")</f>
        <v>61</v>
      </c>
      <c r="T331" s="60">
        <f t="shared" si="37"/>
        <v>1.67</v>
      </c>
      <c r="U331" s="54" t="s">
        <v>1568</v>
      </c>
      <c r="V331" s="58" t="str">
        <f>IF(ISNUMBER(MATCH(N331,Catalog!$B$4:$B$16, 0)), "Keep", "For Sale")</f>
        <v>For Sale</v>
      </c>
      <c r="W331" s="58">
        <f t="shared" si="38"/>
        <v>5</v>
      </c>
      <c r="X331" s="58">
        <f t="shared" si="39"/>
        <v>3</v>
      </c>
      <c r="Y331" s="60">
        <f t="shared" si="40"/>
        <v>2</v>
      </c>
      <c r="Z331" s="60">
        <f t="shared" si="41"/>
        <v>1.25</v>
      </c>
      <c r="AE331"/>
      <c r="AF331"/>
      <c r="AG331"/>
    </row>
    <row r="332" spans="1:33" ht="14.4" x14ac:dyDescent="0.3">
      <c r="A332" s="13">
        <v>87383</v>
      </c>
      <c r="B332" s="13" t="s">
        <v>187</v>
      </c>
      <c r="C332" s="13" t="s">
        <v>174</v>
      </c>
      <c r="D332" s="13">
        <v>167</v>
      </c>
      <c r="E332" s="13" t="s">
        <v>171</v>
      </c>
      <c r="F332" s="13" t="s">
        <v>172</v>
      </c>
      <c r="I332" s="13">
        <v>0</v>
      </c>
      <c r="J332" s="13">
        <v>1</v>
      </c>
      <c r="K332" s="14">
        <v>46183</v>
      </c>
      <c r="N332" s="13">
        <v>286</v>
      </c>
      <c r="P332" s="58" t="str">
        <f t="shared" si="35"/>
        <v>Shaquille O'Neal</v>
      </c>
      <c r="Q332" s="58" t="str">
        <f>IFERROR(_xlfn.TEXTAFTER(_xlfn.XLOOKUP(A332,Collection!A:A,Collection!C:C,),"Cards "),C332)</f>
        <v>1996 Upper Deck</v>
      </c>
      <c r="R332" s="58" t="str">
        <f t="shared" si="36"/>
        <v>-</v>
      </c>
      <c r="S332" s="58" t="str">
        <f>IFERROR(_xlfn.TEXTAFTER(_xlfn.XLOOKUP(A332,Collection!A:A,Collection!B:B,),"#"),"")</f>
        <v>61</v>
      </c>
      <c r="T332" s="60">
        <f t="shared" si="37"/>
        <v>1.67</v>
      </c>
      <c r="U332" s="54" t="s">
        <v>1568</v>
      </c>
      <c r="V332" s="58" t="str">
        <f>IF(ISNUMBER(MATCH(N332,Catalog!$B$4:$B$16, 0)), "Keep", "For Sale")</f>
        <v>For Sale</v>
      </c>
      <c r="W332" s="58">
        <f t="shared" si="38"/>
        <v>5</v>
      </c>
      <c r="X332" s="58">
        <f t="shared" si="39"/>
        <v>3</v>
      </c>
      <c r="Y332" s="60">
        <f t="shared" si="40"/>
        <v>2</v>
      </c>
      <c r="Z332" s="60">
        <f t="shared" si="41"/>
        <v>1.25</v>
      </c>
      <c r="AE332"/>
      <c r="AF332"/>
      <c r="AG332"/>
    </row>
    <row r="333" spans="1:33" ht="14.4" x14ac:dyDescent="0.3">
      <c r="A333" s="13">
        <v>87383</v>
      </c>
      <c r="B333" s="13" t="s">
        <v>187</v>
      </c>
      <c r="C333" s="13" t="s">
        <v>174</v>
      </c>
      <c r="D333" s="13">
        <v>167</v>
      </c>
      <c r="E333" s="13" t="s">
        <v>171</v>
      </c>
      <c r="F333" s="13" t="s">
        <v>172</v>
      </c>
      <c r="I333" s="13">
        <v>0</v>
      </c>
      <c r="J333" s="13">
        <v>1</v>
      </c>
      <c r="K333" s="14">
        <v>46183</v>
      </c>
      <c r="N333" s="13">
        <v>292</v>
      </c>
      <c r="P333" s="58" t="str">
        <f t="shared" si="35"/>
        <v>Shaquille O'Neal</v>
      </c>
      <c r="Q333" s="58" t="str">
        <f>IFERROR(_xlfn.TEXTAFTER(_xlfn.XLOOKUP(A333,Collection!A:A,Collection!C:C,),"Cards "),C333)</f>
        <v>1996 Upper Deck</v>
      </c>
      <c r="R333" s="58" t="str">
        <f t="shared" si="36"/>
        <v>-</v>
      </c>
      <c r="S333" s="58" t="str">
        <f>IFERROR(_xlfn.TEXTAFTER(_xlfn.XLOOKUP(A333,Collection!A:A,Collection!B:B,),"#"),"")</f>
        <v>61</v>
      </c>
      <c r="T333" s="60">
        <f t="shared" si="37"/>
        <v>1.67</v>
      </c>
      <c r="U333" s="54" t="s">
        <v>1568</v>
      </c>
      <c r="V333" s="58" t="str">
        <f>IF(ISNUMBER(MATCH(N333,Catalog!$B$4:$B$16, 0)), "Keep", "For Sale")</f>
        <v>For Sale</v>
      </c>
      <c r="W333" s="58">
        <f t="shared" si="38"/>
        <v>5</v>
      </c>
      <c r="X333" s="58">
        <f t="shared" si="39"/>
        <v>3</v>
      </c>
      <c r="Y333" s="60">
        <f t="shared" si="40"/>
        <v>2</v>
      </c>
      <c r="Z333" s="60">
        <f t="shared" si="41"/>
        <v>1.25</v>
      </c>
      <c r="AE333"/>
      <c r="AF333"/>
      <c r="AG333"/>
    </row>
    <row r="334" spans="1:33" ht="14.4" x14ac:dyDescent="0.3">
      <c r="A334" s="13">
        <v>93764</v>
      </c>
      <c r="B334" s="13" t="s">
        <v>375</v>
      </c>
      <c r="C334" s="13" t="s">
        <v>376</v>
      </c>
      <c r="D334" s="13">
        <v>164</v>
      </c>
      <c r="E334" s="13" t="s">
        <v>171</v>
      </c>
      <c r="F334" s="13" t="s">
        <v>172</v>
      </c>
      <c r="I334" s="13">
        <v>0</v>
      </c>
      <c r="J334" s="13">
        <v>1</v>
      </c>
      <c r="K334" s="14">
        <v>46149</v>
      </c>
      <c r="L334" s="14">
        <v>46149</v>
      </c>
      <c r="N334" s="13">
        <v>349</v>
      </c>
      <c r="P334" s="58" t="str">
        <f t="shared" si="35"/>
        <v>Shaquille O'Neal</v>
      </c>
      <c r="Q334" s="58" t="str">
        <f>IFERROR(_xlfn.TEXTAFTER(_xlfn.XLOOKUP(A334,Collection!A:A,Collection!C:C,),"Cards "),C334)</f>
        <v>1998 Ultra</v>
      </c>
      <c r="R334" s="58" t="str">
        <f t="shared" si="36"/>
        <v>-</v>
      </c>
      <c r="S334" s="58" t="str">
        <f>IFERROR(_xlfn.TEXTAFTER(_xlfn.XLOOKUP(A334,Collection!A:A,Collection!B:B,),"#"),"")</f>
        <v>93</v>
      </c>
      <c r="T334" s="60">
        <f t="shared" si="37"/>
        <v>1.64</v>
      </c>
      <c r="U334" s="54" t="s">
        <v>1568</v>
      </c>
      <c r="V334" s="58" t="str">
        <f>IF(ISNUMBER(MATCH(N334,Catalog!$B$4:$B$16, 0)), "Keep", "For Sale")</f>
        <v>For Sale</v>
      </c>
      <c r="W334" s="58">
        <f t="shared" si="38"/>
        <v>1</v>
      </c>
      <c r="X334" s="58">
        <f t="shared" si="39"/>
        <v>3</v>
      </c>
      <c r="Y334" s="60">
        <f t="shared" si="40"/>
        <v>2</v>
      </c>
      <c r="Z334" s="60">
        <f t="shared" si="41"/>
        <v>1.5</v>
      </c>
      <c r="AE334"/>
      <c r="AF334"/>
      <c r="AG334"/>
    </row>
    <row r="335" spans="1:33" ht="14.4" x14ac:dyDescent="0.3">
      <c r="A335" s="13">
        <v>80566</v>
      </c>
      <c r="B335" s="13" t="s">
        <v>224</v>
      </c>
      <c r="C335" s="13" t="s">
        <v>350</v>
      </c>
      <c r="D335" s="13">
        <v>157</v>
      </c>
      <c r="E335" s="13" t="s">
        <v>171</v>
      </c>
      <c r="F335" s="13" t="s">
        <v>172</v>
      </c>
      <c r="I335" s="13">
        <v>0</v>
      </c>
      <c r="J335" s="13">
        <v>1</v>
      </c>
      <c r="K335" s="14">
        <v>46149</v>
      </c>
      <c r="L335" s="14">
        <v>46149</v>
      </c>
      <c r="N335" s="13">
        <v>448</v>
      </c>
      <c r="P335" s="58" t="str">
        <f t="shared" si="35"/>
        <v>Shaquille O'Neal</v>
      </c>
      <c r="Q335" s="58" t="str">
        <f>IFERROR(_xlfn.TEXTAFTER(_xlfn.XLOOKUP(A335,Collection!A:A,Collection!C:C,),"Cards "),C335)</f>
        <v>1993 Stadium Club</v>
      </c>
      <c r="R335" s="58" t="str">
        <f t="shared" si="36"/>
        <v>-</v>
      </c>
      <c r="S335" s="58" t="str">
        <f>IFERROR(_xlfn.TEXTAFTER(_xlfn.XLOOKUP(A335,Collection!A:A,Collection!B:B,),"#"),"")</f>
        <v>100</v>
      </c>
      <c r="T335" s="60">
        <f t="shared" si="37"/>
        <v>1.57</v>
      </c>
      <c r="U335" s="54" t="s">
        <v>1568</v>
      </c>
      <c r="V335" s="58" t="str">
        <f>IF(ISNUMBER(MATCH(N335,Catalog!$B$4:$B$16, 0)), "Keep", "For Sale")</f>
        <v>For Sale</v>
      </c>
      <c r="W335" s="58">
        <f t="shared" si="38"/>
        <v>1</v>
      </c>
      <c r="X335" s="58">
        <f t="shared" si="39"/>
        <v>3</v>
      </c>
      <c r="Y335" s="60">
        <f t="shared" si="40"/>
        <v>2</v>
      </c>
      <c r="Z335" s="60">
        <f t="shared" si="41"/>
        <v>1.5</v>
      </c>
      <c r="AE335"/>
      <c r="AF335"/>
      <c r="AG335"/>
    </row>
    <row r="336" spans="1:33" ht="14.4" x14ac:dyDescent="0.3">
      <c r="A336" s="13">
        <v>79500</v>
      </c>
      <c r="B336" s="13" t="s">
        <v>221</v>
      </c>
      <c r="C336" s="13" t="s">
        <v>222</v>
      </c>
      <c r="D336" s="13">
        <v>149</v>
      </c>
      <c r="E336" s="13" t="s">
        <v>171</v>
      </c>
      <c r="F336" s="13" t="s">
        <v>172</v>
      </c>
      <c r="I336" s="13">
        <v>0</v>
      </c>
      <c r="J336" s="13">
        <v>1</v>
      </c>
      <c r="K336" s="14">
        <v>46129</v>
      </c>
      <c r="N336" s="13">
        <v>296</v>
      </c>
      <c r="P336" s="58" t="str">
        <f t="shared" si="35"/>
        <v>Shaquille O'Neal</v>
      </c>
      <c r="Q336" s="58" t="str">
        <f>IFERROR(_xlfn.TEXTAFTER(_xlfn.XLOOKUP(A336,Collection!A:A,Collection!C:C,),"Cards "),C336)</f>
        <v>1992 Upper Deck</v>
      </c>
      <c r="R336" s="58" t="str">
        <f t="shared" si="36"/>
        <v>-</v>
      </c>
      <c r="S336" s="58" t="str">
        <f>IFERROR(_xlfn.TEXTAFTER(_xlfn.XLOOKUP(A336,Collection!A:A,Collection!B:B,),"#"),"")</f>
        <v>474</v>
      </c>
      <c r="T336" s="60">
        <f t="shared" si="37"/>
        <v>1.49</v>
      </c>
      <c r="U336" s="54" t="s">
        <v>1568</v>
      </c>
      <c r="V336" s="58" t="str">
        <f>IF(ISNUMBER(MATCH(N336,Catalog!$B$4:$B$16, 0)), "Keep", "For Sale")</f>
        <v>For Sale</v>
      </c>
      <c r="W336" s="58">
        <f t="shared" si="38"/>
        <v>1</v>
      </c>
      <c r="X336" s="58">
        <f t="shared" si="39"/>
        <v>3</v>
      </c>
      <c r="Y336" s="60">
        <f t="shared" si="40"/>
        <v>2</v>
      </c>
      <c r="Z336" s="60">
        <f t="shared" si="41"/>
        <v>1.25</v>
      </c>
      <c r="AE336"/>
      <c r="AF336"/>
      <c r="AG336"/>
    </row>
    <row r="337" spans="1:33" ht="14.4" x14ac:dyDescent="0.3">
      <c r="A337" s="13">
        <v>85394</v>
      </c>
      <c r="B337" s="13" t="s">
        <v>1197</v>
      </c>
      <c r="C337" s="13" t="s">
        <v>216</v>
      </c>
      <c r="D337" s="13">
        <v>149</v>
      </c>
      <c r="E337" s="13" t="s">
        <v>171</v>
      </c>
      <c r="F337" s="13" t="s">
        <v>172</v>
      </c>
      <c r="I337" s="13">
        <v>0</v>
      </c>
      <c r="J337" s="13">
        <v>1</v>
      </c>
      <c r="K337" s="14">
        <v>46173</v>
      </c>
      <c r="N337" s="13">
        <v>440</v>
      </c>
      <c r="P337" s="58" t="str">
        <f t="shared" si="35"/>
        <v>Shaquille O'Neal</v>
      </c>
      <c r="Q337" s="58" t="str">
        <f>IFERROR(_xlfn.TEXTAFTER(_xlfn.XLOOKUP(A337,Collection!A:A,Collection!C:C,),"Cards "),C337)</f>
        <v>1996 Fleer Metal</v>
      </c>
      <c r="R337" s="58" t="str">
        <f t="shared" si="36"/>
        <v>-</v>
      </c>
      <c r="S337" s="58" t="str">
        <f>IFERROR(_xlfn.TEXTAFTER(_xlfn.XLOOKUP(A337,Collection!A:A,Collection!B:B,),"#"),"")</f>
        <v>119</v>
      </c>
      <c r="T337" s="60">
        <f t="shared" si="37"/>
        <v>1.49</v>
      </c>
      <c r="U337" s="54" t="s">
        <v>1568</v>
      </c>
      <c r="V337" s="58" t="str">
        <f>IF(ISNUMBER(MATCH(N337,Catalog!$B$4:$B$16, 0)), "Keep", "For Sale")</f>
        <v>For Sale</v>
      </c>
      <c r="W337" s="58">
        <f t="shared" si="38"/>
        <v>4</v>
      </c>
      <c r="X337" s="58">
        <f t="shared" si="39"/>
        <v>3</v>
      </c>
      <c r="Y337" s="60">
        <f t="shared" si="40"/>
        <v>2</v>
      </c>
      <c r="Z337" s="60">
        <f t="shared" si="41"/>
        <v>1.25</v>
      </c>
      <c r="AE337"/>
      <c r="AF337"/>
      <c r="AG337"/>
    </row>
    <row r="338" spans="1:33" ht="14.4" x14ac:dyDescent="0.3">
      <c r="A338" s="13">
        <v>85394</v>
      </c>
      <c r="B338" s="13" t="s">
        <v>1197</v>
      </c>
      <c r="C338" s="13" t="s">
        <v>216</v>
      </c>
      <c r="D338" s="13">
        <v>149</v>
      </c>
      <c r="E338" s="13" t="s">
        <v>171</v>
      </c>
      <c r="F338" s="13" t="s">
        <v>172</v>
      </c>
      <c r="I338" s="13">
        <v>0</v>
      </c>
      <c r="J338" s="13">
        <v>1</v>
      </c>
      <c r="K338" s="14">
        <v>46183</v>
      </c>
      <c r="N338" s="13">
        <v>441</v>
      </c>
      <c r="P338" s="58" t="str">
        <f t="shared" si="35"/>
        <v>Shaquille O'Neal</v>
      </c>
      <c r="Q338" s="58" t="str">
        <f>IFERROR(_xlfn.TEXTAFTER(_xlfn.XLOOKUP(A338,Collection!A:A,Collection!C:C,),"Cards "),C338)</f>
        <v>1996 Fleer Metal</v>
      </c>
      <c r="R338" s="58" t="str">
        <f t="shared" si="36"/>
        <v>-</v>
      </c>
      <c r="S338" s="58" t="str">
        <f>IFERROR(_xlfn.TEXTAFTER(_xlfn.XLOOKUP(A338,Collection!A:A,Collection!B:B,),"#"),"")</f>
        <v>119</v>
      </c>
      <c r="T338" s="60">
        <f t="shared" si="37"/>
        <v>1.49</v>
      </c>
      <c r="U338" s="54" t="s">
        <v>1568</v>
      </c>
      <c r="V338" s="58" t="str">
        <f>IF(ISNUMBER(MATCH(N338,Catalog!$B$4:$B$16, 0)), "Keep", "For Sale")</f>
        <v>For Sale</v>
      </c>
      <c r="W338" s="58">
        <f t="shared" si="38"/>
        <v>4</v>
      </c>
      <c r="X338" s="58">
        <f t="shared" si="39"/>
        <v>3</v>
      </c>
      <c r="Y338" s="60">
        <f t="shared" si="40"/>
        <v>2</v>
      </c>
      <c r="Z338" s="60">
        <f t="shared" si="41"/>
        <v>1.25</v>
      </c>
      <c r="AE338"/>
      <c r="AF338"/>
      <c r="AG338"/>
    </row>
    <row r="339" spans="1:33" ht="14.4" x14ac:dyDescent="0.3">
      <c r="A339" s="13">
        <v>85394</v>
      </c>
      <c r="B339" s="13" t="s">
        <v>1197</v>
      </c>
      <c r="C339" s="13" t="s">
        <v>216</v>
      </c>
      <c r="D339" s="13">
        <v>149</v>
      </c>
      <c r="E339" s="13" t="s">
        <v>171</v>
      </c>
      <c r="F339" s="13" t="s">
        <v>172</v>
      </c>
      <c r="I339" s="13">
        <v>0</v>
      </c>
      <c r="J339" s="13">
        <v>1</v>
      </c>
      <c r="K339" s="14">
        <v>46183</v>
      </c>
      <c r="N339" s="13">
        <v>442</v>
      </c>
      <c r="P339" s="58" t="str">
        <f t="shared" si="35"/>
        <v>Shaquille O'Neal</v>
      </c>
      <c r="Q339" s="58" t="str">
        <f>IFERROR(_xlfn.TEXTAFTER(_xlfn.XLOOKUP(A339,Collection!A:A,Collection!C:C,),"Cards "),C339)</f>
        <v>1996 Fleer Metal</v>
      </c>
      <c r="R339" s="58" t="str">
        <f t="shared" si="36"/>
        <v>-</v>
      </c>
      <c r="S339" s="58" t="str">
        <f>IFERROR(_xlfn.TEXTAFTER(_xlfn.XLOOKUP(A339,Collection!A:A,Collection!B:B,),"#"),"")</f>
        <v>119</v>
      </c>
      <c r="T339" s="60">
        <f t="shared" si="37"/>
        <v>1.49</v>
      </c>
      <c r="U339" s="54" t="s">
        <v>1568</v>
      </c>
      <c r="V339" s="58" t="str">
        <f>IF(ISNUMBER(MATCH(N339,Catalog!$B$4:$B$16, 0)), "Keep", "For Sale")</f>
        <v>For Sale</v>
      </c>
      <c r="W339" s="58">
        <f t="shared" si="38"/>
        <v>4</v>
      </c>
      <c r="X339" s="58">
        <f t="shared" si="39"/>
        <v>3</v>
      </c>
      <c r="Y339" s="60">
        <f t="shared" si="40"/>
        <v>2</v>
      </c>
      <c r="Z339" s="60">
        <f t="shared" si="41"/>
        <v>1.25</v>
      </c>
      <c r="AE339"/>
      <c r="AF339"/>
      <c r="AG339"/>
    </row>
    <row r="340" spans="1:33" ht="14.4" x14ac:dyDescent="0.3">
      <c r="A340" s="13">
        <v>85394</v>
      </c>
      <c r="B340" s="13" t="s">
        <v>1197</v>
      </c>
      <c r="C340" s="13" t="s">
        <v>216</v>
      </c>
      <c r="D340" s="13">
        <v>149</v>
      </c>
      <c r="E340" s="13" t="s">
        <v>171</v>
      </c>
      <c r="F340" s="13" t="s">
        <v>172</v>
      </c>
      <c r="I340" s="13">
        <v>0</v>
      </c>
      <c r="J340" s="13">
        <v>1</v>
      </c>
      <c r="K340" s="14">
        <v>46183</v>
      </c>
      <c r="N340" s="13">
        <v>444</v>
      </c>
      <c r="P340" s="58" t="str">
        <f t="shared" si="35"/>
        <v>Shaquille O'Neal</v>
      </c>
      <c r="Q340" s="58" t="str">
        <f>IFERROR(_xlfn.TEXTAFTER(_xlfn.XLOOKUP(A340,Collection!A:A,Collection!C:C,),"Cards "),C340)</f>
        <v>1996 Fleer Metal</v>
      </c>
      <c r="R340" s="58" t="str">
        <f t="shared" si="36"/>
        <v>-</v>
      </c>
      <c r="S340" s="58" t="str">
        <f>IFERROR(_xlfn.TEXTAFTER(_xlfn.XLOOKUP(A340,Collection!A:A,Collection!B:B,),"#"),"")</f>
        <v>119</v>
      </c>
      <c r="T340" s="60">
        <f t="shared" si="37"/>
        <v>1.49</v>
      </c>
      <c r="U340" s="54" t="s">
        <v>1568</v>
      </c>
      <c r="V340" s="58" t="str">
        <f>IF(ISNUMBER(MATCH(N340,Catalog!$B$4:$B$16, 0)), "Keep", "For Sale")</f>
        <v>For Sale</v>
      </c>
      <c r="W340" s="58">
        <f t="shared" si="38"/>
        <v>4</v>
      </c>
      <c r="X340" s="58">
        <f t="shared" si="39"/>
        <v>3</v>
      </c>
      <c r="Y340" s="60">
        <f t="shared" si="40"/>
        <v>2</v>
      </c>
      <c r="Z340" s="60">
        <f t="shared" si="41"/>
        <v>1.25</v>
      </c>
      <c r="AE340"/>
      <c r="AF340"/>
      <c r="AG340"/>
    </row>
    <row r="341" spans="1:33" ht="14.4" x14ac:dyDescent="0.3">
      <c r="A341" s="13">
        <v>83761</v>
      </c>
      <c r="B341" s="13" t="s">
        <v>430</v>
      </c>
      <c r="C341" s="13" t="s">
        <v>181</v>
      </c>
      <c r="D341" s="13">
        <v>127</v>
      </c>
      <c r="E341" s="13" t="s">
        <v>171</v>
      </c>
      <c r="F341" s="13" t="s">
        <v>172</v>
      </c>
      <c r="I341" s="13">
        <v>0</v>
      </c>
      <c r="J341" s="13">
        <v>1</v>
      </c>
      <c r="K341" s="14">
        <v>46183</v>
      </c>
      <c r="N341" s="13">
        <v>434</v>
      </c>
      <c r="P341" s="58" t="str">
        <f t="shared" si="35"/>
        <v>Shaquille O'Neal</v>
      </c>
      <c r="Q341" s="58" t="str">
        <f>IFERROR(_xlfn.TEXTAFTER(_xlfn.XLOOKUP(A341,Collection!A:A,Collection!C:C,),"Cards "),C341)</f>
        <v>1995 Upper Deck</v>
      </c>
      <c r="R341" s="58" t="str">
        <f t="shared" si="36"/>
        <v>-</v>
      </c>
      <c r="S341" s="58" t="str">
        <f>IFERROR(_xlfn.TEXTAFTER(_xlfn.XLOOKUP(A341,Collection!A:A,Collection!B:B,),"#"),"")</f>
        <v>95</v>
      </c>
      <c r="T341" s="60">
        <f t="shared" si="37"/>
        <v>1.27</v>
      </c>
      <c r="U341" s="54" t="s">
        <v>1568</v>
      </c>
      <c r="V341" s="58" t="str">
        <f>IF(ISNUMBER(MATCH(N341,Catalog!$B$4:$B$16, 0)), "Keep", "For Sale")</f>
        <v>For Sale</v>
      </c>
      <c r="W341" s="58">
        <f t="shared" si="38"/>
        <v>2</v>
      </c>
      <c r="X341" s="58">
        <f t="shared" si="39"/>
        <v>3</v>
      </c>
      <c r="Y341" s="60">
        <f t="shared" si="40"/>
        <v>1.5</v>
      </c>
      <c r="Z341" s="60">
        <f t="shared" si="41"/>
        <v>1</v>
      </c>
      <c r="AE341"/>
      <c r="AF341"/>
      <c r="AG341"/>
    </row>
    <row r="342" spans="1:33" ht="14.4" x14ac:dyDescent="0.3">
      <c r="A342" s="13">
        <v>83761</v>
      </c>
      <c r="B342" s="13" t="s">
        <v>430</v>
      </c>
      <c r="C342" s="13" t="s">
        <v>181</v>
      </c>
      <c r="D342" s="13">
        <v>127</v>
      </c>
      <c r="E342" s="13" t="s">
        <v>171</v>
      </c>
      <c r="F342" s="13" t="s">
        <v>172</v>
      </c>
      <c r="I342" s="13">
        <v>0</v>
      </c>
      <c r="J342" s="13">
        <v>1</v>
      </c>
      <c r="K342" s="14">
        <v>46149</v>
      </c>
      <c r="N342" s="13">
        <v>435</v>
      </c>
      <c r="P342" s="58" t="str">
        <f t="shared" si="35"/>
        <v>Shaquille O'Neal</v>
      </c>
      <c r="Q342" s="58" t="str">
        <f>IFERROR(_xlfn.TEXTAFTER(_xlfn.XLOOKUP(A342,Collection!A:A,Collection!C:C,),"Cards "),C342)</f>
        <v>1995 Upper Deck</v>
      </c>
      <c r="R342" s="58" t="str">
        <f t="shared" si="36"/>
        <v>-</v>
      </c>
      <c r="S342" s="58" t="str">
        <f>IFERROR(_xlfn.TEXTAFTER(_xlfn.XLOOKUP(A342,Collection!A:A,Collection!B:B,),"#"),"")</f>
        <v>95</v>
      </c>
      <c r="T342" s="60">
        <f t="shared" si="37"/>
        <v>1.27</v>
      </c>
      <c r="U342" s="54" t="s">
        <v>1568</v>
      </c>
      <c r="V342" s="58" t="str">
        <f>IF(ISNUMBER(MATCH(N342,Catalog!$B$4:$B$16, 0)), "Keep", "For Sale")</f>
        <v>For Sale</v>
      </c>
      <c r="W342" s="58">
        <f t="shared" si="38"/>
        <v>2</v>
      </c>
      <c r="X342" s="58">
        <f t="shared" si="39"/>
        <v>3</v>
      </c>
      <c r="Y342" s="60">
        <f t="shared" si="40"/>
        <v>1.5</v>
      </c>
      <c r="Z342" s="60">
        <f t="shared" si="41"/>
        <v>1</v>
      </c>
      <c r="AE342"/>
      <c r="AF342"/>
      <c r="AG342"/>
    </row>
    <row r="343" spans="1:33" ht="14.4" x14ac:dyDescent="0.3">
      <c r="A343" s="13">
        <v>5079441</v>
      </c>
      <c r="B343" s="13" t="s">
        <v>679</v>
      </c>
      <c r="C343" s="13" t="s">
        <v>610</v>
      </c>
      <c r="D343" s="13">
        <v>299</v>
      </c>
      <c r="E343" s="13" t="s">
        <v>171</v>
      </c>
      <c r="F343" s="13" t="s">
        <v>172</v>
      </c>
      <c r="I343" s="13">
        <v>0</v>
      </c>
      <c r="J343" s="13">
        <v>1</v>
      </c>
      <c r="K343" s="14">
        <v>46129</v>
      </c>
      <c r="N343" s="13">
        <v>183</v>
      </c>
      <c r="P343" s="58" t="str">
        <f t="shared" si="35"/>
        <v>Spider-Demon</v>
      </c>
      <c r="Q343" s="58" t="str">
        <f>IFERROR(_xlfn.TEXTAFTER(_xlfn.XLOOKUP(A343,Collection!A:A,Collection!C:C,),"Cards "),C343)</f>
        <v>Marvel 1994 Flair</v>
      </c>
      <c r="R343" s="58" t="str">
        <f t="shared" si="36"/>
        <v>Part III</v>
      </c>
      <c r="S343" s="58" t="str">
        <f>IFERROR(_xlfn.TEXTAFTER(_xlfn.XLOOKUP(A343,Collection!A:A,Collection!B:B,),"#"),"")</f>
        <v/>
      </c>
      <c r="T343" s="60">
        <f t="shared" si="37"/>
        <v>2.99</v>
      </c>
      <c r="U343" s="54" t="s">
        <v>1695</v>
      </c>
      <c r="V343" s="58" t="str">
        <f>IF(ISNUMBER(MATCH(N343,Catalog!$B$4:$B$16, 0)), "Keep", "For Sale")</f>
        <v>For Sale</v>
      </c>
      <c r="W343" s="58">
        <f t="shared" si="38"/>
        <v>1</v>
      </c>
      <c r="X343" s="58">
        <f t="shared" si="39"/>
        <v>3</v>
      </c>
      <c r="Y343" s="60">
        <f t="shared" si="40"/>
        <v>4</v>
      </c>
      <c r="Z343" s="60">
        <f t="shared" si="41"/>
        <v>3</v>
      </c>
      <c r="AE343"/>
      <c r="AF343"/>
      <c r="AG343"/>
    </row>
    <row r="344" spans="1:33" ht="14.4" x14ac:dyDescent="0.3">
      <c r="A344" s="13">
        <v>12623502</v>
      </c>
      <c r="B344" s="13" t="s">
        <v>1536</v>
      </c>
      <c r="C344" s="13" t="s">
        <v>951</v>
      </c>
      <c r="D344" s="13">
        <v>325</v>
      </c>
      <c r="E344" s="13" t="s">
        <v>171</v>
      </c>
      <c r="F344" s="13" t="s">
        <v>172</v>
      </c>
      <c r="H344" s="13" t="s">
        <v>1537</v>
      </c>
      <c r="I344" s="13">
        <v>1218</v>
      </c>
      <c r="J344" s="13">
        <v>1</v>
      </c>
      <c r="K344" s="14">
        <v>46183</v>
      </c>
      <c r="L344" s="14">
        <v>46182</v>
      </c>
      <c r="N344" s="13">
        <v>170</v>
      </c>
      <c r="P344" s="58" t="str">
        <f t="shared" si="35"/>
        <v>Stephon Castle</v>
      </c>
      <c r="Q344" s="58" t="str">
        <f>IFERROR(_xlfn.TEXTAFTER(_xlfn.XLOOKUP(A344,Collection!A:A,Collection!C:C,),"Cards "),C344)</f>
        <v>2025 Bowman Chrome</v>
      </c>
      <c r="R344" s="58" t="str">
        <f t="shared" si="36"/>
        <v>Reptilian Refractor</v>
      </c>
      <c r="S344" s="58" t="str">
        <f>IFERROR(_xlfn.TEXTAFTER(_xlfn.XLOOKUP(A344,Collection!A:A,Collection!B:B,),"#"),"")</f>
        <v>BCV-145</v>
      </c>
      <c r="T344" s="60">
        <f t="shared" si="37"/>
        <v>3.25</v>
      </c>
      <c r="U344" s="54" t="s">
        <v>1558</v>
      </c>
      <c r="V344" s="58" t="str">
        <f>IF(ISNUMBER(MATCH(N344,Catalog!$B$4:$B$16, 0)), "Keep", "For Sale")</f>
        <v>For Sale</v>
      </c>
      <c r="W344" s="58">
        <f t="shared" si="38"/>
        <v>1</v>
      </c>
      <c r="X344" s="58">
        <f t="shared" si="39"/>
        <v>3</v>
      </c>
      <c r="Y344" s="60">
        <f t="shared" si="40"/>
        <v>15</v>
      </c>
      <c r="Z344" s="60">
        <f t="shared" si="41"/>
        <v>3</v>
      </c>
      <c r="AE344"/>
      <c r="AF344"/>
      <c r="AG344"/>
    </row>
    <row r="345" spans="1:33" ht="14.4" x14ac:dyDescent="0.3">
      <c r="A345" s="13">
        <v>8780219</v>
      </c>
      <c r="B345" s="13" t="s">
        <v>1287</v>
      </c>
      <c r="C345" s="13" t="s">
        <v>568</v>
      </c>
      <c r="D345" s="13">
        <v>200</v>
      </c>
      <c r="E345" s="13" t="s">
        <v>171</v>
      </c>
      <c r="F345" s="13" t="s">
        <v>172</v>
      </c>
      <c r="H345" s="13" t="s">
        <v>1285</v>
      </c>
      <c r="I345" s="13">
        <v>276</v>
      </c>
      <c r="J345" s="13">
        <v>1</v>
      </c>
      <c r="K345" s="14">
        <v>46182</v>
      </c>
      <c r="L345" s="14">
        <v>46181</v>
      </c>
      <c r="N345" s="13">
        <v>425</v>
      </c>
      <c r="P345" s="58" t="str">
        <f t="shared" si="35"/>
        <v>Stephon Castle</v>
      </c>
      <c r="Q345" s="58" t="str">
        <f>IFERROR(_xlfn.TEXTAFTER(_xlfn.XLOOKUP(A345,Collection!A:A,Collection!C:C,),"Cards "),C345)</f>
        <v>2024 Panini Donruss</v>
      </c>
      <c r="R345" s="58" t="str">
        <f t="shared" si="36"/>
        <v>-</v>
      </c>
      <c r="S345" s="58" t="str">
        <f>IFERROR(_xlfn.TEXTAFTER(_xlfn.XLOOKUP(A345,Collection!A:A,Collection!B:B,),"#"),"")</f>
        <v>244</v>
      </c>
      <c r="T345" s="60">
        <f t="shared" si="37"/>
        <v>2</v>
      </c>
      <c r="U345" s="54" t="s">
        <v>1558</v>
      </c>
      <c r="V345" s="58" t="str">
        <f>IF(ISNUMBER(MATCH(N345,Catalog!$B$4:$B$16, 0)), "Keep", "For Sale")</f>
        <v>For Sale</v>
      </c>
      <c r="W345" s="58">
        <f t="shared" si="38"/>
        <v>1</v>
      </c>
      <c r="X345" s="58">
        <f t="shared" si="39"/>
        <v>3</v>
      </c>
      <c r="Y345" s="60">
        <f t="shared" si="40"/>
        <v>3</v>
      </c>
      <c r="Z345" s="60">
        <f t="shared" si="41"/>
        <v>2</v>
      </c>
      <c r="AE345"/>
      <c r="AF345"/>
      <c r="AG345"/>
    </row>
    <row r="346" spans="1:33" ht="14.4" x14ac:dyDescent="0.3">
      <c r="A346" s="13">
        <v>12950314</v>
      </c>
      <c r="B346" s="13" t="s">
        <v>971</v>
      </c>
      <c r="C346" s="13" t="s">
        <v>972</v>
      </c>
      <c r="D346" s="13">
        <v>141</v>
      </c>
      <c r="E346" s="13" t="s">
        <v>171</v>
      </c>
      <c r="F346" s="13" t="s">
        <v>172</v>
      </c>
      <c r="H346" s="13" t="s">
        <v>973</v>
      </c>
      <c r="I346" s="13">
        <v>148</v>
      </c>
      <c r="J346" s="13">
        <v>1</v>
      </c>
      <c r="K346" s="14">
        <v>46164</v>
      </c>
      <c r="L346" s="14">
        <v>46157</v>
      </c>
      <c r="N346" s="13">
        <v>339</v>
      </c>
      <c r="P346" s="58" t="str">
        <f t="shared" si="35"/>
        <v>Stephon Castle</v>
      </c>
      <c r="Q346" s="58" t="str">
        <f>IFERROR(_xlfn.TEXTAFTER(_xlfn.XLOOKUP(A346,Collection!A:A,Collection!C:C,),"Cards "),C346)</f>
        <v>2025 Topps NBA Hoops</v>
      </c>
      <c r="R346" s="58" t="str">
        <f t="shared" si="36"/>
        <v>-</v>
      </c>
      <c r="S346" s="58" t="str">
        <f>IFERROR(_xlfn.TEXTAFTER(_xlfn.XLOOKUP(A346,Collection!A:A,Collection!B:B,),"#"),"")</f>
        <v>47</v>
      </c>
      <c r="T346" s="60">
        <f t="shared" si="37"/>
        <v>1.41</v>
      </c>
      <c r="U346" s="54" t="s">
        <v>1558</v>
      </c>
      <c r="V346" s="58" t="str">
        <f>IF(ISNUMBER(MATCH(N346,Catalog!$B$4:$B$16, 0)), "Keep", "For Sale")</f>
        <v>For Sale</v>
      </c>
      <c r="W346" s="58">
        <f t="shared" si="38"/>
        <v>1</v>
      </c>
      <c r="X346" s="58">
        <f t="shared" si="39"/>
        <v>3</v>
      </c>
      <c r="Y346" s="60">
        <f t="shared" si="40"/>
        <v>2</v>
      </c>
      <c r="Z346" s="60">
        <f t="shared" si="41"/>
        <v>1.25</v>
      </c>
      <c r="AE346"/>
      <c r="AF346"/>
      <c r="AG346"/>
    </row>
    <row r="347" spans="1:33" ht="14.4" x14ac:dyDescent="0.3">
      <c r="A347" s="13">
        <v>3310996</v>
      </c>
      <c r="B347" s="13" t="s">
        <v>242</v>
      </c>
      <c r="C347" s="13" t="s">
        <v>235</v>
      </c>
      <c r="D347" s="13">
        <v>298</v>
      </c>
      <c r="E347" s="13" t="s">
        <v>171</v>
      </c>
      <c r="F347" s="13" t="s">
        <v>172</v>
      </c>
      <c r="I347" s="13">
        <v>0</v>
      </c>
      <c r="J347" s="13">
        <v>1</v>
      </c>
      <c r="K347" s="14">
        <v>46127</v>
      </c>
      <c r="N347" s="13">
        <v>193</v>
      </c>
      <c r="P347" s="58" t="str">
        <f t="shared" si="35"/>
        <v>Stephon Marbury</v>
      </c>
      <c r="Q347" s="58" t="str">
        <f>IFERROR(_xlfn.TEXTAFTER(_xlfn.XLOOKUP(A347,Collection!A:A,Collection!C:C,),"Cards "),C347)</f>
        <v>1996 Metal Cyber Metal</v>
      </c>
      <c r="R347" s="58" t="str">
        <f t="shared" si="36"/>
        <v>-</v>
      </c>
      <c r="S347" s="58" t="str">
        <f>IFERROR(_xlfn.TEXTAFTER(_xlfn.XLOOKUP(A347,Collection!A:A,Collection!B:B,),"#"),"")</f>
        <v>9</v>
      </c>
      <c r="T347" s="60">
        <f t="shared" si="37"/>
        <v>2.98</v>
      </c>
      <c r="U347" s="54" t="s">
        <v>1565</v>
      </c>
      <c r="V347" s="58" t="str">
        <f>IF(ISNUMBER(MATCH(N347,Catalog!$B$4:$B$16, 0)), "Keep", "For Sale")</f>
        <v>For Sale</v>
      </c>
      <c r="W347" s="58">
        <f t="shared" si="38"/>
        <v>1</v>
      </c>
      <c r="X347" s="58">
        <f t="shared" si="39"/>
        <v>3</v>
      </c>
      <c r="Y347" s="60">
        <f t="shared" si="40"/>
        <v>4</v>
      </c>
      <c r="Z347" s="60">
        <f t="shared" si="41"/>
        <v>3</v>
      </c>
      <c r="AE347"/>
      <c r="AF347"/>
      <c r="AG347"/>
    </row>
    <row r="348" spans="1:33" ht="14.4" x14ac:dyDescent="0.3">
      <c r="A348" s="13">
        <v>6591225</v>
      </c>
      <c r="B348" s="13" t="s">
        <v>254</v>
      </c>
      <c r="C348" s="13" t="s">
        <v>255</v>
      </c>
      <c r="D348" s="13">
        <v>213</v>
      </c>
      <c r="E348" s="13" t="s">
        <v>171</v>
      </c>
      <c r="F348" s="13" t="s">
        <v>172</v>
      </c>
      <c r="I348" s="13">
        <v>0</v>
      </c>
      <c r="J348" s="13">
        <v>1</v>
      </c>
      <c r="K348" s="14">
        <v>46149</v>
      </c>
      <c r="N348" s="13">
        <v>237</v>
      </c>
      <c r="P348" s="58" t="str">
        <f t="shared" si="35"/>
        <v>Stephon Marbury</v>
      </c>
      <c r="Q348" s="58" t="str">
        <f>IFERROR(_xlfn.TEXTAFTER(_xlfn.XLOOKUP(A348,Collection!A:A,Collection!C:C,),"Cards "),C348)</f>
        <v>1998 Topps Kick Start</v>
      </c>
      <c r="R348" s="58" t="str">
        <f t="shared" si="36"/>
        <v>-</v>
      </c>
      <c r="S348" s="58" t="str">
        <f>IFERROR(_xlfn.TEXTAFTER(_xlfn.XLOOKUP(A348,Collection!A:A,Collection!B:B,),"#"),"")</f>
        <v>KS4</v>
      </c>
      <c r="T348" s="60">
        <f t="shared" si="37"/>
        <v>2.13</v>
      </c>
      <c r="U348" s="54" t="s">
        <v>1565</v>
      </c>
      <c r="V348" s="58" t="str">
        <f>IF(ISNUMBER(MATCH(N348,Catalog!$B$4:$B$16, 0)), "Keep", "For Sale")</f>
        <v>For Sale</v>
      </c>
      <c r="W348" s="58">
        <f t="shared" si="38"/>
        <v>1</v>
      </c>
      <c r="X348" s="58">
        <f t="shared" si="39"/>
        <v>3</v>
      </c>
      <c r="Y348" s="60">
        <f t="shared" si="40"/>
        <v>3</v>
      </c>
      <c r="Z348" s="60">
        <f t="shared" si="41"/>
        <v>2</v>
      </c>
      <c r="AE348"/>
      <c r="AF348"/>
      <c r="AG348"/>
    </row>
    <row r="349" spans="1:33" ht="14.4" x14ac:dyDescent="0.3">
      <c r="A349" s="13">
        <v>6740207</v>
      </c>
      <c r="B349" s="13" t="s">
        <v>1269</v>
      </c>
      <c r="C349" s="13" t="s">
        <v>189</v>
      </c>
      <c r="D349" s="13">
        <v>187</v>
      </c>
      <c r="E349" s="13" t="s">
        <v>171</v>
      </c>
      <c r="F349" s="13" t="s">
        <v>172</v>
      </c>
      <c r="I349" s="13">
        <v>0</v>
      </c>
      <c r="J349" s="13">
        <v>1</v>
      </c>
      <c r="K349" s="14">
        <v>46173</v>
      </c>
      <c r="N349" s="13">
        <v>309</v>
      </c>
      <c r="P349" s="58" t="str">
        <f t="shared" si="35"/>
        <v>Stephon Marbury</v>
      </c>
      <c r="Q349" s="58" t="str">
        <f>IFERROR(_xlfn.TEXTAFTER(_xlfn.XLOOKUP(A349,Collection!A:A,Collection!C:C,),"Cards "),C349)</f>
        <v>1998 Upper Deck Black Diamond</v>
      </c>
      <c r="R349" s="58" t="str">
        <f t="shared" si="36"/>
        <v>-</v>
      </c>
      <c r="S349" s="58" t="str">
        <f>IFERROR(_xlfn.TEXTAFTER(_xlfn.XLOOKUP(A349,Collection!A:A,Collection!B:B,),"#"),"")</f>
        <v>56</v>
      </c>
      <c r="T349" s="60">
        <f t="shared" si="37"/>
        <v>1.87</v>
      </c>
      <c r="U349" s="54" t="s">
        <v>1565</v>
      </c>
      <c r="V349" s="58" t="str">
        <f>IF(ISNUMBER(MATCH(N349,Catalog!$B$4:$B$16, 0)), "Keep", "For Sale")</f>
        <v>For Sale</v>
      </c>
      <c r="W349" s="58">
        <f t="shared" si="38"/>
        <v>1</v>
      </c>
      <c r="X349" s="58">
        <f t="shared" si="39"/>
        <v>3</v>
      </c>
      <c r="Y349" s="60">
        <f t="shared" si="40"/>
        <v>2</v>
      </c>
      <c r="Z349" s="60">
        <f t="shared" si="41"/>
        <v>2</v>
      </c>
      <c r="AE349"/>
      <c r="AF349"/>
      <c r="AG349"/>
    </row>
    <row r="350" spans="1:33" ht="14.4" x14ac:dyDescent="0.3">
      <c r="A350" s="13">
        <v>7376857</v>
      </c>
      <c r="B350" s="13" t="s">
        <v>1176</v>
      </c>
      <c r="C350" s="13" t="s">
        <v>299</v>
      </c>
      <c r="D350" s="13">
        <v>168</v>
      </c>
      <c r="E350" s="13" t="s">
        <v>171</v>
      </c>
      <c r="F350" s="13" t="s">
        <v>172</v>
      </c>
      <c r="I350" s="13">
        <v>0</v>
      </c>
      <c r="J350" s="13">
        <v>1</v>
      </c>
      <c r="K350" s="14">
        <v>46173</v>
      </c>
      <c r="N350" s="13">
        <v>353</v>
      </c>
      <c r="P350" s="58" t="str">
        <f t="shared" si="35"/>
        <v>Stephon Marbury</v>
      </c>
      <c r="Q350" s="58" t="str">
        <f>IFERROR(_xlfn.TEXTAFTER(_xlfn.XLOOKUP(A350,Collection!A:A,Collection!C:C,),"Cards "),C350)</f>
        <v>1997 Ultra</v>
      </c>
      <c r="R350" s="58" t="str">
        <f t="shared" si="36"/>
        <v>-</v>
      </c>
      <c r="S350" s="58" t="str">
        <f>IFERROR(_xlfn.TEXTAFTER(_xlfn.XLOOKUP(A350,Collection!A:A,Collection!B:B,),"#"),"")</f>
        <v>38</v>
      </c>
      <c r="T350" s="60">
        <f t="shared" si="37"/>
        <v>1.68</v>
      </c>
      <c r="U350" s="54" t="s">
        <v>1565</v>
      </c>
      <c r="V350" s="58" t="str">
        <f>IF(ISNUMBER(MATCH(N350,Catalog!$B$4:$B$16, 0)), "Keep", "For Sale")</f>
        <v>For Sale</v>
      </c>
      <c r="W350" s="58">
        <f t="shared" si="38"/>
        <v>2</v>
      </c>
      <c r="X350" s="58">
        <f t="shared" si="39"/>
        <v>3</v>
      </c>
      <c r="Y350" s="60">
        <f t="shared" si="40"/>
        <v>2</v>
      </c>
      <c r="Z350" s="60">
        <f t="shared" si="41"/>
        <v>1.25</v>
      </c>
      <c r="AE350"/>
      <c r="AF350"/>
      <c r="AG350"/>
    </row>
    <row r="351" spans="1:33" ht="14.4" x14ac:dyDescent="0.3">
      <c r="A351" s="13">
        <v>7376857</v>
      </c>
      <c r="B351" s="13" t="s">
        <v>1176</v>
      </c>
      <c r="C351" s="13" t="s">
        <v>299</v>
      </c>
      <c r="D351" s="13">
        <v>168</v>
      </c>
      <c r="E351" s="13" t="s">
        <v>171</v>
      </c>
      <c r="F351" s="13" t="s">
        <v>172</v>
      </c>
      <c r="I351" s="13">
        <v>0</v>
      </c>
      <c r="J351" s="13">
        <v>1</v>
      </c>
      <c r="K351" s="14">
        <v>46183</v>
      </c>
      <c r="N351" s="13">
        <v>354</v>
      </c>
      <c r="P351" s="58" t="str">
        <f t="shared" si="35"/>
        <v>Stephon Marbury</v>
      </c>
      <c r="Q351" s="58" t="str">
        <f>IFERROR(_xlfn.TEXTAFTER(_xlfn.XLOOKUP(A351,Collection!A:A,Collection!C:C,),"Cards "),C351)</f>
        <v>1997 Ultra</v>
      </c>
      <c r="R351" s="58" t="str">
        <f t="shared" si="36"/>
        <v>-</v>
      </c>
      <c r="S351" s="58" t="str">
        <f>IFERROR(_xlfn.TEXTAFTER(_xlfn.XLOOKUP(A351,Collection!A:A,Collection!B:B,),"#"),"")</f>
        <v>38</v>
      </c>
      <c r="T351" s="60">
        <f t="shared" si="37"/>
        <v>1.68</v>
      </c>
      <c r="U351" s="54" t="s">
        <v>1565</v>
      </c>
      <c r="V351" s="58" t="str">
        <f>IF(ISNUMBER(MATCH(N351,Catalog!$B$4:$B$16, 0)), "Keep", "For Sale")</f>
        <v>For Sale</v>
      </c>
      <c r="W351" s="58">
        <f t="shared" si="38"/>
        <v>2</v>
      </c>
      <c r="X351" s="58">
        <f t="shared" si="39"/>
        <v>3</v>
      </c>
      <c r="Y351" s="60">
        <f t="shared" si="40"/>
        <v>2</v>
      </c>
      <c r="Z351" s="60">
        <f t="shared" si="41"/>
        <v>1.25</v>
      </c>
      <c r="AE351"/>
      <c r="AF351"/>
      <c r="AG351"/>
    </row>
    <row r="352" spans="1:33" ht="14.4" x14ac:dyDescent="0.3">
      <c r="A352" s="13">
        <v>87847</v>
      </c>
      <c r="B352" s="13" t="s">
        <v>1167</v>
      </c>
      <c r="C352" s="13" t="s">
        <v>170</v>
      </c>
      <c r="D352" s="13">
        <v>167</v>
      </c>
      <c r="E352" s="13" t="s">
        <v>171</v>
      </c>
      <c r="F352" s="13" t="s">
        <v>172</v>
      </c>
      <c r="I352" s="13">
        <v>0</v>
      </c>
      <c r="J352" s="13">
        <v>1</v>
      </c>
      <c r="K352" s="14">
        <v>46173</v>
      </c>
      <c r="N352" s="13">
        <v>356</v>
      </c>
      <c r="P352" s="58" t="str">
        <f t="shared" si="35"/>
        <v>Stephon Marbury</v>
      </c>
      <c r="Q352" s="58" t="str">
        <f>IFERROR(_xlfn.TEXTAFTER(_xlfn.XLOOKUP(A352,Collection!A:A,Collection!C:C,),"Cards "),C352)</f>
        <v>1997 Finest</v>
      </c>
      <c r="R352" s="58" t="str">
        <f t="shared" si="36"/>
        <v>w/ Coating</v>
      </c>
      <c r="S352" s="58" t="str">
        <f>IFERROR(_xlfn.TEXTAFTER(_xlfn.XLOOKUP(A352,Collection!A:A,Collection!B:B,),"#"),"")</f>
        <v>19</v>
      </c>
      <c r="T352" s="60">
        <f t="shared" si="37"/>
        <v>1.67</v>
      </c>
      <c r="U352" s="54" t="s">
        <v>1565</v>
      </c>
      <c r="V352" s="58" t="str">
        <f>IF(ISNUMBER(MATCH(N352,Catalog!$B$4:$B$16, 0)), "Keep", "For Sale")</f>
        <v>For Sale</v>
      </c>
      <c r="W352" s="58">
        <f t="shared" si="38"/>
        <v>1</v>
      </c>
      <c r="X352" s="58">
        <f t="shared" si="39"/>
        <v>3</v>
      </c>
      <c r="Y352" s="60">
        <f t="shared" si="40"/>
        <v>2</v>
      </c>
      <c r="Z352" s="60">
        <f t="shared" si="41"/>
        <v>1.5</v>
      </c>
      <c r="AE352"/>
      <c r="AF352"/>
      <c r="AG352"/>
    </row>
    <row r="353" spans="1:33" ht="14.4" x14ac:dyDescent="0.3">
      <c r="A353" s="13">
        <v>89035</v>
      </c>
      <c r="B353" s="13" t="s">
        <v>1238</v>
      </c>
      <c r="C353" s="13" t="s">
        <v>193</v>
      </c>
      <c r="D353" s="13">
        <v>164</v>
      </c>
      <c r="E353" s="13" t="s">
        <v>171</v>
      </c>
      <c r="F353" s="13" t="s">
        <v>172</v>
      </c>
      <c r="I353" s="13">
        <v>0</v>
      </c>
      <c r="J353" s="13">
        <v>1</v>
      </c>
      <c r="K353" s="14">
        <v>46173</v>
      </c>
      <c r="N353" s="13">
        <v>315</v>
      </c>
      <c r="P353" s="58" t="str">
        <f t="shared" si="35"/>
        <v>Stephon Marbury</v>
      </c>
      <c r="Q353" s="58" t="str">
        <f>IFERROR(_xlfn.TEXTAFTER(_xlfn.XLOOKUP(A353,Collection!A:A,Collection!C:C,),"Cards "),C353)</f>
        <v>1997 Metal Universe</v>
      </c>
      <c r="R353" s="58" t="str">
        <f t="shared" si="36"/>
        <v>-</v>
      </c>
      <c r="S353" s="58" t="str">
        <f>IFERROR(_xlfn.TEXTAFTER(_xlfn.XLOOKUP(A353,Collection!A:A,Collection!B:B,),"#"),"")</f>
        <v>90</v>
      </c>
      <c r="T353" s="60">
        <f t="shared" si="37"/>
        <v>1.64</v>
      </c>
      <c r="U353" s="54" t="s">
        <v>1565</v>
      </c>
      <c r="V353" s="58" t="str">
        <f>IF(ISNUMBER(MATCH(N353,Catalog!$B$4:$B$16, 0)), "Keep", "For Sale")</f>
        <v>For Sale</v>
      </c>
      <c r="W353" s="58">
        <f t="shared" si="38"/>
        <v>2</v>
      </c>
      <c r="X353" s="58">
        <f t="shared" si="39"/>
        <v>3</v>
      </c>
      <c r="Y353" s="60">
        <f t="shared" si="40"/>
        <v>2</v>
      </c>
      <c r="Z353" s="60">
        <f t="shared" si="41"/>
        <v>1.25</v>
      </c>
      <c r="AE353"/>
      <c r="AF353"/>
      <c r="AG353"/>
    </row>
    <row r="354" spans="1:33" ht="14.4" x14ac:dyDescent="0.3">
      <c r="A354" s="13">
        <v>89035</v>
      </c>
      <c r="B354" s="13" t="s">
        <v>1238</v>
      </c>
      <c r="C354" s="13" t="s">
        <v>193</v>
      </c>
      <c r="D354" s="13">
        <v>164</v>
      </c>
      <c r="E354" s="13" t="s">
        <v>171</v>
      </c>
      <c r="F354" s="13" t="s">
        <v>172</v>
      </c>
      <c r="I354" s="13">
        <v>0</v>
      </c>
      <c r="J354" s="13">
        <v>1</v>
      </c>
      <c r="K354" s="14">
        <v>46183</v>
      </c>
      <c r="N354" s="13">
        <v>317</v>
      </c>
      <c r="P354" s="58" t="str">
        <f t="shared" si="35"/>
        <v>Stephon Marbury</v>
      </c>
      <c r="Q354" s="58" t="str">
        <f>IFERROR(_xlfn.TEXTAFTER(_xlfn.XLOOKUP(A354,Collection!A:A,Collection!C:C,),"Cards "),C354)</f>
        <v>1997 Metal Universe</v>
      </c>
      <c r="R354" s="58" t="str">
        <f t="shared" si="36"/>
        <v>-</v>
      </c>
      <c r="S354" s="58" t="str">
        <f>IFERROR(_xlfn.TEXTAFTER(_xlfn.XLOOKUP(A354,Collection!A:A,Collection!B:B,),"#"),"")</f>
        <v>90</v>
      </c>
      <c r="T354" s="60">
        <f t="shared" si="37"/>
        <v>1.64</v>
      </c>
      <c r="U354" s="54" t="s">
        <v>1565</v>
      </c>
      <c r="V354" s="58" t="str">
        <f>IF(ISNUMBER(MATCH(N354,Catalog!$B$4:$B$16, 0)), "Keep", "For Sale")</f>
        <v>For Sale</v>
      </c>
      <c r="W354" s="58">
        <f t="shared" si="38"/>
        <v>2</v>
      </c>
      <c r="X354" s="58">
        <f t="shared" si="39"/>
        <v>3</v>
      </c>
      <c r="Y354" s="60">
        <f t="shared" si="40"/>
        <v>2</v>
      </c>
      <c r="Z354" s="60">
        <f t="shared" si="41"/>
        <v>1.25</v>
      </c>
      <c r="AE354"/>
      <c r="AF354"/>
      <c r="AG354"/>
    </row>
    <row r="355" spans="1:33" ht="14.4" x14ac:dyDescent="0.3">
      <c r="A355" s="13">
        <v>87365</v>
      </c>
      <c r="B355" s="13" t="s">
        <v>370</v>
      </c>
      <c r="C355" s="13" t="s">
        <v>237</v>
      </c>
      <c r="D355" s="13">
        <v>137</v>
      </c>
      <c r="E355" s="13" t="s">
        <v>171</v>
      </c>
      <c r="F355" s="13" t="s">
        <v>172</v>
      </c>
      <c r="I355" s="13">
        <v>0</v>
      </c>
      <c r="J355" s="13">
        <v>1</v>
      </c>
      <c r="K355" s="14">
        <v>46127</v>
      </c>
      <c r="N355" s="13">
        <v>109</v>
      </c>
      <c r="P355" s="58" t="str">
        <f t="shared" si="35"/>
        <v>Stephon Marbury</v>
      </c>
      <c r="Q355" s="58" t="str">
        <f>IFERROR(_xlfn.TEXTAFTER(_xlfn.XLOOKUP(A355,Collection!A:A,Collection!C:C,),"Cards "),C355)</f>
        <v>1996 Upper Deck Rookie Exclusives</v>
      </c>
      <c r="R355" s="58" t="str">
        <f t="shared" si="36"/>
        <v>-</v>
      </c>
      <c r="S355" s="58" t="str">
        <f>IFERROR(_xlfn.TEXTAFTER(_xlfn.XLOOKUP(A355,Collection!A:A,Collection!B:B,),"#"),"")</f>
        <v>R15</v>
      </c>
      <c r="T355" s="60">
        <f t="shared" si="37"/>
        <v>1.37</v>
      </c>
      <c r="U355" s="54" t="s">
        <v>1565</v>
      </c>
      <c r="V355" s="58" t="str">
        <f>IF(ISNUMBER(MATCH(N355,Catalog!$B$4:$B$16, 0)), "Keep", "For Sale")</f>
        <v>Keep</v>
      </c>
      <c r="W355" s="58">
        <f t="shared" si="38"/>
        <v>0</v>
      </c>
      <c r="X355" s="58">
        <f t="shared" si="39"/>
        <v>3</v>
      </c>
      <c r="Y355" s="60">
        <f t="shared" si="40"/>
        <v>1.5</v>
      </c>
      <c r="Z355" s="60">
        <f t="shared" si="41"/>
        <v>1.25</v>
      </c>
      <c r="AE355"/>
      <c r="AF355"/>
      <c r="AG355"/>
    </row>
    <row r="356" spans="1:33" ht="14.4" x14ac:dyDescent="0.3">
      <c r="A356" s="13">
        <v>87387</v>
      </c>
      <c r="B356" s="13" t="s">
        <v>182</v>
      </c>
      <c r="C356" s="13" t="s">
        <v>174</v>
      </c>
      <c r="D356" s="13">
        <v>137</v>
      </c>
      <c r="E356" s="13" t="s">
        <v>171</v>
      </c>
      <c r="F356" s="13" t="s">
        <v>172</v>
      </c>
      <c r="I356" s="13">
        <v>0</v>
      </c>
      <c r="J356" s="13">
        <v>1</v>
      </c>
      <c r="K356" s="14">
        <v>46129</v>
      </c>
      <c r="N356" s="13">
        <v>490</v>
      </c>
      <c r="P356" s="58" t="str">
        <f t="shared" si="35"/>
        <v>Stephon Marbury</v>
      </c>
      <c r="Q356" s="58" t="str">
        <f>IFERROR(_xlfn.TEXTAFTER(_xlfn.XLOOKUP(A356,Collection!A:A,Collection!C:C,),"Cards "),C356)</f>
        <v>1996 Upper Deck</v>
      </c>
      <c r="R356" s="58" t="str">
        <f t="shared" si="36"/>
        <v>-</v>
      </c>
      <c r="S356" s="58" t="str">
        <f>IFERROR(_xlfn.TEXTAFTER(_xlfn.XLOOKUP(A356,Collection!A:A,Collection!B:B,),"#"),"")</f>
        <v>74</v>
      </c>
      <c r="T356" s="60">
        <f t="shared" si="37"/>
        <v>1.37</v>
      </c>
      <c r="U356" s="54" t="s">
        <v>1565</v>
      </c>
      <c r="V356" s="58" t="str">
        <f>IF(ISNUMBER(MATCH(N356,Catalog!$B$4:$B$16, 0)), "Keep", "For Sale")</f>
        <v>For Sale</v>
      </c>
      <c r="W356" s="58">
        <f t="shared" si="38"/>
        <v>4</v>
      </c>
      <c r="X356" s="58">
        <f t="shared" si="39"/>
        <v>3</v>
      </c>
      <c r="Y356" s="60">
        <f t="shared" si="40"/>
        <v>1.5</v>
      </c>
      <c r="Z356" s="60">
        <f t="shared" si="41"/>
        <v>1</v>
      </c>
      <c r="AE356"/>
      <c r="AF356"/>
      <c r="AG356"/>
    </row>
    <row r="357" spans="1:33" ht="14.4" x14ac:dyDescent="0.3">
      <c r="A357" s="13">
        <v>87387</v>
      </c>
      <c r="B357" s="13" t="s">
        <v>182</v>
      </c>
      <c r="C357" s="13" t="s">
        <v>174</v>
      </c>
      <c r="D357" s="13">
        <v>137</v>
      </c>
      <c r="E357" s="13" t="s">
        <v>171</v>
      </c>
      <c r="F357" s="13" t="s">
        <v>172</v>
      </c>
      <c r="I357" s="13">
        <v>0</v>
      </c>
      <c r="J357" s="13">
        <v>1</v>
      </c>
      <c r="K357" s="14">
        <v>46183</v>
      </c>
      <c r="N357" s="13">
        <v>491</v>
      </c>
      <c r="P357" s="58" t="str">
        <f t="shared" si="35"/>
        <v>Stephon Marbury</v>
      </c>
      <c r="Q357" s="58" t="str">
        <f>IFERROR(_xlfn.TEXTAFTER(_xlfn.XLOOKUP(A357,Collection!A:A,Collection!C:C,),"Cards "),C357)</f>
        <v>1996 Upper Deck</v>
      </c>
      <c r="R357" s="58" t="str">
        <f t="shared" si="36"/>
        <v>-</v>
      </c>
      <c r="S357" s="58" t="str">
        <f>IFERROR(_xlfn.TEXTAFTER(_xlfn.XLOOKUP(A357,Collection!A:A,Collection!B:B,),"#"),"")</f>
        <v>74</v>
      </c>
      <c r="T357" s="60">
        <f t="shared" si="37"/>
        <v>1.37</v>
      </c>
      <c r="U357" s="54" t="s">
        <v>1565</v>
      </c>
      <c r="V357" s="58" t="str">
        <f>IF(ISNUMBER(MATCH(N357,Catalog!$B$4:$B$16, 0)), "Keep", "For Sale")</f>
        <v>For Sale</v>
      </c>
      <c r="W357" s="58">
        <f t="shared" si="38"/>
        <v>4</v>
      </c>
      <c r="X357" s="58">
        <f t="shared" si="39"/>
        <v>3</v>
      </c>
      <c r="Y357" s="60">
        <f t="shared" si="40"/>
        <v>1.5</v>
      </c>
      <c r="Z357" s="60">
        <f t="shared" si="41"/>
        <v>1</v>
      </c>
      <c r="AE357"/>
      <c r="AF357"/>
      <c r="AG357"/>
    </row>
    <row r="358" spans="1:33" ht="14.4" x14ac:dyDescent="0.3">
      <c r="A358" s="13">
        <v>87387</v>
      </c>
      <c r="B358" s="13" t="s">
        <v>182</v>
      </c>
      <c r="C358" s="13" t="s">
        <v>174</v>
      </c>
      <c r="D358" s="13">
        <v>137</v>
      </c>
      <c r="E358" s="13" t="s">
        <v>171</v>
      </c>
      <c r="F358" s="13" t="s">
        <v>172</v>
      </c>
      <c r="I358" s="13">
        <v>0</v>
      </c>
      <c r="J358" s="13">
        <v>1</v>
      </c>
      <c r="K358" s="14">
        <v>46183</v>
      </c>
      <c r="N358" s="13">
        <v>492</v>
      </c>
      <c r="P358" s="58" t="str">
        <f t="shared" si="35"/>
        <v>Stephon Marbury</v>
      </c>
      <c r="Q358" s="58" t="str">
        <f>IFERROR(_xlfn.TEXTAFTER(_xlfn.XLOOKUP(A358,Collection!A:A,Collection!C:C,),"Cards "),C358)</f>
        <v>1996 Upper Deck</v>
      </c>
      <c r="R358" s="58" t="str">
        <f t="shared" si="36"/>
        <v>-</v>
      </c>
      <c r="S358" s="58" t="str">
        <f>IFERROR(_xlfn.TEXTAFTER(_xlfn.XLOOKUP(A358,Collection!A:A,Collection!B:B,),"#"),"")</f>
        <v>74</v>
      </c>
      <c r="T358" s="60">
        <f t="shared" si="37"/>
        <v>1.37</v>
      </c>
      <c r="U358" s="54" t="s">
        <v>1565</v>
      </c>
      <c r="V358" s="58" t="str">
        <f>IF(ISNUMBER(MATCH(N358,Catalog!$B$4:$B$16, 0)), "Keep", "For Sale")</f>
        <v>For Sale</v>
      </c>
      <c r="W358" s="58">
        <f t="shared" si="38"/>
        <v>4</v>
      </c>
      <c r="X358" s="58">
        <f t="shared" si="39"/>
        <v>3</v>
      </c>
      <c r="Y358" s="60">
        <f t="shared" si="40"/>
        <v>1.5</v>
      </c>
      <c r="Z358" s="60">
        <f t="shared" si="41"/>
        <v>1</v>
      </c>
      <c r="AE358"/>
      <c r="AF358"/>
      <c r="AG358"/>
    </row>
    <row r="359" spans="1:33" ht="14.4" x14ac:dyDescent="0.3">
      <c r="A359" s="13">
        <v>87387</v>
      </c>
      <c r="B359" s="13" t="s">
        <v>182</v>
      </c>
      <c r="C359" s="13" t="s">
        <v>174</v>
      </c>
      <c r="D359" s="13">
        <v>137</v>
      </c>
      <c r="E359" s="13" t="s">
        <v>171</v>
      </c>
      <c r="F359" s="13" t="s">
        <v>172</v>
      </c>
      <c r="I359" s="13">
        <v>0</v>
      </c>
      <c r="J359" s="13">
        <v>1</v>
      </c>
      <c r="K359" s="14">
        <v>46183</v>
      </c>
      <c r="N359" s="13">
        <v>494</v>
      </c>
      <c r="P359" s="58" t="str">
        <f t="shared" si="35"/>
        <v>Stephon Marbury</v>
      </c>
      <c r="Q359" s="58" t="str">
        <f>IFERROR(_xlfn.TEXTAFTER(_xlfn.XLOOKUP(A359,Collection!A:A,Collection!C:C,),"Cards "),C359)</f>
        <v>1996 Upper Deck</v>
      </c>
      <c r="R359" s="58" t="str">
        <f t="shared" si="36"/>
        <v>-</v>
      </c>
      <c r="S359" s="58" t="str">
        <f>IFERROR(_xlfn.TEXTAFTER(_xlfn.XLOOKUP(A359,Collection!A:A,Collection!B:B,),"#"),"")</f>
        <v>74</v>
      </c>
      <c r="T359" s="60">
        <f t="shared" si="37"/>
        <v>1.37</v>
      </c>
      <c r="U359" s="54" t="s">
        <v>1565</v>
      </c>
      <c r="V359" s="58" t="str">
        <f>IF(ISNUMBER(MATCH(N359,Catalog!$B$4:$B$16, 0)), "Keep", "For Sale")</f>
        <v>For Sale</v>
      </c>
      <c r="W359" s="58">
        <f t="shared" si="38"/>
        <v>4</v>
      </c>
      <c r="X359" s="58">
        <f t="shared" si="39"/>
        <v>3</v>
      </c>
      <c r="Y359" s="60">
        <f t="shared" si="40"/>
        <v>1.5</v>
      </c>
      <c r="Z359" s="60">
        <f t="shared" si="41"/>
        <v>1</v>
      </c>
      <c r="AE359"/>
      <c r="AF359"/>
      <c r="AG359"/>
    </row>
    <row r="360" spans="1:33" ht="14.4" x14ac:dyDescent="0.3">
      <c r="A360" s="13">
        <v>87435</v>
      </c>
      <c r="B360" s="13" t="s">
        <v>1186</v>
      </c>
      <c r="C360" s="13" t="s">
        <v>174</v>
      </c>
      <c r="D360" s="13">
        <v>127</v>
      </c>
      <c r="E360" s="13" t="s">
        <v>171</v>
      </c>
      <c r="F360" s="13" t="s">
        <v>172</v>
      </c>
      <c r="I360" s="13">
        <v>0</v>
      </c>
      <c r="J360" s="13">
        <v>1</v>
      </c>
      <c r="K360" s="14">
        <v>46183</v>
      </c>
      <c r="N360" s="13">
        <v>501</v>
      </c>
      <c r="P360" s="58" t="str">
        <f t="shared" si="35"/>
        <v>Stephon Marbury</v>
      </c>
      <c r="Q360" s="58" t="str">
        <f>IFERROR(_xlfn.TEXTAFTER(_xlfn.XLOOKUP(A360,Collection!A:A,Collection!C:C,),"Cards "),C360)</f>
        <v>1996 Upper Deck</v>
      </c>
      <c r="R360" s="58" t="str">
        <f t="shared" si="36"/>
        <v>-</v>
      </c>
      <c r="S360" s="58" t="str">
        <f>IFERROR(_xlfn.TEXTAFTER(_xlfn.XLOOKUP(A360,Collection!A:A,Collection!B:B,),"#"),"")</f>
        <v>346</v>
      </c>
      <c r="T360" s="60">
        <f t="shared" si="37"/>
        <v>1.27</v>
      </c>
      <c r="U360" s="54" t="s">
        <v>1565</v>
      </c>
      <c r="V360" s="58" t="str">
        <f>IF(ISNUMBER(MATCH(N360,Catalog!$B$4:$B$16, 0)), "Keep", "For Sale")</f>
        <v>For Sale</v>
      </c>
      <c r="W360" s="58">
        <f t="shared" si="38"/>
        <v>2</v>
      </c>
      <c r="X360" s="58">
        <f t="shared" si="39"/>
        <v>3</v>
      </c>
      <c r="Y360" s="60">
        <f t="shared" si="40"/>
        <v>1.5</v>
      </c>
      <c r="Z360" s="60">
        <f t="shared" si="41"/>
        <v>1</v>
      </c>
      <c r="AE360"/>
      <c r="AF360"/>
      <c r="AG360"/>
    </row>
    <row r="361" spans="1:33" ht="14.4" x14ac:dyDescent="0.3">
      <c r="A361" s="13">
        <v>87435</v>
      </c>
      <c r="B361" s="13" t="s">
        <v>1186</v>
      </c>
      <c r="C361" s="13" t="s">
        <v>174</v>
      </c>
      <c r="D361" s="13">
        <v>127</v>
      </c>
      <c r="E361" s="13" t="s">
        <v>171</v>
      </c>
      <c r="F361" s="13" t="s">
        <v>172</v>
      </c>
      <c r="I361" s="13">
        <v>0</v>
      </c>
      <c r="J361" s="13">
        <v>1</v>
      </c>
      <c r="K361" s="14">
        <v>46173</v>
      </c>
      <c r="N361" s="13">
        <v>502</v>
      </c>
      <c r="P361" s="58" t="str">
        <f t="shared" si="35"/>
        <v>Stephon Marbury</v>
      </c>
      <c r="Q361" s="58" t="str">
        <f>IFERROR(_xlfn.TEXTAFTER(_xlfn.XLOOKUP(A361,Collection!A:A,Collection!C:C,),"Cards "),C361)</f>
        <v>1996 Upper Deck</v>
      </c>
      <c r="R361" s="58" t="str">
        <f t="shared" si="36"/>
        <v>-</v>
      </c>
      <c r="S361" s="58" t="str">
        <f>IFERROR(_xlfn.TEXTAFTER(_xlfn.XLOOKUP(A361,Collection!A:A,Collection!B:B,),"#"),"")</f>
        <v>346</v>
      </c>
      <c r="T361" s="60">
        <f t="shared" si="37"/>
        <v>1.27</v>
      </c>
      <c r="U361" s="54" t="s">
        <v>1565</v>
      </c>
      <c r="V361" s="58" t="str">
        <f>IF(ISNUMBER(MATCH(N361,Catalog!$B$4:$B$16, 0)), "Keep", "For Sale")</f>
        <v>For Sale</v>
      </c>
      <c r="W361" s="58">
        <f t="shared" si="38"/>
        <v>2</v>
      </c>
      <c r="X361" s="58">
        <f t="shared" si="39"/>
        <v>3</v>
      </c>
      <c r="Y361" s="60">
        <f t="shared" si="40"/>
        <v>1.5</v>
      </c>
      <c r="Z361" s="60">
        <f t="shared" si="41"/>
        <v>1</v>
      </c>
      <c r="AE361"/>
      <c r="AF361"/>
      <c r="AG361"/>
    </row>
    <row r="362" spans="1:33" ht="14.4" x14ac:dyDescent="0.3">
      <c r="A362" s="13">
        <v>85398</v>
      </c>
      <c r="B362" s="13" t="s">
        <v>455</v>
      </c>
      <c r="C362" s="13" t="s">
        <v>216</v>
      </c>
      <c r="D362" s="13">
        <v>125</v>
      </c>
      <c r="E362" s="13" t="s">
        <v>171</v>
      </c>
      <c r="F362" s="13" t="s">
        <v>172</v>
      </c>
      <c r="I362" s="13">
        <v>0</v>
      </c>
      <c r="J362" s="13">
        <v>1</v>
      </c>
      <c r="K362" s="14">
        <v>46129</v>
      </c>
      <c r="N362" s="13">
        <v>495</v>
      </c>
      <c r="P362" s="58" t="str">
        <f t="shared" si="35"/>
        <v>Stephon Marbury</v>
      </c>
      <c r="Q362" s="58" t="str">
        <f>IFERROR(_xlfn.TEXTAFTER(_xlfn.XLOOKUP(A362,Collection!A:A,Collection!C:C,),"Cards "),C362)</f>
        <v>1996 Fleer Metal</v>
      </c>
      <c r="R362" s="58" t="str">
        <f t="shared" si="36"/>
        <v>-</v>
      </c>
      <c r="S362" s="58" t="str">
        <f>IFERROR(_xlfn.TEXTAFTER(_xlfn.XLOOKUP(A362,Collection!A:A,Collection!B:B,),"#"),"")</f>
        <v>134</v>
      </c>
      <c r="T362" s="60">
        <f t="shared" si="37"/>
        <v>1.25</v>
      </c>
      <c r="U362" s="54" t="s">
        <v>1565</v>
      </c>
      <c r="V362" s="58" t="str">
        <f>IF(ISNUMBER(MATCH(N362,Catalog!$B$4:$B$16, 0)), "Keep", "For Sale")</f>
        <v>For Sale</v>
      </c>
      <c r="W362" s="58">
        <f t="shared" si="38"/>
        <v>1</v>
      </c>
      <c r="X362" s="58">
        <f t="shared" si="39"/>
        <v>3</v>
      </c>
      <c r="Y362" s="60">
        <f t="shared" si="40"/>
        <v>1.5</v>
      </c>
      <c r="Z362" s="60">
        <f t="shared" si="41"/>
        <v>1.25</v>
      </c>
      <c r="AE362"/>
      <c r="AF362"/>
      <c r="AG362"/>
    </row>
    <row r="363" spans="1:33" ht="14.4" x14ac:dyDescent="0.3">
      <c r="A363" s="13">
        <v>85663</v>
      </c>
      <c r="B363" s="13" t="s">
        <v>194</v>
      </c>
      <c r="C363" s="13" t="s">
        <v>195</v>
      </c>
      <c r="D363" s="13">
        <v>118</v>
      </c>
      <c r="E363" s="13" t="s">
        <v>171</v>
      </c>
      <c r="F363" s="13" t="s">
        <v>172</v>
      </c>
      <c r="I363" s="13">
        <v>0</v>
      </c>
      <c r="J363" s="13">
        <v>1</v>
      </c>
      <c r="K363" s="14">
        <v>46149</v>
      </c>
      <c r="L363" s="14">
        <v>46149</v>
      </c>
      <c r="N363" s="13">
        <v>380</v>
      </c>
      <c r="P363" s="58" t="str">
        <f t="shared" si="35"/>
        <v>Stephon Marbury</v>
      </c>
      <c r="Q363" s="58" t="str">
        <f>IFERROR(_xlfn.TEXTAFTER(_xlfn.XLOOKUP(A363,Collection!A:A,Collection!C:C,),"Cards "),C363)</f>
        <v>1996 Skybox Premium</v>
      </c>
      <c r="R363" s="58" t="str">
        <f t="shared" si="36"/>
        <v>-</v>
      </c>
      <c r="S363" s="58" t="str">
        <f>IFERROR(_xlfn.TEXTAFTER(_xlfn.XLOOKUP(A363,Collection!A:A,Collection!B:B,),"#"),"")</f>
        <v>69</v>
      </c>
      <c r="T363" s="60">
        <f t="shared" si="37"/>
        <v>1.18</v>
      </c>
      <c r="U363" s="54" t="s">
        <v>1565</v>
      </c>
      <c r="V363" s="58" t="str">
        <f>IF(ISNUMBER(MATCH(N363,Catalog!$B$4:$B$16, 0)), "Keep", "For Sale")</f>
        <v>For Sale</v>
      </c>
      <c r="W363" s="58">
        <f t="shared" si="38"/>
        <v>1</v>
      </c>
      <c r="X363" s="58">
        <f t="shared" si="39"/>
        <v>3</v>
      </c>
      <c r="Y363" s="60">
        <f t="shared" si="40"/>
        <v>1.25</v>
      </c>
      <c r="Z363" s="60">
        <f t="shared" si="41"/>
        <v>1</v>
      </c>
      <c r="AE363"/>
      <c r="AF363"/>
      <c r="AG363"/>
    </row>
    <row r="364" spans="1:33" ht="14.4" x14ac:dyDescent="0.3">
      <c r="A364" s="13">
        <v>87243</v>
      </c>
      <c r="B364" s="13" t="s">
        <v>439</v>
      </c>
      <c r="C364" s="13" t="s">
        <v>440</v>
      </c>
      <c r="D364" s="13">
        <v>99</v>
      </c>
      <c r="E364" s="13" t="s">
        <v>171</v>
      </c>
      <c r="F364" s="13" t="s">
        <v>172</v>
      </c>
      <c r="I364" s="13">
        <v>0</v>
      </c>
      <c r="J364" s="13">
        <v>1</v>
      </c>
      <c r="K364" s="14">
        <v>46129</v>
      </c>
      <c r="N364" s="13">
        <v>407</v>
      </c>
      <c r="P364" s="58" t="str">
        <f t="shared" si="35"/>
        <v>Stephon Marbury</v>
      </c>
      <c r="Q364" s="58" t="str">
        <f>IFERROR(_xlfn.TEXTAFTER(_xlfn.XLOOKUP(A364,Collection!A:A,Collection!C:C,),"Cards "),C364)</f>
        <v>1996 UD3</v>
      </c>
      <c r="R364" s="58" t="str">
        <f t="shared" si="36"/>
        <v>-</v>
      </c>
      <c r="S364" s="58" t="str">
        <f>IFERROR(_xlfn.TEXTAFTER(_xlfn.XLOOKUP(A364,Collection!A:A,Collection!B:B,),"#"),"")</f>
        <v>2</v>
      </c>
      <c r="T364" s="60">
        <f t="shared" si="37"/>
        <v>0.99</v>
      </c>
      <c r="U364" s="54" t="s">
        <v>1565</v>
      </c>
      <c r="V364" s="58" t="str">
        <f>IF(ISNUMBER(MATCH(N364,Catalog!$B$4:$B$16, 0)), "Keep", "For Sale")</f>
        <v>For Sale</v>
      </c>
      <c r="W364" s="58">
        <f t="shared" si="38"/>
        <v>1</v>
      </c>
      <c r="X364" s="58">
        <f t="shared" si="39"/>
        <v>3</v>
      </c>
      <c r="Y364" s="60">
        <f t="shared" si="40"/>
        <v>1</v>
      </c>
      <c r="Z364" s="60">
        <f t="shared" si="41"/>
        <v>0.75</v>
      </c>
      <c r="AE364"/>
      <c r="AF364"/>
      <c r="AG364"/>
    </row>
    <row r="365" spans="1:33" ht="14.4" x14ac:dyDescent="0.3">
      <c r="A365" s="13">
        <v>85421</v>
      </c>
      <c r="B365" s="13" t="s">
        <v>1315</v>
      </c>
      <c r="C365" s="13" t="s">
        <v>216</v>
      </c>
      <c r="D365" s="13">
        <v>82</v>
      </c>
      <c r="E365" s="13" t="s">
        <v>171</v>
      </c>
      <c r="F365" s="13" t="s">
        <v>172</v>
      </c>
      <c r="I365" s="13">
        <v>0</v>
      </c>
      <c r="J365" s="13">
        <v>1</v>
      </c>
      <c r="K365" s="14">
        <v>46183</v>
      </c>
      <c r="N365" s="13">
        <v>509</v>
      </c>
      <c r="P365" s="58" t="str">
        <f t="shared" si="35"/>
        <v>Stephon Marbury</v>
      </c>
      <c r="Q365" s="58" t="str">
        <f>IFERROR(_xlfn.TEXTAFTER(_xlfn.XLOOKUP(A365,Collection!A:A,Collection!C:C,),"Cards "),C365)</f>
        <v>1996 Fleer Metal</v>
      </c>
      <c r="R365" s="58" t="str">
        <f t="shared" si="36"/>
        <v>-</v>
      </c>
      <c r="S365" s="58" t="str">
        <f>IFERROR(_xlfn.TEXTAFTER(_xlfn.XLOOKUP(A365,Collection!A:A,Collection!B:B,),"#"),"")</f>
        <v>189</v>
      </c>
      <c r="T365" s="60">
        <f t="shared" si="37"/>
        <v>0.82</v>
      </c>
      <c r="U365" s="54" t="s">
        <v>1565</v>
      </c>
      <c r="V365" s="58" t="str">
        <f>IF(ISNUMBER(MATCH(N365,Catalog!$B$4:$B$16, 0)), "Keep", "For Sale")</f>
        <v>For Sale</v>
      </c>
      <c r="W365" s="58">
        <f t="shared" si="38"/>
        <v>3</v>
      </c>
      <c r="X365" s="58">
        <f t="shared" si="39"/>
        <v>3</v>
      </c>
      <c r="Y365" s="60">
        <f t="shared" si="40"/>
        <v>0.75</v>
      </c>
      <c r="Z365" s="60">
        <f t="shared" si="41"/>
        <v>0.5</v>
      </c>
      <c r="AE365"/>
      <c r="AF365"/>
      <c r="AG365"/>
    </row>
    <row r="366" spans="1:33" ht="14.4" x14ac:dyDescent="0.3">
      <c r="A366" s="13">
        <v>85421</v>
      </c>
      <c r="B366" s="13" t="s">
        <v>1315</v>
      </c>
      <c r="C366" s="13" t="s">
        <v>216</v>
      </c>
      <c r="D366" s="13">
        <v>82</v>
      </c>
      <c r="E366" s="13" t="s">
        <v>171</v>
      </c>
      <c r="F366" s="13" t="s">
        <v>172</v>
      </c>
      <c r="I366" s="13">
        <v>0</v>
      </c>
      <c r="J366" s="13">
        <v>1</v>
      </c>
      <c r="K366" s="14">
        <v>46183</v>
      </c>
      <c r="N366" s="13">
        <v>512</v>
      </c>
      <c r="P366" s="58" t="str">
        <f t="shared" si="35"/>
        <v>Stephon Marbury</v>
      </c>
      <c r="Q366" s="58" t="str">
        <f>IFERROR(_xlfn.TEXTAFTER(_xlfn.XLOOKUP(A366,Collection!A:A,Collection!C:C,),"Cards "),C366)</f>
        <v>1996 Fleer Metal</v>
      </c>
      <c r="R366" s="58" t="str">
        <f t="shared" si="36"/>
        <v>-</v>
      </c>
      <c r="S366" s="58" t="str">
        <f>IFERROR(_xlfn.TEXTAFTER(_xlfn.XLOOKUP(A366,Collection!A:A,Collection!B:B,),"#"),"")</f>
        <v>189</v>
      </c>
      <c r="T366" s="60">
        <f t="shared" si="37"/>
        <v>0.82</v>
      </c>
      <c r="U366" s="54" t="s">
        <v>1565</v>
      </c>
      <c r="V366" s="58" t="str">
        <f>IF(ISNUMBER(MATCH(N366,Catalog!$B$4:$B$16, 0)), "Keep", "For Sale")</f>
        <v>For Sale</v>
      </c>
      <c r="W366" s="58">
        <f t="shared" si="38"/>
        <v>3</v>
      </c>
      <c r="X366" s="58">
        <f t="shared" si="39"/>
        <v>3</v>
      </c>
      <c r="Y366" s="60">
        <f t="shared" si="40"/>
        <v>0.75</v>
      </c>
      <c r="Z366" s="60">
        <f t="shared" si="41"/>
        <v>0.5</v>
      </c>
      <c r="AE366"/>
      <c r="AF366"/>
      <c r="AG366"/>
    </row>
    <row r="367" spans="1:33" ht="14.4" x14ac:dyDescent="0.3">
      <c r="A367" s="13">
        <v>85421</v>
      </c>
      <c r="B367" s="13" t="s">
        <v>1315</v>
      </c>
      <c r="C367" s="13" t="s">
        <v>216</v>
      </c>
      <c r="D367" s="13">
        <v>82</v>
      </c>
      <c r="E367" s="13" t="s">
        <v>171</v>
      </c>
      <c r="F367" s="13" t="s">
        <v>172</v>
      </c>
      <c r="I367" s="13">
        <v>0</v>
      </c>
      <c r="J367" s="13">
        <v>1</v>
      </c>
      <c r="K367" s="14">
        <v>46173</v>
      </c>
      <c r="N367" s="13">
        <v>514</v>
      </c>
      <c r="P367" s="58" t="str">
        <f t="shared" si="35"/>
        <v>Stephon Marbury</v>
      </c>
      <c r="Q367" s="58" t="str">
        <f>IFERROR(_xlfn.TEXTAFTER(_xlfn.XLOOKUP(A367,Collection!A:A,Collection!C:C,),"Cards "),C367)</f>
        <v>1996 Fleer Metal</v>
      </c>
      <c r="R367" s="58" t="str">
        <f t="shared" si="36"/>
        <v>-</v>
      </c>
      <c r="S367" s="58" t="str">
        <f>IFERROR(_xlfn.TEXTAFTER(_xlfn.XLOOKUP(A367,Collection!A:A,Collection!B:B,),"#"),"")</f>
        <v>189</v>
      </c>
      <c r="T367" s="60">
        <f t="shared" si="37"/>
        <v>0.82</v>
      </c>
      <c r="U367" s="54" t="s">
        <v>1565</v>
      </c>
      <c r="V367" s="58" t="str">
        <f>IF(ISNUMBER(MATCH(N367,Catalog!$B$4:$B$16, 0)), "Keep", "For Sale")</f>
        <v>For Sale</v>
      </c>
      <c r="W367" s="58">
        <f t="shared" si="38"/>
        <v>3</v>
      </c>
      <c r="X367" s="58">
        <f t="shared" si="39"/>
        <v>3</v>
      </c>
      <c r="Y367" s="60">
        <f t="shared" si="40"/>
        <v>0.75</v>
      </c>
      <c r="Z367" s="60">
        <f t="shared" si="41"/>
        <v>0.5</v>
      </c>
      <c r="AE367"/>
      <c r="AF367"/>
      <c r="AG367"/>
    </row>
    <row r="368" spans="1:33" ht="14.4" x14ac:dyDescent="0.3">
      <c r="A368" s="13">
        <v>8088869</v>
      </c>
      <c r="B368" s="13" t="s">
        <v>1302</v>
      </c>
      <c r="C368" s="13" t="s">
        <v>451</v>
      </c>
      <c r="D368" s="13">
        <v>74</v>
      </c>
      <c r="E368" s="13" t="s">
        <v>171</v>
      </c>
      <c r="F368" s="13" t="s">
        <v>172</v>
      </c>
      <c r="I368" s="13">
        <v>0</v>
      </c>
      <c r="J368" s="13">
        <v>1</v>
      </c>
      <c r="K368" s="14">
        <v>46173</v>
      </c>
      <c r="N368" s="13">
        <v>587</v>
      </c>
      <c r="P368" s="58" t="str">
        <f t="shared" si="35"/>
        <v>Stephon Marbury</v>
      </c>
      <c r="Q368" s="58" t="str">
        <f>IFERROR(_xlfn.TEXTAFTER(_xlfn.XLOOKUP(A368,Collection!A:A,Collection!C:C,),"Cards "),C368)</f>
        <v>1997 Skybox Premium</v>
      </c>
      <c r="R368" s="58" t="str">
        <f t="shared" si="36"/>
        <v>-</v>
      </c>
      <c r="S368" s="58" t="str">
        <f>IFERROR(_xlfn.TEXTAFTER(_xlfn.XLOOKUP(A368,Collection!A:A,Collection!B:B,),"#"),"")</f>
        <v>121</v>
      </c>
      <c r="T368" s="60">
        <f t="shared" si="37"/>
        <v>0.74</v>
      </c>
      <c r="U368" s="54" t="s">
        <v>1565</v>
      </c>
      <c r="V368" s="58" t="str">
        <f>IF(ISNUMBER(MATCH(N368,Catalog!$B$4:$B$16, 0)), "Keep", "For Sale")</f>
        <v>For Sale</v>
      </c>
      <c r="W368" s="58">
        <f t="shared" si="38"/>
        <v>1</v>
      </c>
      <c r="X368" s="58">
        <f t="shared" si="39"/>
        <v>3</v>
      </c>
      <c r="Y368" s="60">
        <f t="shared" si="40"/>
        <v>0.75</v>
      </c>
      <c r="Z368" s="60">
        <f t="shared" si="41"/>
        <v>0.5</v>
      </c>
      <c r="AE368"/>
      <c r="AF368"/>
      <c r="AG368"/>
    </row>
    <row r="369" spans="1:33" ht="14.4" x14ac:dyDescent="0.3">
      <c r="A369" s="13">
        <v>13163236</v>
      </c>
      <c r="B369" s="13" t="s">
        <v>1240</v>
      </c>
      <c r="C369" s="13" t="s">
        <v>1241</v>
      </c>
      <c r="D369" s="13">
        <v>0</v>
      </c>
      <c r="E369" s="13" t="s">
        <v>171</v>
      </c>
      <c r="F369" s="13" t="s">
        <v>172</v>
      </c>
      <c r="I369" s="13">
        <v>0</v>
      </c>
      <c r="J369" s="13">
        <v>1</v>
      </c>
      <c r="K369" s="14">
        <v>46173</v>
      </c>
      <c r="N369" s="13">
        <v>603</v>
      </c>
      <c r="P369" s="58" t="str">
        <f t="shared" si="35"/>
        <v>Stephon Marbury</v>
      </c>
      <c r="Q369" s="58" t="str">
        <f>IFERROR(_xlfn.TEXTAFTER(_xlfn.XLOOKUP(A369,Collection!A:A,Collection!C:C,),"Cards "),C369)</f>
        <v>1998 Kenner Upper Deck Starting Lineup</v>
      </c>
      <c r="R369" s="58" t="str">
        <f t="shared" si="36"/>
        <v>-</v>
      </c>
      <c r="S369" s="58" t="str">
        <f>IFERROR(_xlfn.TEXTAFTER(_xlfn.XLOOKUP(A369,Collection!A:A,Collection!B:B,),"#"),"")</f>
        <v>SL24</v>
      </c>
      <c r="T369" s="60">
        <f t="shared" si="37"/>
        <v>0</v>
      </c>
      <c r="U369" s="54" t="s">
        <v>1565</v>
      </c>
      <c r="V369" s="58" t="str">
        <f>IF(ISNUMBER(MATCH(N369,Catalog!$B$4:$B$16, 0)), "Keep", "For Sale")</f>
        <v>For Sale</v>
      </c>
      <c r="W369" s="58">
        <f t="shared" si="38"/>
        <v>1</v>
      </c>
      <c r="X369" s="58">
        <f t="shared" si="39"/>
        <v>3</v>
      </c>
      <c r="Y369" s="60">
        <f t="shared" si="40"/>
        <v>0.25</v>
      </c>
      <c r="Z369" s="60">
        <f t="shared" si="41"/>
        <v>0.25</v>
      </c>
      <c r="AE369"/>
      <c r="AF369"/>
      <c r="AG369"/>
    </row>
    <row r="370" spans="1:33" ht="14.4" x14ac:dyDescent="0.3">
      <c r="A370" s="13">
        <v>7641306</v>
      </c>
      <c r="B370" s="13" t="s">
        <v>685</v>
      </c>
      <c r="C370" s="13" t="s">
        <v>549</v>
      </c>
      <c r="D370" s="13">
        <v>223</v>
      </c>
      <c r="E370" s="13" t="s">
        <v>171</v>
      </c>
      <c r="F370" s="13" t="s">
        <v>172</v>
      </c>
      <c r="I370" s="13">
        <v>0</v>
      </c>
      <c r="J370" s="13">
        <v>1</v>
      </c>
      <c r="K370" s="14">
        <v>46129</v>
      </c>
      <c r="N370" s="13">
        <v>231</v>
      </c>
      <c r="P370" s="58" t="str">
        <f t="shared" si="35"/>
        <v>Thomas Dooley</v>
      </c>
      <c r="Q370" s="58" t="str">
        <f>IFERROR(_xlfn.TEXTAFTER(_xlfn.XLOOKUP(A370,Collection!A:A,Collection!C:C,),"Cards "),C370)</f>
        <v>1994 Upper Deck World Cup Soccer</v>
      </c>
      <c r="R370" s="58" t="str">
        <f t="shared" si="36"/>
        <v>-</v>
      </c>
      <c r="S370" s="58" t="str">
        <f>IFERROR(_xlfn.TEXTAFTER(_xlfn.XLOOKUP(A370,Collection!A:A,Collection!B:B,),"#"),"")</f>
        <v>7</v>
      </c>
      <c r="T370" s="60">
        <f t="shared" si="37"/>
        <v>2.23</v>
      </c>
      <c r="U370" s="54" t="s">
        <v>1698</v>
      </c>
      <c r="V370" s="58" t="str">
        <f>IF(ISNUMBER(MATCH(N370,Catalog!$B$4:$B$16, 0)), "Keep", "For Sale")</f>
        <v>For Sale</v>
      </c>
      <c r="W370" s="58">
        <f t="shared" si="38"/>
        <v>1</v>
      </c>
      <c r="X370" s="58">
        <f t="shared" si="39"/>
        <v>3</v>
      </c>
      <c r="Y370" s="60">
        <f t="shared" si="40"/>
        <v>3</v>
      </c>
      <c r="Z370" s="60">
        <f t="shared" si="41"/>
        <v>2</v>
      </c>
      <c r="AE370"/>
      <c r="AF370"/>
      <c r="AG370"/>
    </row>
    <row r="371" spans="1:33" ht="14.4" x14ac:dyDescent="0.3">
      <c r="A371" s="13">
        <v>2478471</v>
      </c>
      <c r="B371" s="13" t="s">
        <v>562</v>
      </c>
      <c r="C371" s="13" t="s">
        <v>563</v>
      </c>
      <c r="D371" s="13">
        <v>389</v>
      </c>
      <c r="E371" s="13" t="s">
        <v>171</v>
      </c>
      <c r="F371" s="13" t="s">
        <v>172</v>
      </c>
      <c r="H371" s="13" t="s">
        <v>564</v>
      </c>
      <c r="I371" s="13">
        <v>441</v>
      </c>
      <c r="J371" s="13">
        <v>1</v>
      </c>
      <c r="K371" s="14">
        <v>46154</v>
      </c>
      <c r="L371" s="14">
        <v>46146</v>
      </c>
      <c r="N371" s="13">
        <v>128</v>
      </c>
      <c r="P371" s="58" t="str">
        <f t="shared" si="35"/>
        <v>Tyrese Haliburton</v>
      </c>
      <c r="Q371" s="58" t="str">
        <f>IFERROR(_xlfn.TEXTAFTER(_xlfn.XLOOKUP(A371,Collection!A:A,Collection!C:C,),"Cards "),C371)</f>
        <v>2020 Panini Clearly Donruss</v>
      </c>
      <c r="R371" s="58" t="str">
        <f t="shared" si="36"/>
        <v>-</v>
      </c>
      <c r="S371" s="58" t="str">
        <f>IFERROR(_xlfn.TEXTAFTER(_xlfn.XLOOKUP(A371,Collection!A:A,Collection!B:B,),"#"),"")</f>
        <v>75</v>
      </c>
      <c r="T371" s="60">
        <f t="shared" si="37"/>
        <v>3.89</v>
      </c>
      <c r="U371" s="54" t="s">
        <v>1608</v>
      </c>
      <c r="V371" s="58" t="str">
        <f>IF(ISNUMBER(MATCH(N371,Catalog!$B$4:$B$16, 0)), "Keep", "For Sale")</f>
        <v>For Sale</v>
      </c>
      <c r="W371" s="58">
        <f t="shared" si="38"/>
        <v>1</v>
      </c>
      <c r="X371" s="58">
        <f t="shared" si="39"/>
        <v>3</v>
      </c>
      <c r="Y371" s="60">
        <f t="shared" si="40"/>
        <v>5</v>
      </c>
      <c r="Z371" s="60">
        <f t="shared" si="41"/>
        <v>4</v>
      </c>
      <c r="AE371"/>
      <c r="AF371"/>
      <c r="AG371"/>
    </row>
    <row r="372" spans="1:33" ht="14.4" x14ac:dyDescent="0.3">
      <c r="A372" s="13">
        <v>10134970</v>
      </c>
      <c r="B372" s="13" t="s">
        <v>1242</v>
      </c>
      <c r="C372" s="13" t="s">
        <v>1243</v>
      </c>
      <c r="D372" s="13">
        <v>233</v>
      </c>
      <c r="E372" s="13" t="s">
        <v>171</v>
      </c>
      <c r="F372" s="13" t="s">
        <v>172</v>
      </c>
      <c r="H372" s="13" t="s">
        <v>1244</v>
      </c>
      <c r="I372" s="13">
        <v>110</v>
      </c>
      <c r="J372" s="13">
        <v>1</v>
      </c>
      <c r="K372" s="14">
        <v>46182</v>
      </c>
      <c r="L372" s="14">
        <v>46181</v>
      </c>
      <c r="N372" s="13">
        <v>218</v>
      </c>
      <c r="P372" s="58" t="str">
        <f t="shared" si="35"/>
        <v>Tyrese Haliburton</v>
      </c>
      <c r="Q372" s="58" t="str">
        <f>IFERROR(_xlfn.TEXTAFTER(_xlfn.XLOOKUP(A372,Collection!A:A,Collection!C:C,),"Cards "),C372)</f>
        <v>2024 Topps Finest</v>
      </c>
      <c r="R372" s="58" t="str">
        <f t="shared" si="36"/>
        <v>Blue Refractor</v>
      </c>
      <c r="S372" s="58" t="str">
        <f>IFERROR(_xlfn.TEXTAFTER(_xlfn.XLOOKUP(A372,Collection!A:A,Collection!B:B,),"#"),"")</f>
        <v>38</v>
      </c>
      <c r="T372" s="60">
        <f t="shared" si="37"/>
        <v>2.33</v>
      </c>
      <c r="U372" s="54" t="s">
        <v>1608</v>
      </c>
      <c r="V372" s="58" t="str">
        <f>IF(ISNUMBER(MATCH(N372,Catalog!$B$4:$B$16, 0)), "Keep", "For Sale")</f>
        <v>For Sale</v>
      </c>
      <c r="W372" s="58">
        <f t="shared" si="38"/>
        <v>1</v>
      </c>
      <c r="X372" s="58">
        <f t="shared" si="39"/>
        <v>3</v>
      </c>
      <c r="Y372" s="60">
        <f t="shared" si="40"/>
        <v>3</v>
      </c>
      <c r="Z372" s="60">
        <f t="shared" si="41"/>
        <v>1</v>
      </c>
      <c r="AE372"/>
      <c r="AF372"/>
      <c r="AG372"/>
    </row>
    <row r="373" spans="1:33" ht="14.4" x14ac:dyDescent="0.3">
      <c r="A373" s="13">
        <v>94143</v>
      </c>
      <c r="B373" s="13" t="s">
        <v>343</v>
      </c>
      <c r="C373" s="13" t="s">
        <v>189</v>
      </c>
      <c r="D373" s="13">
        <v>605</v>
      </c>
      <c r="E373" s="13" t="s">
        <v>171</v>
      </c>
      <c r="F373" s="13" t="s">
        <v>172</v>
      </c>
      <c r="I373" s="13">
        <v>0</v>
      </c>
      <c r="J373" s="13">
        <v>1</v>
      </c>
      <c r="K373" s="14">
        <v>46127</v>
      </c>
      <c r="N373" s="13">
        <v>42</v>
      </c>
      <c r="P373" s="58" t="str">
        <f t="shared" si="35"/>
        <v>Vince Carter</v>
      </c>
      <c r="Q373" s="58" t="str">
        <f>IFERROR(_xlfn.TEXTAFTER(_xlfn.XLOOKUP(A373,Collection!A:A,Collection!C:C,),"Cards "),C373)</f>
        <v>1998 Upper Deck Black Diamond</v>
      </c>
      <c r="R373" s="58" t="str">
        <f t="shared" si="36"/>
        <v>-</v>
      </c>
      <c r="S373" s="58" t="str">
        <f>IFERROR(_xlfn.TEXTAFTER(_xlfn.XLOOKUP(A373,Collection!A:A,Collection!B:B,),"#"),"")</f>
        <v>120</v>
      </c>
      <c r="T373" s="60">
        <f t="shared" si="37"/>
        <v>6.05</v>
      </c>
      <c r="U373" s="54" t="s">
        <v>1644</v>
      </c>
      <c r="V373" s="58" t="str">
        <f>IF(ISNUMBER(MATCH(N373,Catalog!$B$4:$B$16, 0)), "Keep", "For Sale")</f>
        <v>For Sale</v>
      </c>
      <c r="W373" s="58">
        <f t="shared" si="38"/>
        <v>1</v>
      </c>
      <c r="X373" s="58">
        <f t="shared" si="39"/>
        <v>3</v>
      </c>
      <c r="Y373" s="60">
        <f t="shared" si="40"/>
        <v>7</v>
      </c>
      <c r="Z373" s="60">
        <f t="shared" si="41"/>
        <v>6</v>
      </c>
      <c r="AE373"/>
      <c r="AF373"/>
      <c r="AG373"/>
    </row>
    <row r="374" spans="1:33" ht="14.4" x14ac:dyDescent="0.3">
      <c r="A374" s="13">
        <v>10714956</v>
      </c>
      <c r="B374" s="13" t="s">
        <v>297</v>
      </c>
      <c r="C374" s="13" t="s">
        <v>298</v>
      </c>
      <c r="D374" s="13">
        <v>421</v>
      </c>
      <c r="E374" s="13" t="s">
        <v>171</v>
      </c>
      <c r="F374" s="13" t="s">
        <v>172</v>
      </c>
      <c r="I374" s="13">
        <v>0</v>
      </c>
      <c r="J374" s="13">
        <v>1</v>
      </c>
      <c r="K374" s="14">
        <v>46127</v>
      </c>
      <c r="N374" s="13">
        <v>121</v>
      </c>
      <c r="P374" s="58" t="str">
        <f t="shared" si="35"/>
        <v>Vince Carter</v>
      </c>
      <c r="Q374" s="58" t="str">
        <f>IFERROR(_xlfn.TEXTAFTER(_xlfn.XLOOKUP(A374,Collection!A:A,Collection!C:C,),"Cards "),C374)</f>
        <v>1998 Ultra World Premiere</v>
      </c>
      <c r="R374" s="58" t="str">
        <f t="shared" si="36"/>
        <v>-</v>
      </c>
      <c r="S374" s="58" t="str">
        <f>IFERROR(_xlfn.TEXTAFTER(_xlfn.XLOOKUP(A374,Collection!A:A,Collection!B:B,),"#"),"")</f>
        <v>14</v>
      </c>
      <c r="T374" s="60">
        <f t="shared" si="37"/>
        <v>4.21</v>
      </c>
      <c r="U374" s="54" t="s">
        <v>1644</v>
      </c>
      <c r="V374" s="58" t="str">
        <f>IF(ISNUMBER(MATCH(N374,Catalog!$B$4:$B$16, 0)), "Keep", "For Sale")</f>
        <v>For Sale</v>
      </c>
      <c r="W374" s="58">
        <f t="shared" si="38"/>
        <v>1</v>
      </c>
      <c r="X374" s="58">
        <f t="shared" si="39"/>
        <v>3</v>
      </c>
      <c r="Y374" s="60">
        <f t="shared" si="40"/>
        <v>5</v>
      </c>
      <c r="Z374" s="60">
        <f t="shared" si="41"/>
        <v>4</v>
      </c>
      <c r="AE374"/>
      <c r="AF374"/>
      <c r="AG374"/>
    </row>
    <row r="375" spans="1:33" ht="14.4" x14ac:dyDescent="0.3">
      <c r="A375" s="13">
        <v>2884415</v>
      </c>
      <c r="B375" s="13" t="s">
        <v>382</v>
      </c>
      <c r="C375" s="13" t="s">
        <v>213</v>
      </c>
      <c r="D375" s="13">
        <v>102</v>
      </c>
      <c r="E375" s="13" t="s">
        <v>171</v>
      </c>
      <c r="F375" s="13" t="s">
        <v>172</v>
      </c>
      <c r="I375" s="13">
        <v>0</v>
      </c>
      <c r="J375" s="13">
        <v>1</v>
      </c>
      <c r="K375" s="14">
        <v>46128</v>
      </c>
      <c r="L375" s="14">
        <v>46128</v>
      </c>
      <c r="N375" s="13">
        <v>535</v>
      </c>
      <c r="P375" s="58" t="str">
        <f t="shared" si="35"/>
        <v>Vince Carter</v>
      </c>
      <c r="Q375" s="58" t="str">
        <f>IFERROR(_xlfn.TEXTAFTER(_xlfn.XLOOKUP(A375,Collection!A:A,Collection!C:C,),"Cards "),C375)</f>
        <v>1999 SP Authentic</v>
      </c>
      <c r="R375" s="58" t="str">
        <f t="shared" si="36"/>
        <v>-</v>
      </c>
      <c r="S375" s="58" t="str">
        <f>IFERROR(_xlfn.TEXTAFTER(_xlfn.XLOOKUP(A375,Collection!A:A,Collection!B:B,),"#"),"")</f>
        <v>79</v>
      </c>
      <c r="T375" s="60">
        <f t="shared" si="37"/>
        <v>1.02</v>
      </c>
      <c r="U375" s="54" t="s">
        <v>1644</v>
      </c>
      <c r="V375" s="58" t="str">
        <f>IF(ISNUMBER(MATCH(N375,Catalog!$B$4:$B$16, 0)), "Keep", "For Sale")</f>
        <v>For Sale</v>
      </c>
      <c r="W375" s="58">
        <f t="shared" si="38"/>
        <v>1</v>
      </c>
      <c r="X375" s="58">
        <f t="shared" si="39"/>
        <v>3</v>
      </c>
      <c r="Y375" s="60">
        <f t="shared" si="40"/>
        <v>1</v>
      </c>
      <c r="Z375" s="60">
        <f t="shared" si="41"/>
        <v>1</v>
      </c>
      <c r="AE375"/>
      <c r="AF375"/>
      <c r="AG375"/>
    </row>
    <row r="376" spans="1:33" ht="14.4" x14ac:dyDescent="0.3">
      <c r="A376" s="13">
        <v>6665822</v>
      </c>
      <c r="B376" s="13" t="s">
        <v>1225</v>
      </c>
      <c r="C376" s="13" t="s">
        <v>1226</v>
      </c>
      <c r="D376" s="13">
        <v>285</v>
      </c>
      <c r="E376" s="13" t="s">
        <v>171</v>
      </c>
      <c r="F376" s="13" t="s">
        <v>172</v>
      </c>
      <c r="I376" s="13">
        <v>0</v>
      </c>
      <c r="J376" s="13">
        <v>1</v>
      </c>
      <c r="K376" s="14">
        <v>46174</v>
      </c>
      <c r="N376" s="13">
        <v>196</v>
      </c>
      <c r="P376" s="58" t="str">
        <f t="shared" si="35"/>
        <v>Yamil Benitez</v>
      </c>
      <c r="Q376" s="58" t="str">
        <f>IFERROR(_xlfn.TEXTAFTER(_xlfn.XLOOKUP(A376,Collection!A:A,Collection!C:C,),"Cards "),C376)</f>
        <v>1996 Upper Deck</v>
      </c>
      <c r="R376" s="58" t="str">
        <f t="shared" si="36"/>
        <v>-</v>
      </c>
      <c r="S376" s="58" t="str">
        <f>IFERROR(_xlfn.TEXTAFTER(_xlfn.XLOOKUP(A376,Collection!A:A,Collection!B:B,),"#"),"")</f>
        <v>239</v>
      </c>
      <c r="T376" s="60">
        <f t="shared" si="37"/>
        <v>2.85</v>
      </c>
      <c r="U376" s="54" t="s">
        <v>1643</v>
      </c>
      <c r="V376" s="58" t="str">
        <f>IF(ISNUMBER(MATCH(N376,Catalog!$B$4:$B$16, 0)), "Keep", "For Sale")</f>
        <v>For Sale</v>
      </c>
      <c r="W376" s="58">
        <f t="shared" si="38"/>
        <v>1</v>
      </c>
      <c r="X376" s="58">
        <f t="shared" si="39"/>
        <v>3</v>
      </c>
      <c r="Y376" s="60">
        <f t="shared" si="40"/>
        <v>3</v>
      </c>
      <c r="Z376" s="60">
        <f t="shared" si="41"/>
        <v>3</v>
      </c>
      <c r="AE376"/>
      <c r="AF376"/>
      <c r="AG376"/>
    </row>
    <row r="377" spans="1:33" ht="14.4" x14ac:dyDescent="0.3">
      <c r="A377" s="13">
        <v>93332</v>
      </c>
      <c r="B377" s="13" t="s">
        <v>304</v>
      </c>
      <c r="C377" s="13" t="s">
        <v>305</v>
      </c>
      <c r="D377" s="13">
        <v>146</v>
      </c>
      <c r="E377" s="13" t="s">
        <v>171</v>
      </c>
      <c r="F377" s="13" t="s">
        <v>172</v>
      </c>
      <c r="I377" s="13">
        <v>0</v>
      </c>
      <c r="J377" s="13">
        <v>1</v>
      </c>
      <c r="K377" s="14">
        <v>46183</v>
      </c>
      <c r="N377" s="13">
        <v>438</v>
      </c>
      <c r="P377" s="58" t="str">
        <f t="shared" si="35"/>
        <v>Antawn Jamison</v>
      </c>
      <c r="Q377" s="58" t="str">
        <f>IFERROR(_xlfn.TEXTAFTER(_xlfn.XLOOKUP(A377,Collection!A:A,Collection!C:C,),"Cards "),C377)</f>
        <v>1998 Stadium Club</v>
      </c>
      <c r="R377" s="58" t="str">
        <f t="shared" si="36"/>
        <v>-</v>
      </c>
      <c r="S377" s="58" t="str">
        <f>IFERROR(_xlfn.TEXTAFTER(_xlfn.XLOOKUP(A377,Collection!A:A,Collection!B:B,),"#"),"")</f>
        <v>197</v>
      </c>
      <c r="T377" s="60">
        <f t="shared" si="37"/>
        <v>1.46</v>
      </c>
      <c r="U377" s="54" t="s">
        <v>1602</v>
      </c>
      <c r="V377" s="58" t="str">
        <f>IF(ISNUMBER(MATCH(N377,Catalog!$B$4:$B$16, 0)), "Keep", "For Sale")</f>
        <v>For Sale</v>
      </c>
      <c r="W377" s="58">
        <f t="shared" si="38"/>
        <v>2</v>
      </c>
      <c r="X377" s="58">
        <f t="shared" si="39"/>
        <v>4</v>
      </c>
      <c r="Y377" s="60">
        <f t="shared" si="40"/>
        <v>2</v>
      </c>
      <c r="Z377" s="60">
        <f t="shared" si="41"/>
        <v>1</v>
      </c>
      <c r="AE377"/>
      <c r="AF377"/>
      <c r="AG377"/>
    </row>
    <row r="378" spans="1:33" ht="14.4" x14ac:dyDescent="0.3">
      <c r="A378" s="13">
        <v>93332</v>
      </c>
      <c r="B378" s="13" t="s">
        <v>304</v>
      </c>
      <c r="C378" s="13" t="s">
        <v>305</v>
      </c>
      <c r="D378" s="13">
        <v>146</v>
      </c>
      <c r="E378" s="13" t="s">
        <v>171</v>
      </c>
      <c r="F378" s="13" t="s">
        <v>172</v>
      </c>
      <c r="I378" s="13">
        <v>0</v>
      </c>
      <c r="J378" s="13">
        <v>1</v>
      </c>
      <c r="K378" s="14">
        <v>46129</v>
      </c>
      <c r="N378" s="13">
        <v>439</v>
      </c>
      <c r="P378" s="58" t="str">
        <f t="shared" si="35"/>
        <v>Antawn Jamison</v>
      </c>
      <c r="Q378" s="58" t="str">
        <f>IFERROR(_xlfn.TEXTAFTER(_xlfn.XLOOKUP(A378,Collection!A:A,Collection!C:C,),"Cards "),C378)</f>
        <v>1998 Stadium Club</v>
      </c>
      <c r="R378" s="58" t="str">
        <f t="shared" si="36"/>
        <v>-</v>
      </c>
      <c r="S378" s="58" t="str">
        <f>IFERROR(_xlfn.TEXTAFTER(_xlfn.XLOOKUP(A378,Collection!A:A,Collection!B:B,),"#"),"")</f>
        <v>197</v>
      </c>
      <c r="T378" s="60">
        <f t="shared" si="37"/>
        <v>1.46</v>
      </c>
      <c r="U378" s="54" t="s">
        <v>1602</v>
      </c>
      <c r="V378" s="58" t="str">
        <f>IF(ISNUMBER(MATCH(N378,Catalog!$B$4:$B$16, 0)), "Keep", "For Sale")</f>
        <v>For Sale</v>
      </c>
      <c r="W378" s="58">
        <f t="shared" si="38"/>
        <v>2</v>
      </c>
      <c r="X378" s="58">
        <f t="shared" si="39"/>
        <v>4</v>
      </c>
      <c r="Y378" s="60">
        <f t="shared" si="40"/>
        <v>2</v>
      </c>
      <c r="Z378" s="60">
        <f t="shared" si="41"/>
        <v>1</v>
      </c>
      <c r="AE378"/>
      <c r="AF378"/>
      <c r="AG378"/>
    </row>
    <row r="379" spans="1:33" ht="14.4" x14ac:dyDescent="0.3">
      <c r="A379" s="13">
        <v>3401118</v>
      </c>
      <c r="B379" s="13" t="s">
        <v>347</v>
      </c>
      <c r="C379" s="13" t="s">
        <v>348</v>
      </c>
      <c r="D379" s="13">
        <v>170</v>
      </c>
      <c r="E379" s="13" t="s">
        <v>171</v>
      </c>
      <c r="F379" s="13" t="s">
        <v>172</v>
      </c>
      <c r="H379" s="13" t="s">
        <v>349</v>
      </c>
      <c r="I379" s="13">
        <v>634</v>
      </c>
      <c r="J379" s="13">
        <v>1</v>
      </c>
      <c r="K379" s="14">
        <v>46151</v>
      </c>
      <c r="L379" s="14">
        <v>46146</v>
      </c>
      <c r="N379" s="13">
        <v>290</v>
      </c>
      <c r="P379" s="58" t="str">
        <f t="shared" si="35"/>
        <v>Anthony Edwards</v>
      </c>
      <c r="Q379" s="58" t="str">
        <f>IFERROR(_xlfn.TEXTAFTER(_xlfn.XLOOKUP(A379,Collection!A:A,Collection!C:C,),"Cards "),C379)</f>
        <v>2020 Panini Prizm Emergent</v>
      </c>
      <c r="R379" s="58" t="str">
        <f t="shared" si="36"/>
        <v>-</v>
      </c>
      <c r="S379" s="58" t="str">
        <f>IFERROR(_xlfn.TEXTAFTER(_xlfn.XLOOKUP(A379,Collection!A:A,Collection!B:B,),"#"),"")</f>
        <v>3</v>
      </c>
      <c r="T379" s="60">
        <f t="shared" si="37"/>
        <v>1.7</v>
      </c>
      <c r="U379" s="54" t="s">
        <v>1670</v>
      </c>
      <c r="V379" s="58" t="str">
        <f>IF(ISNUMBER(MATCH(N379,Catalog!$B$4:$B$16, 0)), "Keep", "For Sale")</f>
        <v>For Sale</v>
      </c>
      <c r="W379" s="58">
        <f t="shared" si="38"/>
        <v>1</v>
      </c>
      <c r="X379" s="58">
        <f t="shared" si="39"/>
        <v>4</v>
      </c>
      <c r="Y379" s="60">
        <f t="shared" si="40"/>
        <v>8</v>
      </c>
      <c r="Z379" s="60">
        <f t="shared" si="41"/>
        <v>1.5</v>
      </c>
      <c r="AE379"/>
      <c r="AF379"/>
      <c r="AG379"/>
    </row>
    <row r="380" spans="1:33" ht="14.4" x14ac:dyDescent="0.3">
      <c r="A380" s="13">
        <v>358012</v>
      </c>
      <c r="B380" s="13" t="s">
        <v>1024</v>
      </c>
      <c r="C380" s="13" t="s">
        <v>1025</v>
      </c>
      <c r="D380" s="13">
        <v>162</v>
      </c>
      <c r="E380" s="13" t="s">
        <v>171</v>
      </c>
      <c r="F380" s="13" t="s">
        <v>172</v>
      </c>
      <c r="H380" s="13" t="s">
        <v>1026</v>
      </c>
      <c r="I380" s="13">
        <v>86</v>
      </c>
      <c r="J380" s="13">
        <v>1</v>
      </c>
      <c r="K380" s="14">
        <v>46163</v>
      </c>
      <c r="L380" s="14">
        <v>46159</v>
      </c>
      <c r="N380" s="13">
        <v>334</v>
      </c>
      <c r="P380" s="58" t="str">
        <f t="shared" si="35"/>
        <v>Anthony Edwards</v>
      </c>
      <c r="Q380" s="58" t="str">
        <f>IFERROR(_xlfn.TEXTAFTER(_xlfn.XLOOKUP(A380,Collection!A:A,Collection!C:C,),"Cards "),C380)</f>
        <v>2020 Panini Prizm Draft Picks</v>
      </c>
      <c r="R380" s="58" t="str">
        <f t="shared" si="36"/>
        <v>-</v>
      </c>
      <c r="S380" s="58" t="str">
        <f>IFERROR(_xlfn.TEXTAFTER(_xlfn.XLOOKUP(A380,Collection!A:A,Collection!B:B,),"#"),"")</f>
        <v>81</v>
      </c>
      <c r="T380" s="60">
        <f t="shared" si="37"/>
        <v>1.62</v>
      </c>
      <c r="U380" s="54" t="s">
        <v>1670</v>
      </c>
      <c r="V380" s="58" t="str">
        <f>IF(ISNUMBER(MATCH(N380,Catalog!$B$4:$B$16, 0)), "Keep", "For Sale")</f>
        <v>For Sale</v>
      </c>
      <c r="W380" s="58">
        <f t="shared" si="38"/>
        <v>1</v>
      </c>
      <c r="X380" s="58">
        <f t="shared" si="39"/>
        <v>4</v>
      </c>
      <c r="Y380" s="60">
        <f t="shared" si="40"/>
        <v>2</v>
      </c>
      <c r="Z380" s="60">
        <f t="shared" si="41"/>
        <v>0.75</v>
      </c>
      <c r="AE380"/>
      <c r="AF380"/>
      <c r="AG380"/>
    </row>
    <row r="381" spans="1:33" ht="14.4" x14ac:dyDescent="0.3">
      <c r="A381" s="13">
        <v>87247</v>
      </c>
      <c r="B381" s="13" t="s">
        <v>1309</v>
      </c>
      <c r="C381" s="13" t="s">
        <v>440</v>
      </c>
      <c r="D381" s="13">
        <v>185</v>
      </c>
      <c r="E381" s="13" t="s">
        <v>171</v>
      </c>
      <c r="F381" s="13" t="s">
        <v>172</v>
      </c>
      <c r="I381" s="13">
        <v>0</v>
      </c>
      <c r="J381" s="13">
        <v>1</v>
      </c>
      <c r="K381" s="14">
        <v>46173</v>
      </c>
      <c r="N381" s="13">
        <v>344</v>
      </c>
      <c r="P381" s="58" t="str">
        <f t="shared" si="35"/>
        <v>Antoine Walker</v>
      </c>
      <c r="Q381" s="58" t="str">
        <f>IFERROR(_xlfn.TEXTAFTER(_xlfn.XLOOKUP(A381,Collection!A:A,Collection!C:C,),"Cards "),C381)</f>
        <v>1996 UD3</v>
      </c>
      <c r="R381" s="58" t="str">
        <f t="shared" si="36"/>
        <v>-</v>
      </c>
      <c r="S381" s="58" t="str">
        <f>IFERROR(_xlfn.TEXTAFTER(_xlfn.XLOOKUP(A381,Collection!A:A,Collection!B:B,),"#"),"")</f>
        <v>6</v>
      </c>
      <c r="T381" s="60">
        <f t="shared" si="37"/>
        <v>1.85</v>
      </c>
      <c r="U381" s="54" t="s">
        <v>1677</v>
      </c>
      <c r="V381" s="58" t="str">
        <f>IF(ISNUMBER(MATCH(N381,Catalog!$B$4:$B$16, 0)), "Keep", "For Sale")</f>
        <v>For Sale</v>
      </c>
      <c r="W381" s="58">
        <f t="shared" si="38"/>
        <v>1</v>
      </c>
      <c r="X381" s="58">
        <f t="shared" si="39"/>
        <v>4</v>
      </c>
      <c r="Y381" s="60">
        <f t="shared" si="40"/>
        <v>2</v>
      </c>
      <c r="Z381" s="60">
        <f t="shared" si="41"/>
        <v>2</v>
      </c>
      <c r="AE381"/>
      <c r="AF381"/>
      <c r="AG381"/>
    </row>
    <row r="382" spans="1:33" ht="14.4" x14ac:dyDescent="0.3">
      <c r="A382" s="13">
        <v>85634</v>
      </c>
      <c r="B382" s="13" t="s">
        <v>1299</v>
      </c>
      <c r="C382" s="13" t="s">
        <v>195</v>
      </c>
      <c r="D382" s="13">
        <v>100</v>
      </c>
      <c r="E382" s="13" t="s">
        <v>171</v>
      </c>
      <c r="F382" s="13" t="s">
        <v>172</v>
      </c>
      <c r="I382" s="13">
        <v>0</v>
      </c>
      <c r="J382" s="13">
        <v>1</v>
      </c>
      <c r="K382" s="14">
        <v>46173</v>
      </c>
      <c r="N382" s="13">
        <v>528</v>
      </c>
      <c r="P382" s="58" t="str">
        <f t="shared" si="35"/>
        <v>Antoine Walker</v>
      </c>
      <c r="Q382" s="58" t="str">
        <f>IFERROR(_xlfn.TEXTAFTER(_xlfn.XLOOKUP(A382,Collection!A:A,Collection!C:C,),"Cards "),C382)</f>
        <v>1996 Skybox Premium</v>
      </c>
      <c r="R382" s="58" t="str">
        <f t="shared" si="36"/>
        <v>-</v>
      </c>
      <c r="S382" s="58" t="str">
        <f>IFERROR(_xlfn.TEXTAFTER(_xlfn.XLOOKUP(A382,Collection!A:A,Collection!B:B,),"#"),"")</f>
        <v>9</v>
      </c>
      <c r="T382" s="60">
        <f t="shared" si="37"/>
        <v>1</v>
      </c>
      <c r="U382" s="54" t="s">
        <v>1677</v>
      </c>
      <c r="V382" s="58" t="str">
        <f>IF(ISNUMBER(MATCH(N382,Catalog!$B$4:$B$16, 0)), "Keep", "For Sale")</f>
        <v>For Sale</v>
      </c>
      <c r="W382" s="58">
        <f t="shared" si="38"/>
        <v>1</v>
      </c>
      <c r="X382" s="58">
        <f t="shared" si="39"/>
        <v>4</v>
      </c>
      <c r="Y382" s="60">
        <f t="shared" si="40"/>
        <v>1</v>
      </c>
      <c r="Z382" s="60">
        <f t="shared" si="41"/>
        <v>1</v>
      </c>
      <c r="AE382"/>
      <c r="AF382"/>
      <c r="AG382"/>
    </row>
    <row r="383" spans="1:33" ht="14.4" x14ac:dyDescent="0.3">
      <c r="A383" s="13">
        <v>87420</v>
      </c>
      <c r="B383" s="13" t="s">
        <v>1310</v>
      </c>
      <c r="C383" s="13" t="s">
        <v>174</v>
      </c>
      <c r="D383" s="13">
        <v>99</v>
      </c>
      <c r="E383" s="13" t="s">
        <v>171</v>
      </c>
      <c r="F383" s="13" t="s">
        <v>172</v>
      </c>
      <c r="I383" s="13">
        <v>0</v>
      </c>
      <c r="J383" s="13">
        <v>1</v>
      </c>
      <c r="K383" s="14">
        <v>46183</v>
      </c>
      <c r="N383" s="13">
        <v>570</v>
      </c>
      <c r="P383" s="58" t="str">
        <f t="shared" si="35"/>
        <v>Antoine Walker</v>
      </c>
      <c r="Q383" s="58" t="str">
        <f>IFERROR(_xlfn.TEXTAFTER(_xlfn.XLOOKUP(A383,Collection!A:A,Collection!C:C,),"Cards "),C383)</f>
        <v>1996 Upper Deck</v>
      </c>
      <c r="R383" s="58" t="str">
        <f t="shared" si="36"/>
        <v>-</v>
      </c>
      <c r="S383" s="58" t="str">
        <f>IFERROR(_xlfn.TEXTAFTER(_xlfn.XLOOKUP(A383,Collection!A:A,Collection!B:B,),"#"),"")</f>
        <v>187</v>
      </c>
      <c r="T383" s="60">
        <f t="shared" si="37"/>
        <v>0.99</v>
      </c>
      <c r="U383" s="54" t="s">
        <v>1677</v>
      </c>
      <c r="V383" s="58" t="str">
        <f>IF(ISNUMBER(MATCH(N383,Catalog!$B$4:$B$16, 0)), "Keep", "For Sale")</f>
        <v>For Sale</v>
      </c>
      <c r="W383" s="58">
        <f t="shared" si="38"/>
        <v>2</v>
      </c>
      <c r="X383" s="58">
        <f t="shared" si="39"/>
        <v>4</v>
      </c>
      <c r="Y383" s="60">
        <f t="shared" si="40"/>
        <v>1</v>
      </c>
      <c r="Z383" s="60">
        <f t="shared" si="41"/>
        <v>0.75</v>
      </c>
      <c r="AE383"/>
      <c r="AF383"/>
      <c r="AG383"/>
    </row>
    <row r="384" spans="1:33" ht="14.4" x14ac:dyDescent="0.3">
      <c r="A384" s="13">
        <v>87420</v>
      </c>
      <c r="B384" s="13" t="s">
        <v>1310</v>
      </c>
      <c r="C384" s="13" t="s">
        <v>174</v>
      </c>
      <c r="D384" s="13">
        <v>99</v>
      </c>
      <c r="E384" s="13" t="s">
        <v>171</v>
      </c>
      <c r="F384" s="13" t="s">
        <v>172</v>
      </c>
      <c r="I384" s="13">
        <v>0</v>
      </c>
      <c r="J384" s="13">
        <v>1</v>
      </c>
      <c r="K384" s="14">
        <v>46173</v>
      </c>
      <c r="N384" s="13">
        <v>576</v>
      </c>
      <c r="P384" s="58" t="str">
        <f t="shared" si="35"/>
        <v>Antoine Walker</v>
      </c>
      <c r="Q384" s="58" t="str">
        <f>IFERROR(_xlfn.TEXTAFTER(_xlfn.XLOOKUP(A384,Collection!A:A,Collection!C:C,),"Cards "),C384)</f>
        <v>1996 Upper Deck</v>
      </c>
      <c r="R384" s="58" t="str">
        <f t="shared" si="36"/>
        <v>-</v>
      </c>
      <c r="S384" s="58" t="str">
        <f>IFERROR(_xlfn.TEXTAFTER(_xlfn.XLOOKUP(A384,Collection!A:A,Collection!B:B,),"#"),"")</f>
        <v>187</v>
      </c>
      <c r="T384" s="60">
        <f t="shared" si="37"/>
        <v>0.99</v>
      </c>
      <c r="U384" s="54" t="s">
        <v>1677</v>
      </c>
      <c r="V384" s="58" t="str">
        <f>IF(ISNUMBER(MATCH(N384,Catalog!$B$4:$B$16, 0)), "Keep", "For Sale")</f>
        <v>For Sale</v>
      </c>
      <c r="W384" s="58">
        <f t="shared" si="38"/>
        <v>2</v>
      </c>
      <c r="X384" s="58">
        <f t="shared" si="39"/>
        <v>4</v>
      </c>
      <c r="Y384" s="60">
        <f t="shared" si="40"/>
        <v>1</v>
      </c>
      <c r="Z384" s="60">
        <f t="shared" si="41"/>
        <v>0.75</v>
      </c>
      <c r="AE384"/>
      <c r="AF384"/>
      <c r="AG384"/>
    </row>
    <row r="385" spans="1:33" ht="14.4" x14ac:dyDescent="0.3">
      <c r="A385" s="13">
        <v>7444383</v>
      </c>
      <c r="B385" s="13" t="s">
        <v>1308</v>
      </c>
      <c r="C385" s="13" t="s">
        <v>1159</v>
      </c>
      <c r="D385" s="13">
        <v>190</v>
      </c>
      <c r="E385" s="13" t="s">
        <v>171</v>
      </c>
      <c r="F385" s="13" t="s">
        <v>172</v>
      </c>
      <c r="I385" s="13">
        <v>0</v>
      </c>
      <c r="J385" s="13">
        <v>1</v>
      </c>
      <c r="K385" s="14">
        <v>46173</v>
      </c>
      <c r="N385" s="13">
        <v>294</v>
      </c>
      <c r="P385" s="58" t="str">
        <f t="shared" si="35"/>
        <v>Antonio Daniels</v>
      </c>
      <c r="Q385" s="58" t="str">
        <f>IFERROR(_xlfn.TEXTAFTER(_xlfn.XLOOKUP(A385,Collection!A:A,Collection!C:C,),"Cards "),C385)</f>
        <v>1997 Ultra All-Rookies</v>
      </c>
      <c r="R385" s="58" t="str">
        <f t="shared" si="36"/>
        <v>-</v>
      </c>
      <c r="S385" s="58" t="str">
        <f>IFERROR(_xlfn.TEXTAFTER(_xlfn.XLOOKUP(A385,Collection!A:A,Collection!B:B,),"#"),"")</f>
        <v>4</v>
      </c>
      <c r="T385" s="60">
        <f t="shared" si="37"/>
        <v>1.9</v>
      </c>
      <c r="U385" s="54" t="s">
        <v>1694</v>
      </c>
      <c r="V385" s="58" t="str">
        <f>IF(ISNUMBER(MATCH(N385,Catalog!$B$4:$B$16, 0)), "Keep", "For Sale")</f>
        <v>For Sale</v>
      </c>
      <c r="W385" s="58">
        <f t="shared" si="38"/>
        <v>1</v>
      </c>
      <c r="X385" s="58">
        <f t="shared" si="39"/>
        <v>4</v>
      </c>
      <c r="Y385" s="60">
        <f t="shared" si="40"/>
        <v>2.5</v>
      </c>
      <c r="Z385" s="60">
        <f t="shared" si="41"/>
        <v>2</v>
      </c>
      <c r="AE385"/>
      <c r="AF385"/>
      <c r="AG385"/>
    </row>
    <row r="386" spans="1:33" ht="14.4" x14ac:dyDescent="0.3">
      <c r="A386" s="13">
        <v>83769</v>
      </c>
      <c r="B386" s="13" t="s">
        <v>214</v>
      </c>
      <c r="C386" s="13" t="s">
        <v>181</v>
      </c>
      <c r="D386" s="13">
        <v>116</v>
      </c>
      <c r="E386" s="13" t="s">
        <v>171</v>
      </c>
      <c r="F386" s="13" t="s">
        <v>172</v>
      </c>
      <c r="I386" s="13">
        <v>0</v>
      </c>
      <c r="J386" s="13">
        <v>1</v>
      </c>
      <c r="K386" s="14">
        <v>46149</v>
      </c>
      <c r="L386" s="14">
        <v>46149</v>
      </c>
      <c r="N386" s="13">
        <v>508</v>
      </c>
      <c r="P386" s="58" t="str">
        <f t="shared" ref="P386:P449" si="42">TRIM(LEFT(B386, MIN(IFERROR(FIND("[", B386), LEN(B386)+1), IFERROR(FIND("#", B386), LEN(B386)+1)) - 1))</f>
        <v>Antonio McDyess</v>
      </c>
      <c r="Q386" s="58" t="str">
        <f>IFERROR(_xlfn.TEXTAFTER(_xlfn.XLOOKUP(A386,Collection!A:A,Collection!C:C,),"Cards "),C386)</f>
        <v>1995 Upper Deck</v>
      </c>
      <c r="R386" s="58" t="str">
        <f t="shared" ref="R386:R449" si="43">IFERROR(_xlfn.TEXTBEFORE(_xlfn.TEXTAFTER(B386, "["), "]"), "-")</f>
        <v>-</v>
      </c>
      <c r="S386" s="58" t="str">
        <f>IFERROR(_xlfn.TEXTAFTER(_xlfn.XLOOKUP(A386,Collection!A:A,Collection!B:B,),"#"),"")</f>
        <v>135</v>
      </c>
      <c r="T386" s="60">
        <f t="shared" ref="T386:T449" si="44">D386/100</f>
        <v>1.1599999999999999</v>
      </c>
      <c r="U386" s="54" t="s">
        <v>1591</v>
      </c>
      <c r="V386" s="58" t="str">
        <f>IF(ISNUMBER(MATCH(N386,Catalog!$B$4:$B$16, 0)), "Keep", "For Sale")</f>
        <v>For Sale</v>
      </c>
      <c r="W386" s="58">
        <f t="shared" ref="W386:W449" si="45">COUNTIFS(V:V,"For Sale",A:A,A386)</f>
        <v>1</v>
      </c>
      <c r="X386" s="58">
        <f t="shared" ref="X386:X449" si="46">_xlfn.LET(
_xlpm.val,_xlfn.XLOOKUP(U386,AE:AE,AG:AG,)/100,
_xlpm.tier,IF(_xlpm.val&lt;1,5,IF(_xlpm.val&lt;2,4,IF(_xlpm.val&lt;5,3,IF(_xlpm.val&lt;10,2,1)))),
_xlpm.tier)</f>
        <v>4</v>
      </c>
      <c r="Y386" s="60">
        <f t="shared" ref="Y386:Y449" si="47">_xlfn.LET(
    _xlpm.price, (MAX(I386,D386,25)/100)*(1+$AC$3),
    _xlpm.rounder, IF(_xlpm.price &lt; 1.5, FLOOR(_xlpm.price, 0.25),
           IF(_xlpm.price &lt; 2.5, MROUND(_xlpm.price, 0.5),
               MROUND(_xlpm.price, 1))),
    MAX(0.25, _xlpm.rounder))</f>
        <v>1.25</v>
      </c>
      <c r="Z386" s="60">
        <f t="shared" ref="Z386:Z449" si="48">_xlfn.LET(
    _xlpm.price, IF(I386=0, IF(W386&gt;1,1-$AC$2,1)*(D386/100), MIN(IF(W386&gt;1,1-$AC$2,1)*(D386/100), IF(W386&gt;1,1-$AC$2,1)*(I386/100))),
    _xlpm.rounder, IF(_xlpm.price &lt; 1.5, FLOOR(_xlpm.price, 0.25),
           IF(_xlpm.price &lt; 2.5, MROUND(_xlpm.price, 0.5),
               MROUND(_xlpm.price, 1))),
    MAX(0.25, _xlpm.rounder))</f>
        <v>1</v>
      </c>
      <c r="AE386"/>
      <c r="AF386"/>
      <c r="AG386"/>
    </row>
    <row r="387" spans="1:33" ht="14.4" x14ac:dyDescent="0.3">
      <c r="A387" s="13">
        <v>83770</v>
      </c>
      <c r="B387" s="13" t="s">
        <v>437</v>
      </c>
      <c r="C387" s="13" t="s">
        <v>181</v>
      </c>
      <c r="D387" s="13">
        <v>99</v>
      </c>
      <c r="E387" s="13" t="s">
        <v>171</v>
      </c>
      <c r="F387" s="13" t="s">
        <v>172</v>
      </c>
      <c r="I387" s="13">
        <v>0</v>
      </c>
      <c r="J387" s="13">
        <v>1</v>
      </c>
      <c r="K387" s="14">
        <v>46129</v>
      </c>
      <c r="L387" s="14">
        <v>46128</v>
      </c>
      <c r="N387" s="13">
        <v>577</v>
      </c>
      <c r="P387" s="58" t="str">
        <f t="shared" si="42"/>
        <v>Antonio McDyess</v>
      </c>
      <c r="Q387" s="58" t="str">
        <f>IFERROR(_xlfn.TEXTAFTER(_xlfn.XLOOKUP(A387,Collection!A:A,Collection!C:C,),"Cards "),C387)</f>
        <v>1995 Upper Deck</v>
      </c>
      <c r="R387" s="58" t="str">
        <f t="shared" si="43"/>
        <v>Electric Court</v>
      </c>
      <c r="S387" s="58" t="str">
        <f>IFERROR(_xlfn.TEXTAFTER(_xlfn.XLOOKUP(A387,Collection!A:A,Collection!B:B,),"#"),"")</f>
        <v>135</v>
      </c>
      <c r="T387" s="60">
        <f t="shared" si="44"/>
        <v>0.99</v>
      </c>
      <c r="U387" s="54" t="s">
        <v>1591</v>
      </c>
      <c r="V387" s="58" t="str">
        <f>IF(ISNUMBER(MATCH(N387,Catalog!$B$4:$B$16, 0)), "Keep", "For Sale")</f>
        <v>For Sale</v>
      </c>
      <c r="W387" s="58">
        <f t="shared" si="45"/>
        <v>1</v>
      </c>
      <c r="X387" s="58">
        <f t="shared" si="46"/>
        <v>4</v>
      </c>
      <c r="Y387" s="60">
        <f t="shared" si="47"/>
        <v>1</v>
      </c>
      <c r="Z387" s="60">
        <f t="shared" si="48"/>
        <v>0.75</v>
      </c>
      <c r="AE387"/>
      <c r="AF387"/>
      <c r="AG387"/>
    </row>
    <row r="388" spans="1:33" ht="14.4" x14ac:dyDescent="0.3">
      <c r="A388" s="13">
        <v>13163232</v>
      </c>
      <c r="B388" s="13" t="s">
        <v>1211</v>
      </c>
      <c r="C388" s="13" t="s">
        <v>1212</v>
      </c>
      <c r="D388" s="13">
        <v>99</v>
      </c>
      <c r="E388" s="13" t="s">
        <v>171</v>
      </c>
      <c r="F388" s="13" t="s">
        <v>172</v>
      </c>
      <c r="I388" s="13">
        <v>0</v>
      </c>
      <c r="J388" s="13">
        <v>1</v>
      </c>
      <c r="K388" s="14">
        <v>46173</v>
      </c>
      <c r="N388" s="13">
        <v>561</v>
      </c>
      <c r="P388" s="58" t="str">
        <f t="shared" si="42"/>
        <v>Antonio McDyess</v>
      </c>
      <c r="Q388" s="58" t="str">
        <f>IFERROR(_xlfn.TEXTAFTER(_xlfn.XLOOKUP(A388,Collection!A:A,Collection!C:C,),"Cards "),C388)</f>
        <v>1997 Ultra Neat Feats</v>
      </c>
      <c r="R388" s="58" t="str">
        <f t="shared" si="43"/>
        <v>-</v>
      </c>
      <c r="S388" s="58" t="str">
        <f>IFERROR(_xlfn.TEXTAFTER(_xlfn.XLOOKUP(A388,Collection!A:A,Collection!B:B,),"#"),"")</f>
        <v>17</v>
      </c>
      <c r="T388" s="60">
        <f t="shared" si="44"/>
        <v>0.99</v>
      </c>
      <c r="U388" s="54" t="s">
        <v>1591</v>
      </c>
      <c r="V388" s="58" t="str">
        <f>IF(ISNUMBER(MATCH(N388,Catalog!$B$4:$B$16, 0)), "Keep", "For Sale")</f>
        <v>For Sale</v>
      </c>
      <c r="W388" s="58">
        <f t="shared" si="45"/>
        <v>1</v>
      </c>
      <c r="X388" s="58">
        <f t="shared" si="46"/>
        <v>4</v>
      </c>
      <c r="Y388" s="60">
        <f t="shared" si="47"/>
        <v>1</v>
      </c>
      <c r="Z388" s="60">
        <f t="shared" si="48"/>
        <v>0.75</v>
      </c>
      <c r="AE388"/>
      <c r="AF388"/>
      <c r="AG388"/>
    </row>
    <row r="389" spans="1:33" ht="14.4" x14ac:dyDescent="0.3">
      <c r="A389" s="13">
        <v>11589448</v>
      </c>
      <c r="B389" s="13" t="s">
        <v>996</v>
      </c>
      <c r="C389" s="13" t="s">
        <v>579</v>
      </c>
      <c r="D389" s="13">
        <v>175</v>
      </c>
      <c r="E389" s="13" t="s">
        <v>171</v>
      </c>
      <c r="F389" s="13" t="s">
        <v>172</v>
      </c>
      <c r="H389" s="13" t="s">
        <v>997</v>
      </c>
      <c r="I389" s="13">
        <v>148</v>
      </c>
      <c r="J389" s="13">
        <v>1</v>
      </c>
      <c r="K389" s="14">
        <v>46164</v>
      </c>
      <c r="L389" s="14">
        <v>46157</v>
      </c>
      <c r="N389" s="13">
        <v>341</v>
      </c>
      <c r="P389" s="58" t="str">
        <f t="shared" si="42"/>
        <v>Bam Adebayo</v>
      </c>
      <c r="Q389" s="58" t="str">
        <f>IFERROR(_xlfn.TEXTAFTER(_xlfn.XLOOKUP(A389,Collection!A:A,Collection!C:C,),"Cards "),C389)</f>
        <v>2025 Topps Chrome Ball Of Duty</v>
      </c>
      <c r="R389" s="58" t="str">
        <f t="shared" si="43"/>
        <v>Refractor</v>
      </c>
      <c r="S389" s="58" t="str">
        <f>IFERROR(_xlfn.TEXTAFTER(_xlfn.XLOOKUP(A389,Collection!A:A,Collection!B:B,),"#"),"")</f>
        <v>BD-15</v>
      </c>
      <c r="T389" s="60">
        <f t="shared" si="44"/>
        <v>1.75</v>
      </c>
      <c r="U389" s="54" t="s">
        <v>1649</v>
      </c>
      <c r="V389" s="58" t="str">
        <f>IF(ISNUMBER(MATCH(N389,Catalog!$B$4:$B$16, 0)), "Keep", "For Sale")</f>
        <v>For Sale</v>
      </c>
      <c r="W389" s="58">
        <f t="shared" si="45"/>
        <v>1</v>
      </c>
      <c r="X389" s="58">
        <f t="shared" si="46"/>
        <v>4</v>
      </c>
      <c r="Y389" s="60">
        <f t="shared" si="47"/>
        <v>2</v>
      </c>
      <c r="Z389" s="60">
        <f t="shared" si="48"/>
        <v>1.25</v>
      </c>
      <c r="AE389"/>
      <c r="AF389"/>
      <c r="AG389"/>
    </row>
    <row r="390" spans="1:33" ht="14.4" x14ac:dyDescent="0.3">
      <c r="A390" s="13">
        <v>1938193</v>
      </c>
      <c r="B390" s="13" t="s">
        <v>573</v>
      </c>
      <c r="C390" s="13" t="s">
        <v>574</v>
      </c>
      <c r="D390" s="13">
        <v>125</v>
      </c>
      <c r="E390" s="13" t="s">
        <v>171</v>
      </c>
      <c r="F390" s="13" t="s">
        <v>172</v>
      </c>
      <c r="I390" s="13">
        <v>0</v>
      </c>
      <c r="J390" s="13">
        <v>1</v>
      </c>
      <c r="K390" s="14">
        <v>46129</v>
      </c>
      <c r="N390" s="13">
        <v>506</v>
      </c>
      <c r="P390" s="58" t="str">
        <f t="shared" si="42"/>
        <v>Barry Bonds</v>
      </c>
      <c r="Q390" s="58" t="str">
        <f>IFERROR(_xlfn.TEXTAFTER(_xlfn.XLOOKUP(A390,Collection!A:A,Collection!C:C,),"Cards "),C390)</f>
        <v>1989 Upper Deck</v>
      </c>
      <c r="R390" s="58" t="str">
        <f t="shared" si="43"/>
        <v>-</v>
      </c>
      <c r="S390" s="58" t="str">
        <f>IFERROR(_xlfn.TEXTAFTER(_xlfn.XLOOKUP(A390,Collection!A:A,Collection!B:B,),"#"),"")</f>
        <v>440</v>
      </c>
      <c r="T390" s="60">
        <f t="shared" si="44"/>
        <v>1.25</v>
      </c>
      <c r="U390" s="54" t="s">
        <v>1617</v>
      </c>
      <c r="V390" s="58" t="str">
        <f>IF(ISNUMBER(MATCH(N390,Catalog!$B$4:$B$16, 0)), "Keep", "For Sale")</f>
        <v>For Sale</v>
      </c>
      <c r="W390" s="58">
        <f t="shared" si="45"/>
        <v>1</v>
      </c>
      <c r="X390" s="58">
        <f t="shared" si="46"/>
        <v>4</v>
      </c>
      <c r="Y390" s="60">
        <f t="shared" si="47"/>
        <v>1.5</v>
      </c>
      <c r="Z390" s="60">
        <f t="shared" si="48"/>
        <v>1.25</v>
      </c>
      <c r="AE390"/>
      <c r="AF390"/>
      <c r="AG390"/>
    </row>
    <row r="391" spans="1:33" ht="14.4" x14ac:dyDescent="0.3">
      <c r="A391" s="13">
        <v>2002325</v>
      </c>
      <c r="B391" s="13" t="s">
        <v>1250</v>
      </c>
      <c r="C391" s="13" t="s">
        <v>1226</v>
      </c>
      <c r="D391" s="13">
        <v>125</v>
      </c>
      <c r="E391" s="13" t="s">
        <v>171</v>
      </c>
      <c r="F391" s="13" t="s">
        <v>172</v>
      </c>
      <c r="I391" s="13">
        <v>0</v>
      </c>
      <c r="J391" s="13">
        <v>1</v>
      </c>
      <c r="K391" s="14">
        <v>46174</v>
      </c>
      <c r="N391" s="13">
        <v>481</v>
      </c>
      <c r="P391" s="58" t="str">
        <f t="shared" si="42"/>
        <v>Barry Bonds</v>
      </c>
      <c r="Q391" s="58" t="str">
        <f>IFERROR(_xlfn.TEXTAFTER(_xlfn.XLOOKUP(A391,Collection!A:A,Collection!C:C,),"Cards "),C391)</f>
        <v>1996 Upper Deck</v>
      </c>
      <c r="R391" s="58" t="str">
        <f t="shared" si="43"/>
        <v>-</v>
      </c>
      <c r="S391" s="58" t="str">
        <f>IFERROR(_xlfn.TEXTAFTER(_xlfn.XLOOKUP(A391,Collection!A:A,Collection!B:B,),"#"),"")</f>
        <v>373</v>
      </c>
      <c r="T391" s="60">
        <f t="shared" si="44"/>
        <v>1.25</v>
      </c>
      <c r="U391" s="54" t="s">
        <v>1617</v>
      </c>
      <c r="V391" s="58" t="str">
        <f>IF(ISNUMBER(MATCH(N391,Catalog!$B$4:$B$16, 0)), "Keep", "For Sale")</f>
        <v>For Sale</v>
      </c>
      <c r="W391" s="58">
        <f t="shared" si="45"/>
        <v>1</v>
      </c>
      <c r="X391" s="58">
        <f t="shared" si="46"/>
        <v>4</v>
      </c>
      <c r="Y391" s="60">
        <f t="shared" si="47"/>
        <v>1.5</v>
      </c>
      <c r="Z391" s="60">
        <f t="shared" si="48"/>
        <v>1.25</v>
      </c>
      <c r="AE391"/>
      <c r="AF391"/>
      <c r="AG391"/>
    </row>
    <row r="392" spans="1:33" ht="14.4" x14ac:dyDescent="0.3">
      <c r="A392" s="13">
        <v>84144</v>
      </c>
      <c r="B392" s="13" t="s">
        <v>1312</v>
      </c>
      <c r="C392" s="13" t="s">
        <v>220</v>
      </c>
      <c r="D392" s="13">
        <v>144</v>
      </c>
      <c r="E392" s="13" t="s">
        <v>171</v>
      </c>
      <c r="F392" s="13" t="s">
        <v>172</v>
      </c>
      <c r="I392" s="13">
        <v>0</v>
      </c>
      <c r="J392" s="13">
        <v>1</v>
      </c>
      <c r="K392" s="14">
        <v>46173</v>
      </c>
      <c r="N392" s="13">
        <v>355</v>
      </c>
      <c r="P392" s="58" t="str">
        <f t="shared" si="42"/>
        <v>Bulls Victory Tour '95-96: Win</v>
      </c>
      <c r="Q392" s="58" t="str">
        <f>IFERROR(_xlfn.TEXTAFTER(_xlfn.XLOOKUP(A392,Collection!A:A,Collection!C:C,),"Cards "),C392)</f>
        <v>1996 Collector's Choice</v>
      </c>
      <c r="R392" s="58" t="str">
        <f t="shared" si="43"/>
        <v>-</v>
      </c>
      <c r="S392" s="58" t="str">
        <f>IFERROR(_xlfn.TEXTAFTER(_xlfn.XLOOKUP(A392,Collection!A:A,Collection!B:B,),"#"),"")</f>
        <v>46 #26</v>
      </c>
      <c r="T392" s="60">
        <f t="shared" si="44"/>
        <v>1.44</v>
      </c>
      <c r="U392" s="54" t="s">
        <v>1681</v>
      </c>
      <c r="V392" s="58" t="str">
        <f>IF(ISNUMBER(MATCH(N392,Catalog!$B$4:$B$16, 0)), "Keep", "For Sale")</f>
        <v>For Sale</v>
      </c>
      <c r="W392" s="58">
        <f t="shared" si="45"/>
        <v>1</v>
      </c>
      <c r="X392" s="58">
        <f t="shared" si="46"/>
        <v>4</v>
      </c>
      <c r="Y392" s="60">
        <f t="shared" si="47"/>
        <v>1.5</v>
      </c>
      <c r="Z392" s="60">
        <f t="shared" si="48"/>
        <v>1.25</v>
      </c>
      <c r="AE392"/>
      <c r="AF392"/>
      <c r="AG392"/>
    </row>
    <row r="393" spans="1:33" ht="14.4" x14ac:dyDescent="0.3">
      <c r="A393" s="13">
        <v>5960361</v>
      </c>
      <c r="B393" s="13" t="s">
        <v>1273</v>
      </c>
      <c r="C393" s="13" t="s">
        <v>220</v>
      </c>
      <c r="D393" s="13">
        <v>140</v>
      </c>
      <c r="E393" s="13" t="s">
        <v>171</v>
      </c>
      <c r="F393" s="13" t="s">
        <v>172</v>
      </c>
      <c r="I393" s="13">
        <v>0</v>
      </c>
      <c r="J393" s="13">
        <v>1</v>
      </c>
      <c r="K393" s="14">
        <v>46173</v>
      </c>
      <c r="N393" s="13">
        <v>340</v>
      </c>
      <c r="P393" s="58" t="str">
        <f t="shared" si="42"/>
        <v>Bulls Victory Tour '95-96: Win</v>
      </c>
      <c r="Q393" s="58" t="str">
        <f>IFERROR(_xlfn.TEXTAFTER(_xlfn.XLOOKUP(A393,Collection!A:A,Collection!C:C,),"Cards "),C393)</f>
        <v>1996 Collector's Choice</v>
      </c>
      <c r="R393" s="58" t="str">
        <f t="shared" si="43"/>
        <v>-</v>
      </c>
      <c r="S393" s="58" t="str">
        <f>IFERROR(_xlfn.TEXTAFTER(_xlfn.XLOOKUP(A393,Collection!A:A,Collection!B:B,),"#"),"")</f>
        <v>41 #25</v>
      </c>
      <c r="T393" s="60">
        <f t="shared" si="44"/>
        <v>1.4</v>
      </c>
      <c r="U393" s="54" t="s">
        <v>1681</v>
      </c>
      <c r="V393" s="58" t="str">
        <f>IF(ISNUMBER(MATCH(N393,Catalog!$B$4:$B$16, 0)), "Keep", "For Sale")</f>
        <v>For Sale</v>
      </c>
      <c r="W393" s="58">
        <f t="shared" si="45"/>
        <v>1</v>
      </c>
      <c r="X393" s="58">
        <f t="shared" si="46"/>
        <v>4</v>
      </c>
      <c r="Y393" s="60">
        <f t="shared" si="47"/>
        <v>1.5</v>
      </c>
      <c r="Z393" s="60">
        <f t="shared" si="48"/>
        <v>1.25</v>
      </c>
      <c r="AE393"/>
      <c r="AF393"/>
      <c r="AG393"/>
    </row>
    <row r="394" spans="1:33" ht="14.4" x14ac:dyDescent="0.3">
      <c r="A394" s="13">
        <v>11474841</v>
      </c>
      <c r="B394" s="13" t="s">
        <v>668</v>
      </c>
      <c r="C394" s="13" t="s">
        <v>186</v>
      </c>
      <c r="D394" s="13">
        <v>201</v>
      </c>
      <c r="E394" s="13" t="s">
        <v>171</v>
      </c>
      <c r="F394" s="13" t="s">
        <v>172</v>
      </c>
      <c r="H394" s="13" t="s">
        <v>669</v>
      </c>
      <c r="I394" s="13">
        <v>231</v>
      </c>
      <c r="J394" s="13">
        <v>1</v>
      </c>
      <c r="K394" s="14">
        <v>46154</v>
      </c>
      <c r="L394" s="14">
        <v>46150</v>
      </c>
      <c r="N394" s="13">
        <v>235</v>
      </c>
      <c r="P394" s="58" t="str">
        <f t="shared" si="42"/>
        <v>Cade Cunningham</v>
      </c>
      <c r="Q394" s="58" t="str">
        <f>IFERROR(_xlfn.TEXTAFTER(_xlfn.XLOOKUP(A394,Collection!A:A,Collection!C:C,),"Cards "),C394)</f>
        <v>2025 Topps Chrome</v>
      </c>
      <c r="R394" s="58" t="str">
        <f t="shared" si="43"/>
        <v>Refractor</v>
      </c>
      <c r="S394" s="58" t="str">
        <f>IFERROR(_xlfn.TEXTAFTER(_xlfn.XLOOKUP(A394,Collection!A:A,Collection!B:B,),"#"),"")</f>
        <v>88</v>
      </c>
      <c r="T394" s="60">
        <f t="shared" si="44"/>
        <v>2.0099999999999998</v>
      </c>
      <c r="U394" s="54" t="s">
        <v>1560</v>
      </c>
      <c r="V394" s="58" t="str">
        <f>IF(ISNUMBER(MATCH(N394,Catalog!$B$4:$B$16, 0)), "Keep", "For Sale")</f>
        <v>For Sale</v>
      </c>
      <c r="W394" s="58">
        <f t="shared" si="45"/>
        <v>1</v>
      </c>
      <c r="X394" s="58">
        <f t="shared" si="46"/>
        <v>4</v>
      </c>
      <c r="Y394" s="60">
        <f t="shared" si="47"/>
        <v>3</v>
      </c>
      <c r="Z394" s="60">
        <f t="shared" si="48"/>
        <v>2</v>
      </c>
      <c r="AE394"/>
      <c r="AF394"/>
      <c r="AG394"/>
    </row>
    <row r="395" spans="1:33" ht="14.4" x14ac:dyDescent="0.3">
      <c r="A395" s="13">
        <v>3782640</v>
      </c>
      <c r="B395" s="13" t="s">
        <v>175</v>
      </c>
      <c r="C395" s="13" t="s">
        <v>176</v>
      </c>
      <c r="D395" s="13">
        <v>146</v>
      </c>
      <c r="E395" s="13" t="s">
        <v>171</v>
      </c>
      <c r="F395" s="13" t="s">
        <v>172</v>
      </c>
      <c r="H395" s="13" t="s">
        <v>177</v>
      </c>
      <c r="I395" s="13">
        <v>378</v>
      </c>
      <c r="J395" s="13">
        <v>1</v>
      </c>
      <c r="K395" s="14">
        <v>46151</v>
      </c>
      <c r="L395" s="14">
        <v>46146</v>
      </c>
      <c r="N395" s="13">
        <v>328</v>
      </c>
      <c r="P395" s="58" t="str">
        <f t="shared" si="42"/>
        <v>Cade Cunningham</v>
      </c>
      <c r="Q395" s="58" t="str">
        <f>IFERROR(_xlfn.TEXTAFTER(_xlfn.XLOOKUP(A395,Collection!A:A,Collection!C:C,),"Cards "),C395)</f>
        <v>2021 Panini Prizm Emergent</v>
      </c>
      <c r="R395" s="58" t="str">
        <f t="shared" si="43"/>
        <v>-</v>
      </c>
      <c r="S395" s="58" t="str">
        <f>IFERROR(_xlfn.TEXTAFTER(_xlfn.XLOOKUP(A395,Collection!A:A,Collection!B:B,),"#"),"")</f>
        <v>22</v>
      </c>
      <c r="T395" s="60">
        <f t="shared" si="44"/>
        <v>1.46</v>
      </c>
      <c r="U395" s="54" t="s">
        <v>1560</v>
      </c>
      <c r="V395" s="58" t="str">
        <f>IF(ISNUMBER(MATCH(N395,Catalog!$B$4:$B$16, 0)), "Keep", "For Sale")</f>
        <v>For Sale</v>
      </c>
      <c r="W395" s="58">
        <f t="shared" si="45"/>
        <v>1</v>
      </c>
      <c r="X395" s="58">
        <f t="shared" si="46"/>
        <v>4</v>
      </c>
      <c r="Y395" s="60">
        <f t="shared" si="47"/>
        <v>5</v>
      </c>
      <c r="Z395" s="60">
        <f t="shared" si="48"/>
        <v>1.25</v>
      </c>
      <c r="AE395"/>
      <c r="AF395"/>
      <c r="AG395"/>
    </row>
    <row r="396" spans="1:33" ht="14.4" x14ac:dyDescent="0.3">
      <c r="A396" s="13">
        <v>2879876</v>
      </c>
      <c r="B396" s="13" t="s">
        <v>1162</v>
      </c>
      <c r="C396" s="13" t="s">
        <v>1163</v>
      </c>
      <c r="D396" s="13">
        <v>138</v>
      </c>
      <c r="E396" s="13" t="s">
        <v>171</v>
      </c>
      <c r="F396" s="13" t="s">
        <v>172</v>
      </c>
      <c r="I396" s="13">
        <v>0</v>
      </c>
      <c r="J396" s="13">
        <v>1</v>
      </c>
      <c r="K396" s="14">
        <v>46172</v>
      </c>
      <c r="N396" s="13">
        <v>457</v>
      </c>
      <c r="P396" s="58" t="str">
        <f t="shared" si="42"/>
        <v>Cameron Johnson</v>
      </c>
      <c r="Q396" s="58" t="str">
        <f>IFERROR(_xlfn.TEXTAFTER(_xlfn.XLOOKUP(A396,Collection!A:A,Collection!C:C,),"Cards "),C396)</f>
        <v>2019 Panini Donruss</v>
      </c>
      <c r="R396" s="58" t="str">
        <f t="shared" si="43"/>
        <v>-</v>
      </c>
      <c r="S396" s="58" t="str">
        <f>IFERROR(_xlfn.TEXTAFTER(_xlfn.XLOOKUP(A396,Collection!A:A,Collection!B:B,),"#"),"")</f>
        <v>210</v>
      </c>
      <c r="T396" s="60">
        <f t="shared" si="44"/>
        <v>1.38</v>
      </c>
      <c r="U396" s="54" t="s">
        <v>1582</v>
      </c>
      <c r="V396" s="58" t="str">
        <f>IF(ISNUMBER(MATCH(N396,Catalog!$B$4:$B$16, 0)), "Keep", "For Sale")</f>
        <v>For Sale</v>
      </c>
      <c r="W396" s="58">
        <f t="shared" si="45"/>
        <v>1</v>
      </c>
      <c r="X396" s="58">
        <f t="shared" si="46"/>
        <v>4</v>
      </c>
      <c r="Y396" s="60">
        <f t="shared" si="47"/>
        <v>1.5</v>
      </c>
      <c r="Z396" s="60">
        <f t="shared" si="48"/>
        <v>1.25</v>
      </c>
      <c r="AE396"/>
      <c r="AF396"/>
      <c r="AG396"/>
    </row>
    <row r="397" spans="1:33" ht="14.4" x14ac:dyDescent="0.3">
      <c r="A397" s="13">
        <v>5475661</v>
      </c>
      <c r="B397" s="13" t="s">
        <v>394</v>
      </c>
      <c r="C397" s="13" t="s">
        <v>395</v>
      </c>
      <c r="D397" s="13">
        <v>142</v>
      </c>
      <c r="E397" s="13" t="s">
        <v>171</v>
      </c>
      <c r="F397" s="13" t="s">
        <v>172</v>
      </c>
      <c r="H397" s="13" t="s">
        <v>396</v>
      </c>
      <c r="I397" s="13">
        <v>381</v>
      </c>
      <c r="J397" s="13">
        <v>1</v>
      </c>
      <c r="K397" s="14">
        <v>46151</v>
      </c>
      <c r="L397" s="14">
        <v>46146</v>
      </c>
      <c r="N397" s="13">
        <v>451</v>
      </c>
      <c r="P397" s="58" t="str">
        <f t="shared" si="42"/>
        <v>Chet Holmgren</v>
      </c>
      <c r="Q397" s="58" t="str">
        <f>IFERROR(_xlfn.TEXTAFTER(_xlfn.XLOOKUP(A397,Collection!A:A,Collection!C:C,),"Cards "),C397)</f>
        <v>2022 Panini Select Rookie Revolution</v>
      </c>
      <c r="R397" s="58" t="str">
        <f t="shared" si="43"/>
        <v>-</v>
      </c>
      <c r="S397" s="58" t="str">
        <f>IFERROR(_xlfn.TEXTAFTER(_xlfn.XLOOKUP(A397,Collection!A:A,Collection!B:B,),"#"),"")</f>
        <v>18</v>
      </c>
      <c r="T397" s="60">
        <f t="shared" si="44"/>
        <v>1.42</v>
      </c>
      <c r="U397" s="54" t="s">
        <v>1687</v>
      </c>
      <c r="V397" s="58" t="str">
        <f>IF(ISNUMBER(MATCH(N397,Catalog!$B$4:$B$16, 0)), "Keep", "For Sale")</f>
        <v>For Sale</v>
      </c>
      <c r="W397" s="58">
        <f t="shared" si="45"/>
        <v>1</v>
      </c>
      <c r="X397" s="58">
        <f t="shared" si="46"/>
        <v>4</v>
      </c>
      <c r="Y397" s="60">
        <f t="shared" si="47"/>
        <v>5</v>
      </c>
      <c r="Z397" s="60">
        <f t="shared" si="48"/>
        <v>1.25</v>
      </c>
      <c r="AE397"/>
      <c r="AF397"/>
      <c r="AG397"/>
    </row>
    <row r="398" spans="1:33" ht="14.4" x14ac:dyDescent="0.3">
      <c r="A398" s="13">
        <v>3229156</v>
      </c>
      <c r="B398" s="13" t="s">
        <v>425</v>
      </c>
      <c r="C398" s="13" t="s">
        <v>282</v>
      </c>
      <c r="D398" s="13">
        <v>200</v>
      </c>
      <c r="E398" s="13" t="s">
        <v>171</v>
      </c>
      <c r="F398" s="13" t="s">
        <v>172</v>
      </c>
      <c r="I398" s="13">
        <v>0</v>
      </c>
      <c r="J398" s="13">
        <v>1</v>
      </c>
      <c r="K398" s="14">
        <v>46127</v>
      </c>
      <c r="N398" s="13">
        <v>206</v>
      </c>
      <c r="P398" s="58" t="str">
        <f t="shared" si="42"/>
        <v>Chris Webber</v>
      </c>
      <c r="Q398" s="58" t="str">
        <f>IFERROR(_xlfn.TEXTAFTER(_xlfn.XLOOKUP(A398,Collection!A:A,Collection!C:C,),"Cards "),C398)</f>
        <v>1994 Ultra Power in the Key</v>
      </c>
      <c r="R398" s="58" t="str">
        <f t="shared" si="43"/>
        <v>-</v>
      </c>
      <c r="S398" s="58" t="str">
        <f>IFERROR(_xlfn.TEXTAFTER(_xlfn.XLOOKUP(A398,Collection!A:A,Collection!B:B,),"#"),"")</f>
        <v>9</v>
      </c>
      <c r="T398" s="60">
        <f t="shared" si="44"/>
        <v>2</v>
      </c>
      <c r="U398" s="54" t="s">
        <v>1559</v>
      </c>
      <c r="V398" s="58" t="str">
        <f>IF(ISNUMBER(MATCH(N398,Catalog!$B$4:$B$16, 0)), "Keep", "For Sale")</f>
        <v>For Sale</v>
      </c>
      <c r="W398" s="58">
        <f t="shared" si="45"/>
        <v>1</v>
      </c>
      <c r="X398" s="58">
        <f t="shared" si="46"/>
        <v>4</v>
      </c>
      <c r="Y398" s="60">
        <f t="shared" si="47"/>
        <v>2.5</v>
      </c>
      <c r="Z398" s="60">
        <f t="shared" si="48"/>
        <v>2</v>
      </c>
      <c r="AE398"/>
      <c r="AF398"/>
      <c r="AG398"/>
    </row>
    <row r="399" spans="1:33" ht="14.4" x14ac:dyDescent="0.3">
      <c r="A399" s="13">
        <v>89036</v>
      </c>
      <c r="B399" s="13" t="s">
        <v>218</v>
      </c>
      <c r="C399" s="13" t="s">
        <v>193</v>
      </c>
      <c r="D399" s="13">
        <v>172</v>
      </c>
      <c r="E399" s="13" t="s">
        <v>171</v>
      </c>
      <c r="F399" s="13" t="s">
        <v>172</v>
      </c>
      <c r="I399" s="13">
        <v>0</v>
      </c>
      <c r="J399" s="13">
        <v>1</v>
      </c>
      <c r="K399" s="14">
        <v>46149</v>
      </c>
      <c r="N399" s="13">
        <v>291</v>
      </c>
      <c r="P399" s="58" t="str">
        <f t="shared" si="42"/>
        <v>Chris Webber</v>
      </c>
      <c r="Q399" s="58" t="str">
        <f>IFERROR(_xlfn.TEXTAFTER(_xlfn.XLOOKUP(A399,Collection!A:A,Collection!C:C,),"Cards "),C399)</f>
        <v>1997 Metal Universe</v>
      </c>
      <c r="R399" s="58" t="str">
        <f t="shared" si="43"/>
        <v>-</v>
      </c>
      <c r="S399" s="58" t="str">
        <f>IFERROR(_xlfn.TEXTAFTER(_xlfn.XLOOKUP(A399,Collection!A:A,Collection!B:B,),"#"),"")</f>
        <v>92</v>
      </c>
      <c r="T399" s="60">
        <f t="shared" si="44"/>
        <v>1.72</v>
      </c>
      <c r="U399" s="54" t="s">
        <v>1559</v>
      </c>
      <c r="V399" s="58" t="str">
        <f>IF(ISNUMBER(MATCH(N399,Catalog!$B$4:$B$16, 0)), "Keep", "For Sale")</f>
        <v>For Sale</v>
      </c>
      <c r="W399" s="58">
        <f t="shared" si="45"/>
        <v>1</v>
      </c>
      <c r="X399" s="58">
        <f t="shared" si="46"/>
        <v>4</v>
      </c>
      <c r="Y399" s="60">
        <f t="shared" si="47"/>
        <v>2</v>
      </c>
      <c r="Z399" s="60">
        <f t="shared" si="48"/>
        <v>1.5</v>
      </c>
      <c r="AE399"/>
      <c r="AF399"/>
      <c r="AG399"/>
    </row>
    <row r="400" spans="1:33" ht="14.4" x14ac:dyDescent="0.3">
      <c r="A400" s="13">
        <v>6740224</v>
      </c>
      <c r="B400" s="13" t="s">
        <v>334</v>
      </c>
      <c r="C400" s="13" t="s">
        <v>189</v>
      </c>
      <c r="D400" s="13">
        <v>172</v>
      </c>
      <c r="E400" s="13" t="s">
        <v>171</v>
      </c>
      <c r="F400" s="13" t="s">
        <v>172</v>
      </c>
      <c r="I400" s="13">
        <v>0</v>
      </c>
      <c r="J400" s="13">
        <v>1</v>
      </c>
      <c r="K400" s="14">
        <v>46149</v>
      </c>
      <c r="N400" s="13">
        <v>513</v>
      </c>
      <c r="P400" s="58" t="str">
        <f t="shared" si="42"/>
        <v>Chris Webber</v>
      </c>
      <c r="Q400" s="58" t="str">
        <f>IFERROR(_xlfn.TEXTAFTER(_xlfn.XLOOKUP(A400,Collection!A:A,Collection!C:C,),"Cards "),C400)</f>
        <v>1998 Upper Deck Black Diamond</v>
      </c>
      <c r="R400" s="58" t="str">
        <f t="shared" si="43"/>
        <v>-</v>
      </c>
      <c r="S400" s="58" t="str">
        <f>IFERROR(_xlfn.TEXTAFTER(_xlfn.XLOOKUP(A400,Collection!A:A,Collection!B:B,),"#"),"")</f>
        <v>75</v>
      </c>
      <c r="T400" s="60">
        <f t="shared" si="44"/>
        <v>1.72</v>
      </c>
      <c r="U400" s="54" t="s">
        <v>1559</v>
      </c>
      <c r="V400" s="58" t="str">
        <f>IF(ISNUMBER(MATCH(N400,Catalog!$B$4:$B$16, 0)), "Keep", "For Sale")</f>
        <v>For Sale</v>
      </c>
      <c r="W400" s="58">
        <f t="shared" si="45"/>
        <v>1</v>
      </c>
      <c r="X400" s="58">
        <f t="shared" si="46"/>
        <v>4</v>
      </c>
      <c r="Y400" s="60">
        <f t="shared" si="47"/>
        <v>2</v>
      </c>
      <c r="Z400" s="60">
        <f t="shared" si="48"/>
        <v>1.5</v>
      </c>
      <c r="AE400"/>
      <c r="AF400"/>
      <c r="AG400"/>
    </row>
    <row r="401" spans="1:33" ht="14.4" x14ac:dyDescent="0.3">
      <c r="A401" s="13">
        <v>90696</v>
      </c>
      <c r="B401" s="13" t="s">
        <v>233</v>
      </c>
      <c r="C401" s="13" t="s">
        <v>299</v>
      </c>
      <c r="D401" s="13">
        <v>142</v>
      </c>
      <c r="E401" s="13" t="s">
        <v>171</v>
      </c>
      <c r="F401" s="13" t="s">
        <v>172</v>
      </c>
      <c r="I401" s="13">
        <v>0</v>
      </c>
      <c r="J401" s="13">
        <v>1</v>
      </c>
      <c r="K401" s="14">
        <v>46149</v>
      </c>
      <c r="N401" s="13">
        <v>449</v>
      </c>
      <c r="P401" s="58" t="str">
        <f t="shared" si="42"/>
        <v>Chris Webber</v>
      </c>
      <c r="Q401" s="58" t="str">
        <f>IFERROR(_xlfn.TEXTAFTER(_xlfn.XLOOKUP(A401,Collection!A:A,Collection!C:C,),"Cards "),C401)</f>
        <v>1997 Ultra</v>
      </c>
      <c r="R401" s="58" t="str">
        <f t="shared" si="43"/>
        <v>-</v>
      </c>
      <c r="S401" s="58" t="str">
        <f>IFERROR(_xlfn.TEXTAFTER(_xlfn.XLOOKUP(A401,Collection!A:A,Collection!B:B,),"#"),"")</f>
        <v>108</v>
      </c>
      <c r="T401" s="60">
        <f t="shared" si="44"/>
        <v>1.42</v>
      </c>
      <c r="U401" s="54" t="s">
        <v>1559</v>
      </c>
      <c r="V401" s="58" t="str">
        <f>IF(ISNUMBER(MATCH(N401,Catalog!$B$4:$B$16, 0)), "Keep", "For Sale")</f>
        <v>For Sale</v>
      </c>
      <c r="W401" s="58">
        <f t="shared" si="45"/>
        <v>1</v>
      </c>
      <c r="X401" s="58">
        <f t="shared" si="46"/>
        <v>4</v>
      </c>
      <c r="Y401" s="60">
        <f t="shared" si="47"/>
        <v>1.5</v>
      </c>
      <c r="Z401" s="60">
        <f t="shared" si="48"/>
        <v>1.25</v>
      </c>
      <c r="AE401"/>
      <c r="AF401"/>
      <c r="AG401"/>
    </row>
    <row r="402" spans="1:33" ht="14.4" x14ac:dyDescent="0.3">
      <c r="A402" s="13">
        <v>5058426</v>
      </c>
      <c r="B402" s="13" t="s">
        <v>318</v>
      </c>
      <c r="C402" s="13" t="s">
        <v>181</v>
      </c>
      <c r="D402" s="13">
        <v>132</v>
      </c>
      <c r="E402" s="13" t="s">
        <v>171</v>
      </c>
      <c r="F402" s="13" t="s">
        <v>172</v>
      </c>
      <c r="I402" s="13">
        <v>0</v>
      </c>
      <c r="J402" s="13">
        <v>1</v>
      </c>
      <c r="K402" s="14">
        <v>46149</v>
      </c>
      <c r="N402" s="13">
        <v>465</v>
      </c>
      <c r="P402" s="58" t="str">
        <f t="shared" si="42"/>
        <v>Chris Webber</v>
      </c>
      <c r="Q402" s="58" t="str">
        <f>IFERROR(_xlfn.TEXTAFTER(_xlfn.XLOOKUP(A402,Collection!A:A,Collection!C:C,),"Cards "),C402)</f>
        <v>1995 Upper Deck</v>
      </c>
      <c r="R402" s="58" t="str">
        <f t="shared" si="43"/>
        <v>-</v>
      </c>
      <c r="S402" s="58" t="str">
        <f>IFERROR(_xlfn.TEXTAFTER(_xlfn.XLOOKUP(A402,Collection!A:A,Collection!B:B,),"#"),"")</f>
        <v>53</v>
      </c>
      <c r="T402" s="60">
        <f t="shared" si="44"/>
        <v>1.32</v>
      </c>
      <c r="U402" s="54" t="s">
        <v>1559</v>
      </c>
      <c r="V402" s="58" t="str">
        <f>IF(ISNUMBER(MATCH(N402,Catalog!$B$4:$B$16, 0)), "Keep", "For Sale")</f>
        <v>For Sale</v>
      </c>
      <c r="W402" s="58">
        <f t="shared" si="45"/>
        <v>1</v>
      </c>
      <c r="X402" s="58">
        <f t="shared" si="46"/>
        <v>4</v>
      </c>
      <c r="Y402" s="60">
        <f t="shared" si="47"/>
        <v>1.5</v>
      </c>
      <c r="Z402" s="60">
        <f t="shared" si="48"/>
        <v>1.25</v>
      </c>
      <c r="AE402"/>
      <c r="AF402"/>
      <c r="AG402"/>
    </row>
    <row r="403" spans="1:33" ht="14.4" x14ac:dyDescent="0.3">
      <c r="A403" s="13">
        <v>5670089</v>
      </c>
      <c r="B403" s="13" t="s">
        <v>373</v>
      </c>
      <c r="C403" s="13" t="s">
        <v>374</v>
      </c>
      <c r="D403" s="13">
        <v>125</v>
      </c>
      <c r="E403" s="13" t="s">
        <v>171</v>
      </c>
      <c r="F403" s="13" t="s">
        <v>172</v>
      </c>
      <c r="I403" s="13">
        <v>0</v>
      </c>
      <c r="J403" s="13">
        <v>1</v>
      </c>
      <c r="K403" s="14">
        <v>46149</v>
      </c>
      <c r="N403" s="13">
        <v>504</v>
      </c>
      <c r="P403" s="58" t="str">
        <f t="shared" si="42"/>
        <v>Chris Webber</v>
      </c>
      <c r="Q403" s="58" t="str">
        <f>IFERROR(_xlfn.TEXTAFTER(_xlfn.XLOOKUP(A403,Collection!A:A,Collection!C:C,),"Cards "),C403)</f>
        <v>1994 Ultra</v>
      </c>
      <c r="R403" s="58" t="str">
        <f t="shared" si="43"/>
        <v>-</v>
      </c>
      <c r="S403" s="58" t="str">
        <f>IFERROR(_xlfn.TEXTAFTER(_xlfn.XLOOKUP(A403,Collection!A:A,Collection!B:B,),"#"),"")</f>
        <v>348</v>
      </c>
      <c r="T403" s="60">
        <f t="shared" si="44"/>
        <v>1.25</v>
      </c>
      <c r="U403" s="54" t="s">
        <v>1559</v>
      </c>
      <c r="V403" s="58" t="str">
        <f>IF(ISNUMBER(MATCH(N403,Catalog!$B$4:$B$16, 0)), "Keep", "For Sale")</f>
        <v>For Sale</v>
      </c>
      <c r="W403" s="58">
        <f t="shared" si="45"/>
        <v>1</v>
      </c>
      <c r="X403" s="58">
        <f t="shared" si="46"/>
        <v>4</v>
      </c>
      <c r="Y403" s="60">
        <f t="shared" si="47"/>
        <v>1.5</v>
      </c>
      <c r="Z403" s="60">
        <f t="shared" si="48"/>
        <v>1.25</v>
      </c>
      <c r="AE403"/>
      <c r="AF403"/>
      <c r="AG403"/>
    </row>
    <row r="404" spans="1:33" ht="14.4" x14ac:dyDescent="0.3">
      <c r="A404" s="13">
        <v>80961</v>
      </c>
      <c r="B404" s="13" t="s">
        <v>441</v>
      </c>
      <c r="C404" s="13" t="s">
        <v>227</v>
      </c>
      <c r="D404" s="13">
        <v>113</v>
      </c>
      <c r="E404" s="13" t="s">
        <v>171</v>
      </c>
      <c r="F404" s="13" t="s">
        <v>172</v>
      </c>
      <c r="I404" s="13">
        <v>0</v>
      </c>
      <c r="J404" s="13">
        <v>1</v>
      </c>
      <c r="K404" s="14">
        <v>46127</v>
      </c>
      <c r="N404" s="13">
        <v>517</v>
      </c>
      <c r="P404" s="58" t="str">
        <f t="shared" si="42"/>
        <v>Chris Webber</v>
      </c>
      <c r="Q404" s="58" t="str">
        <f>IFERROR(_xlfn.TEXTAFTER(_xlfn.XLOOKUP(A404,Collection!A:A,Collection!C:C,),"Cards "),C404)</f>
        <v>1993 Ultra</v>
      </c>
      <c r="R404" s="58" t="str">
        <f t="shared" si="43"/>
        <v>-</v>
      </c>
      <c r="S404" s="58" t="str">
        <f>IFERROR(_xlfn.TEXTAFTER(_xlfn.XLOOKUP(A404,Collection!A:A,Collection!B:B,),"#"),"")</f>
        <v>252</v>
      </c>
      <c r="T404" s="60">
        <f t="shared" si="44"/>
        <v>1.1299999999999999</v>
      </c>
      <c r="U404" s="54" t="s">
        <v>1559</v>
      </c>
      <c r="V404" s="58" t="str">
        <f>IF(ISNUMBER(MATCH(N404,Catalog!$B$4:$B$16, 0)), "Keep", "For Sale")</f>
        <v>For Sale</v>
      </c>
      <c r="W404" s="58">
        <f t="shared" si="45"/>
        <v>1</v>
      </c>
      <c r="X404" s="58">
        <f t="shared" si="46"/>
        <v>4</v>
      </c>
      <c r="Y404" s="60">
        <f t="shared" si="47"/>
        <v>1.25</v>
      </c>
      <c r="Z404" s="60">
        <f t="shared" si="48"/>
        <v>1</v>
      </c>
      <c r="AE404"/>
      <c r="AF404"/>
      <c r="AG404"/>
    </row>
    <row r="405" spans="1:33" ht="14.4" x14ac:dyDescent="0.3">
      <c r="A405" s="13">
        <v>8306388</v>
      </c>
      <c r="B405" s="13" t="s">
        <v>429</v>
      </c>
      <c r="C405" s="13" t="s">
        <v>213</v>
      </c>
      <c r="D405" s="13">
        <v>102</v>
      </c>
      <c r="E405" s="13" t="s">
        <v>171</v>
      </c>
      <c r="F405" s="13" t="s">
        <v>172</v>
      </c>
      <c r="I405" s="13">
        <v>0</v>
      </c>
      <c r="J405" s="13">
        <v>1</v>
      </c>
      <c r="K405" s="14">
        <v>46149</v>
      </c>
      <c r="N405" s="13">
        <v>536</v>
      </c>
      <c r="P405" s="58" t="str">
        <f t="shared" si="42"/>
        <v>Chris Webber</v>
      </c>
      <c r="Q405" s="58" t="str">
        <f>IFERROR(_xlfn.TEXTAFTER(_xlfn.XLOOKUP(A405,Collection!A:A,Collection!C:C,),"Cards "),C405)</f>
        <v>1999 SP Authentic</v>
      </c>
      <c r="R405" s="58" t="str">
        <f t="shared" si="43"/>
        <v>-</v>
      </c>
      <c r="S405" s="58" t="str">
        <f>IFERROR(_xlfn.TEXTAFTER(_xlfn.XLOOKUP(A405,Collection!A:A,Collection!B:B,),"#"),"")</f>
        <v>71</v>
      </c>
      <c r="T405" s="60">
        <f t="shared" si="44"/>
        <v>1.02</v>
      </c>
      <c r="U405" s="54" t="s">
        <v>1559</v>
      </c>
      <c r="V405" s="58" t="str">
        <f>IF(ISNUMBER(MATCH(N405,Catalog!$B$4:$B$16, 0)), "Keep", "For Sale")</f>
        <v>For Sale</v>
      </c>
      <c r="W405" s="58">
        <f t="shared" si="45"/>
        <v>1</v>
      </c>
      <c r="X405" s="58">
        <f t="shared" si="46"/>
        <v>4</v>
      </c>
      <c r="Y405" s="60">
        <f t="shared" si="47"/>
        <v>1</v>
      </c>
      <c r="Z405" s="60">
        <f t="shared" si="48"/>
        <v>1</v>
      </c>
      <c r="AE405"/>
      <c r="AF405"/>
      <c r="AG405"/>
    </row>
    <row r="406" spans="1:33" ht="14.4" x14ac:dyDescent="0.3">
      <c r="A406" s="13">
        <v>4830876</v>
      </c>
      <c r="B406" s="13" t="s">
        <v>233</v>
      </c>
      <c r="C406" s="13" t="s">
        <v>216</v>
      </c>
      <c r="D406" s="13">
        <v>99</v>
      </c>
      <c r="E406" s="13" t="s">
        <v>171</v>
      </c>
      <c r="F406" s="13" t="s">
        <v>172</v>
      </c>
      <c r="I406" s="13">
        <v>0</v>
      </c>
      <c r="J406" s="13">
        <v>1</v>
      </c>
      <c r="K406" s="14">
        <v>46149</v>
      </c>
      <c r="N406" s="13">
        <v>554</v>
      </c>
      <c r="P406" s="58" t="str">
        <f t="shared" si="42"/>
        <v>Chris Webber</v>
      </c>
      <c r="Q406" s="58" t="str">
        <f>IFERROR(_xlfn.TEXTAFTER(_xlfn.XLOOKUP(A406,Collection!A:A,Collection!C:C,),"Cards "),C406)</f>
        <v>1996 Fleer Metal</v>
      </c>
      <c r="R406" s="58" t="str">
        <f t="shared" si="43"/>
        <v>-</v>
      </c>
      <c r="S406" s="58" t="str">
        <f>IFERROR(_xlfn.TEXTAFTER(_xlfn.XLOOKUP(A406,Collection!A:A,Collection!B:B,),"#"),"")</f>
        <v>108</v>
      </c>
      <c r="T406" s="60">
        <f t="shared" si="44"/>
        <v>0.99</v>
      </c>
      <c r="U406" s="54" t="s">
        <v>1559</v>
      </c>
      <c r="V406" s="58" t="str">
        <f>IF(ISNUMBER(MATCH(N406,Catalog!$B$4:$B$16, 0)), "Keep", "For Sale")</f>
        <v>For Sale</v>
      </c>
      <c r="W406" s="58">
        <f t="shared" si="45"/>
        <v>9</v>
      </c>
      <c r="X406" s="58">
        <f t="shared" si="46"/>
        <v>4</v>
      </c>
      <c r="Y406" s="60">
        <f t="shared" si="47"/>
        <v>1</v>
      </c>
      <c r="Z406" s="60">
        <f t="shared" si="48"/>
        <v>0.75</v>
      </c>
      <c r="AE406"/>
      <c r="AF406"/>
      <c r="AG406"/>
    </row>
    <row r="407" spans="1:33" ht="14.4" x14ac:dyDescent="0.3">
      <c r="A407" s="13">
        <v>4830876</v>
      </c>
      <c r="B407" s="13" t="s">
        <v>233</v>
      </c>
      <c r="C407" s="13" t="s">
        <v>216</v>
      </c>
      <c r="D407" s="13">
        <v>99</v>
      </c>
      <c r="E407" s="13" t="s">
        <v>171</v>
      </c>
      <c r="F407" s="13" t="s">
        <v>172</v>
      </c>
      <c r="I407" s="13">
        <v>0</v>
      </c>
      <c r="J407" s="13">
        <v>1</v>
      </c>
      <c r="K407" s="14">
        <v>46183</v>
      </c>
      <c r="N407" s="13">
        <v>557</v>
      </c>
      <c r="P407" s="58" t="str">
        <f t="shared" si="42"/>
        <v>Chris Webber</v>
      </c>
      <c r="Q407" s="58" t="str">
        <f>IFERROR(_xlfn.TEXTAFTER(_xlfn.XLOOKUP(A407,Collection!A:A,Collection!C:C,),"Cards "),C407)</f>
        <v>1996 Fleer Metal</v>
      </c>
      <c r="R407" s="58" t="str">
        <f t="shared" si="43"/>
        <v>-</v>
      </c>
      <c r="S407" s="58" t="str">
        <f>IFERROR(_xlfn.TEXTAFTER(_xlfn.XLOOKUP(A407,Collection!A:A,Collection!B:B,),"#"),"")</f>
        <v>108</v>
      </c>
      <c r="T407" s="60">
        <f t="shared" si="44"/>
        <v>0.99</v>
      </c>
      <c r="U407" s="54" t="s">
        <v>1559</v>
      </c>
      <c r="V407" s="58" t="str">
        <f>IF(ISNUMBER(MATCH(N407,Catalog!$B$4:$B$16, 0)), "Keep", "For Sale")</f>
        <v>For Sale</v>
      </c>
      <c r="W407" s="58">
        <f t="shared" si="45"/>
        <v>9</v>
      </c>
      <c r="X407" s="58">
        <f t="shared" si="46"/>
        <v>4</v>
      </c>
      <c r="Y407" s="60">
        <f t="shared" si="47"/>
        <v>1</v>
      </c>
      <c r="Z407" s="60">
        <f t="shared" si="48"/>
        <v>0.75</v>
      </c>
      <c r="AE407"/>
      <c r="AF407"/>
      <c r="AG407"/>
    </row>
    <row r="408" spans="1:33" ht="14.4" x14ac:dyDescent="0.3">
      <c r="A408" s="13">
        <v>4830876</v>
      </c>
      <c r="B408" s="13" t="s">
        <v>233</v>
      </c>
      <c r="C408" s="13" t="s">
        <v>216</v>
      </c>
      <c r="D408" s="13">
        <v>99</v>
      </c>
      <c r="E408" s="13" t="s">
        <v>171</v>
      </c>
      <c r="F408" s="13" t="s">
        <v>172</v>
      </c>
      <c r="I408" s="13">
        <v>0</v>
      </c>
      <c r="J408" s="13">
        <v>1</v>
      </c>
      <c r="K408" s="14">
        <v>46183</v>
      </c>
      <c r="N408" s="13">
        <v>558</v>
      </c>
      <c r="P408" s="58" t="str">
        <f t="shared" si="42"/>
        <v>Chris Webber</v>
      </c>
      <c r="Q408" s="58" t="str">
        <f>IFERROR(_xlfn.TEXTAFTER(_xlfn.XLOOKUP(A408,Collection!A:A,Collection!C:C,),"Cards "),C408)</f>
        <v>1996 Fleer Metal</v>
      </c>
      <c r="R408" s="58" t="str">
        <f t="shared" si="43"/>
        <v>-</v>
      </c>
      <c r="S408" s="58" t="str">
        <f>IFERROR(_xlfn.TEXTAFTER(_xlfn.XLOOKUP(A408,Collection!A:A,Collection!B:B,),"#"),"")</f>
        <v>108</v>
      </c>
      <c r="T408" s="60">
        <f t="shared" si="44"/>
        <v>0.99</v>
      </c>
      <c r="U408" s="54" t="s">
        <v>1559</v>
      </c>
      <c r="V408" s="58" t="str">
        <f>IF(ISNUMBER(MATCH(N408,Catalog!$B$4:$B$16, 0)), "Keep", "For Sale")</f>
        <v>For Sale</v>
      </c>
      <c r="W408" s="58">
        <f t="shared" si="45"/>
        <v>9</v>
      </c>
      <c r="X408" s="58">
        <f t="shared" si="46"/>
        <v>4</v>
      </c>
      <c r="Y408" s="60">
        <f t="shared" si="47"/>
        <v>1</v>
      </c>
      <c r="Z408" s="60">
        <f t="shared" si="48"/>
        <v>0.75</v>
      </c>
      <c r="AE408"/>
      <c r="AF408"/>
      <c r="AG408"/>
    </row>
    <row r="409" spans="1:33" ht="14.4" x14ac:dyDescent="0.3">
      <c r="A409" s="13">
        <v>4830876</v>
      </c>
      <c r="B409" s="13" t="s">
        <v>233</v>
      </c>
      <c r="C409" s="13" t="s">
        <v>216</v>
      </c>
      <c r="D409" s="13">
        <v>99</v>
      </c>
      <c r="E409" s="13" t="s">
        <v>171</v>
      </c>
      <c r="F409" s="13" t="s">
        <v>172</v>
      </c>
      <c r="I409" s="13">
        <v>0</v>
      </c>
      <c r="J409" s="13">
        <v>1</v>
      </c>
      <c r="K409" s="14">
        <v>46183</v>
      </c>
      <c r="N409" s="13">
        <v>560</v>
      </c>
      <c r="P409" s="58" t="str">
        <f t="shared" si="42"/>
        <v>Chris Webber</v>
      </c>
      <c r="Q409" s="58" t="str">
        <f>IFERROR(_xlfn.TEXTAFTER(_xlfn.XLOOKUP(A409,Collection!A:A,Collection!C:C,),"Cards "),C409)</f>
        <v>1996 Fleer Metal</v>
      </c>
      <c r="R409" s="58" t="str">
        <f t="shared" si="43"/>
        <v>-</v>
      </c>
      <c r="S409" s="58" t="str">
        <f>IFERROR(_xlfn.TEXTAFTER(_xlfn.XLOOKUP(A409,Collection!A:A,Collection!B:B,),"#"),"")</f>
        <v>108</v>
      </c>
      <c r="T409" s="60">
        <f t="shared" si="44"/>
        <v>0.99</v>
      </c>
      <c r="U409" s="54" t="s">
        <v>1559</v>
      </c>
      <c r="V409" s="58" t="str">
        <f>IF(ISNUMBER(MATCH(N409,Catalog!$B$4:$B$16, 0)), "Keep", "For Sale")</f>
        <v>For Sale</v>
      </c>
      <c r="W409" s="58">
        <f t="shared" si="45"/>
        <v>9</v>
      </c>
      <c r="X409" s="58">
        <f t="shared" si="46"/>
        <v>4</v>
      </c>
      <c r="Y409" s="60">
        <f t="shared" si="47"/>
        <v>1</v>
      </c>
      <c r="Z409" s="60">
        <f t="shared" si="48"/>
        <v>0.75</v>
      </c>
      <c r="AE409"/>
      <c r="AF409"/>
      <c r="AG409"/>
    </row>
    <row r="410" spans="1:33" ht="14.4" x14ac:dyDescent="0.3">
      <c r="A410" s="13">
        <v>4830876</v>
      </c>
      <c r="B410" s="13" t="s">
        <v>233</v>
      </c>
      <c r="C410" s="13" t="s">
        <v>216</v>
      </c>
      <c r="D410" s="13">
        <v>99</v>
      </c>
      <c r="E410" s="13" t="s">
        <v>171</v>
      </c>
      <c r="F410" s="13" t="s">
        <v>172</v>
      </c>
      <c r="I410" s="13">
        <v>0</v>
      </c>
      <c r="J410" s="13">
        <v>1</v>
      </c>
      <c r="K410" s="14">
        <v>46183</v>
      </c>
      <c r="N410" s="13">
        <v>563</v>
      </c>
      <c r="P410" s="58" t="str">
        <f t="shared" si="42"/>
        <v>Chris Webber</v>
      </c>
      <c r="Q410" s="58" t="str">
        <f>IFERROR(_xlfn.TEXTAFTER(_xlfn.XLOOKUP(A410,Collection!A:A,Collection!C:C,),"Cards "),C410)</f>
        <v>1996 Fleer Metal</v>
      </c>
      <c r="R410" s="58" t="str">
        <f t="shared" si="43"/>
        <v>-</v>
      </c>
      <c r="S410" s="58" t="str">
        <f>IFERROR(_xlfn.TEXTAFTER(_xlfn.XLOOKUP(A410,Collection!A:A,Collection!B:B,),"#"),"")</f>
        <v>108</v>
      </c>
      <c r="T410" s="60">
        <f t="shared" si="44"/>
        <v>0.99</v>
      </c>
      <c r="U410" s="54" t="s">
        <v>1559</v>
      </c>
      <c r="V410" s="58" t="str">
        <f>IF(ISNUMBER(MATCH(N410,Catalog!$B$4:$B$16, 0)), "Keep", "For Sale")</f>
        <v>For Sale</v>
      </c>
      <c r="W410" s="58">
        <f t="shared" si="45"/>
        <v>9</v>
      </c>
      <c r="X410" s="58">
        <f t="shared" si="46"/>
        <v>4</v>
      </c>
      <c r="Y410" s="60">
        <f t="shared" si="47"/>
        <v>1</v>
      </c>
      <c r="Z410" s="60">
        <f t="shared" si="48"/>
        <v>0.75</v>
      </c>
      <c r="AE410"/>
      <c r="AF410"/>
      <c r="AG410"/>
    </row>
    <row r="411" spans="1:33" ht="14.4" x14ac:dyDescent="0.3">
      <c r="A411" s="13">
        <v>4830876</v>
      </c>
      <c r="B411" s="13" t="s">
        <v>233</v>
      </c>
      <c r="C411" s="13" t="s">
        <v>216</v>
      </c>
      <c r="D411" s="13">
        <v>99</v>
      </c>
      <c r="E411" s="13" t="s">
        <v>171</v>
      </c>
      <c r="F411" s="13" t="s">
        <v>172</v>
      </c>
      <c r="I411" s="13">
        <v>0</v>
      </c>
      <c r="J411" s="13">
        <v>1</v>
      </c>
      <c r="K411" s="14">
        <v>46183</v>
      </c>
      <c r="N411" s="13">
        <v>565</v>
      </c>
      <c r="P411" s="58" t="str">
        <f t="shared" si="42"/>
        <v>Chris Webber</v>
      </c>
      <c r="Q411" s="58" t="str">
        <f>IFERROR(_xlfn.TEXTAFTER(_xlfn.XLOOKUP(A411,Collection!A:A,Collection!C:C,),"Cards "),C411)</f>
        <v>1996 Fleer Metal</v>
      </c>
      <c r="R411" s="58" t="str">
        <f t="shared" si="43"/>
        <v>-</v>
      </c>
      <c r="S411" s="58" t="str">
        <f>IFERROR(_xlfn.TEXTAFTER(_xlfn.XLOOKUP(A411,Collection!A:A,Collection!B:B,),"#"),"")</f>
        <v>108</v>
      </c>
      <c r="T411" s="60">
        <f t="shared" si="44"/>
        <v>0.99</v>
      </c>
      <c r="U411" s="54" t="s">
        <v>1559</v>
      </c>
      <c r="V411" s="58" t="str">
        <f>IF(ISNUMBER(MATCH(N411,Catalog!$B$4:$B$16, 0)), "Keep", "For Sale")</f>
        <v>For Sale</v>
      </c>
      <c r="W411" s="58">
        <f t="shared" si="45"/>
        <v>9</v>
      </c>
      <c r="X411" s="58">
        <f t="shared" si="46"/>
        <v>4</v>
      </c>
      <c r="Y411" s="60">
        <f t="shared" si="47"/>
        <v>1</v>
      </c>
      <c r="Z411" s="60">
        <f t="shared" si="48"/>
        <v>0.75</v>
      </c>
      <c r="AE411"/>
      <c r="AF411"/>
      <c r="AG411"/>
    </row>
    <row r="412" spans="1:33" ht="14.4" x14ac:dyDescent="0.3">
      <c r="A412" s="13">
        <v>4830876</v>
      </c>
      <c r="B412" s="13" t="s">
        <v>233</v>
      </c>
      <c r="C412" s="13" t="s">
        <v>216</v>
      </c>
      <c r="D412" s="13">
        <v>99</v>
      </c>
      <c r="E412" s="13" t="s">
        <v>171</v>
      </c>
      <c r="F412" s="13" t="s">
        <v>172</v>
      </c>
      <c r="I412" s="13">
        <v>0</v>
      </c>
      <c r="J412" s="13">
        <v>1</v>
      </c>
      <c r="K412" s="14">
        <v>46183</v>
      </c>
      <c r="N412" s="13">
        <v>571</v>
      </c>
      <c r="P412" s="58" t="str">
        <f t="shared" si="42"/>
        <v>Chris Webber</v>
      </c>
      <c r="Q412" s="58" t="str">
        <f>IFERROR(_xlfn.TEXTAFTER(_xlfn.XLOOKUP(A412,Collection!A:A,Collection!C:C,),"Cards "),C412)</f>
        <v>1996 Fleer Metal</v>
      </c>
      <c r="R412" s="58" t="str">
        <f t="shared" si="43"/>
        <v>-</v>
      </c>
      <c r="S412" s="58" t="str">
        <f>IFERROR(_xlfn.TEXTAFTER(_xlfn.XLOOKUP(A412,Collection!A:A,Collection!B:B,),"#"),"")</f>
        <v>108</v>
      </c>
      <c r="T412" s="60">
        <f t="shared" si="44"/>
        <v>0.99</v>
      </c>
      <c r="U412" s="54" t="s">
        <v>1559</v>
      </c>
      <c r="V412" s="58" t="str">
        <f>IF(ISNUMBER(MATCH(N412,Catalog!$B$4:$B$16, 0)), "Keep", "For Sale")</f>
        <v>For Sale</v>
      </c>
      <c r="W412" s="58">
        <f t="shared" si="45"/>
        <v>9</v>
      </c>
      <c r="X412" s="58">
        <f t="shared" si="46"/>
        <v>4</v>
      </c>
      <c r="Y412" s="60">
        <f t="shared" si="47"/>
        <v>1</v>
      </c>
      <c r="Z412" s="60">
        <f t="shared" si="48"/>
        <v>0.75</v>
      </c>
      <c r="AE412"/>
      <c r="AF412"/>
      <c r="AG412"/>
    </row>
    <row r="413" spans="1:33" ht="14.4" x14ac:dyDescent="0.3">
      <c r="A413" s="13">
        <v>4830876</v>
      </c>
      <c r="B413" s="13" t="s">
        <v>233</v>
      </c>
      <c r="C413" s="13" t="s">
        <v>216</v>
      </c>
      <c r="D413" s="13">
        <v>99</v>
      </c>
      <c r="E413" s="13" t="s">
        <v>171</v>
      </c>
      <c r="F413" s="13" t="s">
        <v>172</v>
      </c>
      <c r="I413" s="13">
        <v>0</v>
      </c>
      <c r="J413" s="13">
        <v>1</v>
      </c>
      <c r="K413" s="14">
        <v>46183</v>
      </c>
      <c r="N413" s="13">
        <v>572</v>
      </c>
      <c r="P413" s="58" t="str">
        <f t="shared" si="42"/>
        <v>Chris Webber</v>
      </c>
      <c r="Q413" s="58" t="str">
        <f>IFERROR(_xlfn.TEXTAFTER(_xlfn.XLOOKUP(A413,Collection!A:A,Collection!C:C,),"Cards "),C413)</f>
        <v>1996 Fleer Metal</v>
      </c>
      <c r="R413" s="58" t="str">
        <f t="shared" si="43"/>
        <v>-</v>
      </c>
      <c r="S413" s="58" t="str">
        <f>IFERROR(_xlfn.TEXTAFTER(_xlfn.XLOOKUP(A413,Collection!A:A,Collection!B:B,),"#"),"")</f>
        <v>108</v>
      </c>
      <c r="T413" s="60">
        <f t="shared" si="44"/>
        <v>0.99</v>
      </c>
      <c r="U413" s="54" t="s">
        <v>1559</v>
      </c>
      <c r="V413" s="58" t="str">
        <f>IF(ISNUMBER(MATCH(N413,Catalog!$B$4:$B$16, 0)), "Keep", "For Sale")</f>
        <v>For Sale</v>
      </c>
      <c r="W413" s="58">
        <f t="shared" si="45"/>
        <v>9</v>
      </c>
      <c r="X413" s="58">
        <f t="shared" si="46"/>
        <v>4</v>
      </c>
      <c r="Y413" s="60">
        <f t="shared" si="47"/>
        <v>1</v>
      </c>
      <c r="Z413" s="60">
        <f t="shared" si="48"/>
        <v>0.75</v>
      </c>
      <c r="AE413"/>
      <c r="AF413"/>
      <c r="AG413"/>
    </row>
    <row r="414" spans="1:33" ht="14.4" x14ac:dyDescent="0.3">
      <c r="A414" s="13">
        <v>4830876</v>
      </c>
      <c r="B414" s="13" t="s">
        <v>233</v>
      </c>
      <c r="C414" s="13" t="s">
        <v>216</v>
      </c>
      <c r="D414" s="13">
        <v>99</v>
      </c>
      <c r="E414" s="13" t="s">
        <v>171</v>
      </c>
      <c r="F414" s="13" t="s">
        <v>172</v>
      </c>
      <c r="I414" s="13">
        <v>0</v>
      </c>
      <c r="J414" s="13">
        <v>1</v>
      </c>
      <c r="K414" s="14">
        <v>46183</v>
      </c>
      <c r="N414" s="13">
        <v>573</v>
      </c>
      <c r="P414" s="58" t="str">
        <f t="shared" si="42"/>
        <v>Chris Webber</v>
      </c>
      <c r="Q414" s="58" t="str">
        <f>IFERROR(_xlfn.TEXTAFTER(_xlfn.XLOOKUP(A414,Collection!A:A,Collection!C:C,),"Cards "),C414)</f>
        <v>1996 Fleer Metal</v>
      </c>
      <c r="R414" s="58" t="str">
        <f t="shared" si="43"/>
        <v>-</v>
      </c>
      <c r="S414" s="58" t="str">
        <f>IFERROR(_xlfn.TEXTAFTER(_xlfn.XLOOKUP(A414,Collection!A:A,Collection!B:B,),"#"),"")</f>
        <v>108</v>
      </c>
      <c r="T414" s="60">
        <f t="shared" si="44"/>
        <v>0.99</v>
      </c>
      <c r="U414" s="54" t="s">
        <v>1559</v>
      </c>
      <c r="V414" s="58" t="str">
        <f>IF(ISNUMBER(MATCH(N414,Catalog!$B$4:$B$16, 0)), "Keep", "For Sale")</f>
        <v>For Sale</v>
      </c>
      <c r="W414" s="58">
        <f t="shared" si="45"/>
        <v>9</v>
      </c>
      <c r="X414" s="58">
        <f t="shared" si="46"/>
        <v>4</v>
      </c>
      <c r="Y414" s="60">
        <f t="shared" si="47"/>
        <v>1</v>
      </c>
      <c r="Z414" s="60">
        <f t="shared" si="48"/>
        <v>0.75</v>
      </c>
      <c r="AE414"/>
      <c r="AF414"/>
      <c r="AG414"/>
    </row>
    <row r="415" spans="1:33" ht="14.4" x14ac:dyDescent="0.3">
      <c r="A415" s="13">
        <v>87400</v>
      </c>
      <c r="B415" s="13" t="s">
        <v>173</v>
      </c>
      <c r="C415" s="13" t="s">
        <v>174</v>
      </c>
      <c r="D415" s="13">
        <v>11</v>
      </c>
      <c r="E415" s="13" t="s">
        <v>171</v>
      </c>
      <c r="F415" s="13" t="s">
        <v>172</v>
      </c>
      <c r="I415" s="13">
        <v>0</v>
      </c>
      <c r="J415" s="13">
        <v>1</v>
      </c>
      <c r="K415" s="14">
        <v>46149</v>
      </c>
      <c r="N415" s="13">
        <v>593</v>
      </c>
      <c r="P415" s="58" t="str">
        <f t="shared" si="42"/>
        <v>Chris Webber</v>
      </c>
      <c r="Q415" s="58" t="str">
        <f>IFERROR(_xlfn.TEXTAFTER(_xlfn.XLOOKUP(A415,Collection!A:A,Collection!C:C,),"Cards "),C415)</f>
        <v>1996 Upper Deck</v>
      </c>
      <c r="R415" s="58" t="str">
        <f t="shared" si="43"/>
        <v>-</v>
      </c>
      <c r="S415" s="58" t="str">
        <f>IFERROR(_xlfn.TEXTAFTER(_xlfn.XLOOKUP(A415,Collection!A:A,Collection!B:B,),"#"),"")</f>
        <v>135</v>
      </c>
      <c r="T415" s="60">
        <f t="shared" si="44"/>
        <v>0.11</v>
      </c>
      <c r="U415" s="54" t="s">
        <v>1559</v>
      </c>
      <c r="V415" s="58" t="str">
        <f>IF(ISNUMBER(MATCH(N415,Catalog!$B$4:$B$16, 0)), "Keep", "For Sale")</f>
        <v>For Sale</v>
      </c>
      <c r="W415" s="58">
        <f t="shared" si="45"/>
        <v>2</v>
      </c>
      <c r="X415" s="58">
        <f t="shared" si="46"/>
        <v>4</v>
      </c>
      <c r="Y415" s="60">
        <f t="shared" si="47"/>
        <v>0.25</v>
      </c>
      <c r="Z415" s="60">
        <f t="shared" si="48"/>
        <v>0.25</v>
      </c>
      <c r="AE415"/>
      <c r="AF415"/>
      <c r="AG415"/>
    </row>
    <row r="416" spans="1:33" ht="14.4" x14ac:dyDescent="0.3">
      <c r="A416" s="13">
        <v>87400</v>
      </c>
      <c r="B416" s="13" t="s">
        <v>173</v>
      </c>
      <c r="C416" s="13" t="s">
        <v>174</v>
      </c>
      <c r="D416" s="13">
        <v>11</v>
      </c>
      <c r="E416" s="13" t="s">
        <v>171</v>
      </c>
      <c r="F416" s="13" t="s">
        <v>172</v>
      </c>
      <c r="I416" s="13">
        <v>0</v>
      </c>
      <c r="J416" s="13">
        <v>1</v>
      </c>
      <c r="K416" s="14">
        <v>46183</v>
      </c>
      <c r="N416" s="13">
        <v>594</v>
      </c>
      <c r="P416" s="58" t="str">
        <f t="shared" si="42"/>
        <v>Chris Webber</v>
      </c>
      <c r="Q416" s="58" t="str">
        <f>IFERROR(_xlfn.TEXTAFTER(_xlfn.XLOOKUP(A416,Collection!A:A,Collection!C:C,),"Cards "),C416)</f>
        <v>1996 Upper Deck</v>
      </c>
      <c r="R416" s="58" t="str">
        <f t="shared" si="43"/>
        <v>-</v>
      </c>
      <c r="S416" s="58" t="str">
        <f>IFERROR(_xlfn.TEXTAFTER(_xlfn.XLOOKUP(A416,Collection!A:A,Collection!B:B,),"#"),"")</f>
        <v>135</v>
      </c>
      <c r="T416" s="60">
        <f t="shared" si="44"/>
        <v>0.11</v>
      </c>
      <c r="U416" s="54" t="s">
        <v>1559</v>
      </c>
      <c r="V416" s="58" t="str">
        <f>IF(ISNUMBER(MATCH(N416,Catalog!$B$4:$B$16, 0)), "Keep", "For Sale")</f>
        <v>For Sale</v>
      </c>
      <c r="W416" s="58">
        <f t="shared" si="45"/>
        <v>2</v>
      </c>
      <c r="X416" s="58">
        <f t="shared" si="46"/>
        <v>4</v>
      </c>
      <c r="Y416" s="60">
        <f t="shared" si="47"/>
        <v>0.25</v>
      </c>
      <c r="Z416" s="60">
        <f t="shared" si="48"/>
        <v>0.25</v>
      </c>
      <c r="AE416"/>
      <c r="AF416"/>
      <c r="AG416"/>
    </row>
    <row r="417" spans="1:33" ht="14.4" x14ac:dyDescent="0.3">
      <c r="A417" s="13">
        <v>4830850</v>
      </c>
      <c r="B417" s="13" t="s">
        <v>190</v>
      </c>
      <c r="C417" s="13" t="s">
        <v>191</v>
      </c>
      <c r="D417" s="13">
        <v>189</v>
      </c>
      <c r="E417" s="13" t="s">
        <v>171</v>
      </c>
      <c r="F417" s="13" t="s">
        <v>172</v>
      </c>
      <c r="I417" s="13">
        <v>0</v>
      </c>
      <c r="J417" s="13">
        <v>1</v>
      </c>
      <c r="K417" s="14">
        <v>46149</v>
      </c>
      <c r="N417" s="13">
        <v>295</v>
      </c>
      <c r="P417" s="58" t="str">
        <f t="shared" si="42"/>
        <v>Clyde Drexler</v>
      </c>
      <c r="Q417" s="58" t="str">
        <f>IFERROR(_xlfn.TEXTAFTER(_xlfn.XLOOKUP(A417,Collection!A:A,Collection!C:C,),"Cards "),C417)</f>
        <v>1994 Fleer All Stars</v>
      </c>
      <c r="R417" s="58" t="str">
        <f t="shared" si="43"/>
        <v>-</v>
      </c>
      <c r="S417" s="58" t="str">
        <f>IFERROR(_xlfn.TEXTAFTER(_xlfn.XLOOKUP(A417,Collection!A:A,Collection!B:B,),"#"),"")</f>
        <v>15</v>
      </c>
      <c r="T417" s="60">
        <f t="shared" si="44"/>
        <v>1.89</v>
      </c>
      <c r="U417" s="54" t="s">
        <v>1572</v>
      </c>
      <c r="V417" s="58" t="str">
        <f>IF(ISNUMBER(MATCH(N417,Catalog!$B$4:$B$16, 0)), "Keep", "For Sale")</f>
        <v>For Sale</v>
      </c>
      <c r="W417" s="58">
        <f t="shared" si="45"/>
        <v>1</v>
      </c>
      <c r="X417" s="58">
        <f t="shared" si="46"/>
        <v>4</v>
      </c>
      <c r="Y417" s="60">
        <f t="shared" si="47"/>
        <v>2.5</v>
      </c>
      <c r="Z417" s="60">
        <f t="shared" si="48"/>
        <v>2</v>
      </c>
      <c r="AE417"/>
      <c r="AF417"/>
      <c r="AG417"/>
    </row>
    <row r="418" spans="1:33" ht="14.4" x14ac:dyDescent="0.3">
      <c r="A418" s="13">
        <v>83369</v>
      </c>
      <c r="B418" s="13" t="s">
        <v>381</v>
      </c>
      <c r="C418" s="13" t="s">
        <v>251</v>
      </c>
      <c r="D418" s="13">
        <v>139</v>
      </c>
      <c r="E418" s="13" t="s">
        <v>171</v>
      </c>
      <c r="F418" s="13" t="s">
        <v>172</v>
      </c>
      <c r="I418" s="13">
        <v>0</v>
      </c>
      <c r="J418" s="13">
        <v>1</v>
      </c>
      <c r="K418" s="14">
        <v>46129</v>
      </c>
      <c r="N418" s="13">
        <v>450</v>
      </c>
      <c r="P418" s="58" t="str">
        <f t="shared" si="42"/>
        <v>Clyde Drexler</v>
      </c>
      <c r="Q418" s="58" t="str">
        <f>IFERROR(_xlfn.TEXTAFTER(_xlfn.XLOOKUP(A418,Collection!A:A,Collection!C:C,),"Cards "),C418)</f>
        <v>1995 Metal</v>
      </c>
      <c r="R418" s="58" t="str">
        <f t="shared" si="43"/>
        <v>-</v>
      </c>
      <c r="S418" s="58" t="str">
        <f>IFERROR(_xlfn.TEXTAFTER(_xlfn.XLOOKUP(A418,Collection!A:A,Collection!B:B,),"#"),"")</f>
        <v>38</v>
      </c>
      <c r="T418" s="60">
        <f t="shared" si="44"/>
        <v>1.39</v>
      </c>
      <c r="U418" s="54" t="s">
        <v>1572</v>
      </c>
      <c r="V418" s="58" t="str">
        <f>IF(ISNUMBER(MATCH(N418,Catalog!$B$4:$B$16, 0)), "Keep", "For Sale")</f>
        <v>For Sale</v>
      </c>
      <c r="W418" s="58">
        <f t="shared" si="45"/>
        <v>1</v>
      </c>
      <c r="X418" s="58">
        <f t="shared" si="46"/>
        <v>4</v>
      </c>
      <c r="Y418" s="60">
        <f t="shared" si="47"/>
        <v>1.5</v>
      </c>
      <c r="Z418" s="60">
        <f t="shared" si="48"/>
        <v>1.25</v>
      </c>
      <c r="AE418"/>
      <c r="AF418"/>
      <c r="AG418"/>
    </row>
    <row r="419" spans="1:33" ht="14.4" x14ac:dyDescent="0.3">
      <c r="A419" s="13">
        <v>2532533</v>
      </c>
      <c r="B419" s="13" t="s">
        <v>355</v>
      </c>
      <c r="C419" s="13" t="s">
        <v>328</v>
      </c>
      <c r="D419" s="13">
        <v>100</v>
      </c>
      <c r="E419" s="13" t="s">
        <v>171</v>
      </c>
      <c r="F419" s="13" t="s">
        <v>172</v>
      </c>
      <c r="I419" s="13">
        <v>0</v>
      </c>
      <c r="J419" s="13">
        <v>1</v>
      </c>
      <c r="K419" s="14">
        <v>46128</v>
      </c>
      <c r="L419" s="14">
        <v>46128</v>
      </c>
      <c r="N419" s="13">
        <v>546</v>
      </c>
      <c r="P419" s="58" t="str">
        <f t="shared" si="42"/>
        <v>Clyde Drexler</v>
      </c>
      <c r="Q419" s="58" t="str">
        <f>IFERROR(_xlfn.TEXTAFTER(_xlfn.XLOOKUP(A419,Collection!A:A,Collection!C:C,),"Cards "),C419)</f>
        <v>1996 Upper Deck Fast Break Connection</v>
      </c>
      <c r="R419" s="58" t="str">
        <f t="shared" si="43"/>
        <v>-</v>
      </c>
      <c r="S419" s="58" t="str">
        <f>IFERROR(_xlfn.TEXTAFTER(_xlfn.XLOOKUP(A419,Collection!A:A,Collection!B:B,),"#"),"")</f>
        <v>FB6</v>
      </c>
      <c r="T419" s="60">
        <f t="shared" si="44"/>
        <v>1</v>
      </c>
      <c r="U419" s="54" t="s">
        <v>1572</v>
      </c>
      <c r="V419" s="58" t="str">
        <f>IF(ISNUMBER(MATCH(N419,Catalog!$B$4:$B$16, 0)), "Keep", "For Sale")</f>
        <v>For Sale</v>
      </c>
      <c r="W419" s="58">
        <f t="shared" si="45"/>
        <v>1</v>
      </c>
      <c r="X419" s="58">
        <f t="shared" si="46"/>
        <v>4</v>
      </c>
      <c r="Y419" s="60">
        <f t="shared" si="47"/>
        <v>1</v>
      </c>
      <c r="Z419" s="60">
        <f t="shared" si="48"/>
        <v>1</v>
      </c>
      <c r="AE419"/>
      <c r="AF419"/>
      <c r="AG419"/>
    </row>
    <row r="420" spans="1:33" ht="14.4" x14ac:dyDescent="0.3">
      <c r="A420" s="13">
        <v>2730130</v>
      </c>
      <c r="B420" s="13" t="s">
        <v>581</v>
      </c>
      <c r="C420" s="13" t="s">
        <v>549</v>
      </c>
      <c r="D420" s="13">
        <v>199</v>
      </c>
      <c r="E420" s="13" t="s">
        <v>171</v>
      </c>
      <c r="F420" s="13" t="s">
        <v>172</v>
      </c>
      <c r="I420" s="13">
        <v>0</v>
      </c>
      <c r="J420" s="13">
        <v>1</v>
      </c>
      <c r="K420" s="14">
        <v>46129</v>
      </c>
      <c r="N420" s="13">
        <v>268</v>
      </c>
      <c r="P420" s="58" t="str">
        <f t="shared" si="42"/>
        <v>Cobi Jones</v>
      </c>
      <c r="Q420" s="58" t="str">
        <f>IFERROR(_xlfn.TEXTAFTER(_xlfn.XLOOKUP(A420,Collection!A:A,Collection!C:C,),"Cards "),C420)</f>
        <v>1994 Upper Deck World Cup Soccer</v>
      </c>
      <c r="R420" s="58" t="str">
        <f t="shared" si="43"/>
        <v>-</v>
      </c>
      <c r="S420" s="58" t="str">
        <f>IFERROR(_xlfn.TEXTAFTER(_xlfn.XLOOKUP(A420,Collection!A:A,Collection!B:B,),"#"),"")</f>
        <v>11</v>
      </c>
      <c r="T420" s="60">
        <f t="shared" si="44"/>
        <v>1.99</v>
      </c>
      <c r="U420" s="54" t="s">
        <v>1623</v>
      </c>
      <c r="V420" s="58" t="str">
        <f>IF(ISNUMBER(MATCH(N420,Catalog!$B$4:$B$16, 0)), "Keep", "For Sale")</f>
        <v>For Sale</v>
      </c>
      <c r="W420" s="58">
        <f t="shared" si="45"/>
        <v>1</v>
      </c>
      <c r="X420" s="58">
        <f t="shared" si="46"/>
        <v>4</v>
      </c>
      <c r="Y420" s="60">
        <f t="shared" si="47"/>
        <v>2.5</v>
      </c>
      <c r="Z420" s="60">
        <f t="shared" si="48"/>
        <v>2</v>
      </c>
      <c r="AE420"/>
      <c r="AF420"/>
      <c r="AG420"/>
    </row>
    <row r="421" spans="1:33" ht="14.4" x14ac:dyDescent="0.3">
      <c r="A421" s="13">
        <v>12627605</v>
      </c>
      <c r="B421" s="13" t="s">
        <v>941</v>
      </c>
      <c r="C421" s="13" t="s">
        <v>925</v>
      </c>
      <c r="D421" s="13">
        <v>150</v>
      </c>
      <c r="E421" s="13" t="s">
        <v>171</v>
      </c>
      <c r="F421" s="13" t="s">
        <v>172</v>
      </c>
      <c r="H421" s="13" t="s">
        <v>942</v>
      </c>
      <c r="I421" s="13">
        <v>0</v>
      </c>
      <c r="J421" s="13">
        <v>1</v>
      </c>
      <c r="K421" s="14">
        <v>46157</v>
      </c>
      <c r="L421" s="14">
        <v>46149</v>
      </c>
      <c r="N421" s="13">
        <v>426</v>
      </c>
      <c r="P421" s="58" t="str">
        <f t="shared" si="42"/>
        <v>Cotie McMahon</v>
      </c>
      <c r="Q421" s="58" t="str">
        <f>IFERROR(_xlfn.TEXTAFTER(_xlfn.XLOOKUP(A421,Collection!A:A,Collection!C:C,),"Cards "),C421)</f>
        <v>2025 Bowman Prospects</v>
      </c>
      <c r="R421" s="58" t="str">
        <f t="shared" si="43"/>
        <v>-</v>
      </c>
      <c r="S421" s="58" t="str">
        <f>IFERROR(_xlfn.TEXTAFTER(_xlfn.XLOOKUP(A421,Collection!A:A,Collection!B:B,),"#"),"")</f>
        <v>BPP-30</v>
      </c>
      <c r="T421" s="60">
        <f t="shared" si="44"/>
        <v>1.5</v>
      </c>
      <c r="U421" s="54" t="s">
        <v>1686</v>
      </c>
      <c r="V421" s="58" t="str">
        <f>IF(ISNUMBER(MATCH(N421,Catalog!$B$4:$B$16, 0)), "Keep", "For Sale")</f>
        <v>For Sale</v>
      </c>
      <c r="W421" s="58">
        <f t="shared" si="45"/>
        <v>1</v>
      </c>
      <c r="X421" s="58">
        <f t="shared" si="46"/>
        <v>4</v>
      </c>
      <c r="Y421" s="60">
        <f t="shared" si="47"/>
        <v>2</v>
      </c>
      <c r="Z421" s="60">
        <f t="shared" si="48"/>
        <v>1.5</v>
      </c>
      <c r="AE421"/>
      <c r="AF421"/>
      <c r="AG421"/>
    </row>
    <row r="422" spans="1:33" ht="14.4" x14ac:dyDescent="0.3">
      <c r="A422" s="13">
        <v>4125221</v>
      </c>
      <c r="B422" s="13" t="s">
        <v>1198</v>
      </c>
      <c r="C422" s="13" t="s">
        <v>216</v>
      </c>
      <c r="D422" s="13">
        <v>112</v>
      </c>
      <c r="E422" s="13" t="s">
        <v>171</v>
      </c>
      <c r="F422" s="13" t="s">
        <v>172</v>
      </c>
      <c r="I422" s="13">
        <v>0</v>
      </c>
      <c r="J422" s="13">
        <v>1</v>
      </c>
      <c r="K422" s="14">
        <v>46183</v>
      </c>
      <c r="N422" s="13">
        <v>518</v>
      </c>
      <c r="P422" s="58" t="str">
        <f t="shared" si="42"/>
        <v>Damon Stoudamire</v>
      </c>
      <c r="Q422" s="58" t="str">
        <f>IFERROR(_xlfn.TEXTAFTER(_xlfn.XLOOKUP(A422,Collection!A:A,Collection!C:C,),"Cards "),C422)</f>
        <v>1996 Fleer Metal</v>
      </c>
      <c r="R422" s="58" t="str">
        <f t="shared" si="43"/>
        <v>-</v>
      </c>
      <c r="S422" s="58" t="str">
        <f>IFERROR(_xlfn.TEXTAFTER(_xlfn.XLOOKUP(A422,Collection!A:A,Collection!B:B,),"#"),"")</f>
        <v>98</v>
      </c>
      <c r="T422" s="60">
        <f t="shared" si="44"/>
        <v>1.1200000000000001</v>
      </c>
      <c r="U422" s="54" t="s">
        <v>1556</v>
      </c>
      <c r="V422" s="58" t="str">
        <f>IF(ISNUMBER(MATCH(N422,Catalog!$B$4:$B$16, 0)), "Keep", "For Sale")</f>
        <v>For Sale</v>
      </c>
      <c r="W422" s="58">
        <f t="shared" si="45"/>
        <v>8</v>
      </c>
      <c r="X422" s="58">
        <f t="shared" si="46"/>
        <v>4</v>
      </c>
      <c r="Y422" s="60">
        <f t="shared" si="47"/>
        <v>1.25</v>
      </c>
      <c r="Z422" s="60">
        <f t="shared" si="48"/>
        <v>0.75</v>
      </c>
      <c r="AE422"/>
      <c r="AF422"/>
      <c r="AG422"/>
    </row>
    <row r="423" spans="1:33" ht="14.4" x14ac:dyDescent="0.3">
      <c r="A423" s="13">
        <v>4125221</v>
      </c>
      <c r="B423" s="13" t="s">
        <v>1198</v>
      </c>
      <c r="C423" s="13" t="s">
        <v>216</v>
      </c>
      <c r="D423" s="13">
        <v>112</v>
      </c>
      <c r="E423" s="13" t="s">
        <v>171</v>
      </c>
      <c r="F423" s="13" t="s">
        <v>172</v>
      </c>
      <c r="I423" s="13">
        <v>0</v>
      </c>
      <c r="J423" s="13">
        <v>1</v>
      </c>
      <c r="K423" s="14">
        <v>46173</v>
      </c>
      <c r="N423" s="13">
        <v>519</v>
      </c>
      <c r="P423" s="58" t="str">
        <f t="shared" si="42"/>
        <v>Damon Stoudamire</v>
      </c>
      <c r="Q423" s="58" t="str">
        <f>IFERROR(_xlfn.TEXTAFTER(_xlfn.XLOOKUP(A423,Collection!A:A,Collection!C:C,),"Cards "),C423)</f>
        <v>1996 Fleer Metal</v>
      </c>
      <c r="R423" s="58" t="str">
        <f t="shared" si="43"/>
        <v>-</v>
      </c>
      <c r="S423" s="58" t="str">
        <f>IFERROR(_xlfn.TEXTAFTER(_xlfn.XLOOKUP(A423,Collection!A:A,Collection!B:B,),"#"),"")</f>
        <v>98</v>
      </c>
      <c r="T423" s="60">
        <f t="shared" si="44"/>
        <v>1.1200000000000001</v>
      </c>
      <c r="U423" s="54" t="s">
        <v>1556</v>
      </c>
      <c r="V423" s="58" t="str">
        <f>IF(ISNUMBER(MATCH(N423,Catalog!$B$4:$B$16, 0)), "Keep", "For Sale")</f>
        <v>For Sale</v>
      </c>
      <c r="W423" s="58">
        <f t="shared" si="45"/>
        <v>8</v>
      </c>
      <c r="X423" s="58">
        <f t="shared" si="46"/>
        <v>4</v>
      </c>
      <c r="Y423" s="60">
        <f t="shared" si="47"/>
        <v>1.25</v>
      </c>
      <c r="Z423" s="60">
        <f t="shared" si="48"/>
        <v>0.75</v>
      </c>
      <c r="AE423"/>
      <c r="AF423"/>
      <c r="AG423"/>
    </row>
    <row r="424" spans="1:33" ht="14.4" x14ac:dyDescent="0.3">
      <c r="A424" s="13">
        <v>4125221</v>
      </c>
      <c r="B424" s="13" t="s">
        <v>1198</v>
      </c>
      <c r="C424" s="13" t="s">
        <v>216</v>
      </c>
      <c r="D424" s="13">
        <v>112</v>
      </c>
      <c r="E424" s="13" t="s">
        <v>171</v>
      </c>
      <c r="F424" s="13" t="s">
        <v>172</v>
      </c>
      <c r="I424" s="13">
        <v>0</v>
      </c>
      <c r="J424" s="13">
        <v>1</v>
      </c>
      <c r="K424" s="14">
        <v>46183</v>
      </c>
      <c r="N424" s="13">
        <v>520</v>
      </c>
      <c r="P424" s="58" t="str">
        <f t="shared" si="42"/>
        <v>Damon Stoudamire</v>
      </c>
      <c r="Q424" s="58" t="str">
        <f>IFERROR(_xlfn.TEXTAFTER(_xlfn.XLOOKUP(A424,Collection!A:A,Collection!C:C,),"Cards "),C424)</f>
        <v>1996 Fleer Metal</v>
      </c>
      <c r="R424" s="58" t="str">
        <f t="shared" si="43"/>
        <v>-</v>
      </c>
      <c r="S424" s="58" t="str">
        <f>IFERROR(_xlfn.TEXTAFTER(_xlfn.XLOOKUP(A424,Collection!A:A,Collection!B:B,),"#"),"")</f>
        <v>98</v>
      </c>
      <c r="T424" s="60">
        <f t="shared" si="44"/>
        <v>1.1200000000000001</v>
      </c>
      <c r="U424" s="54" t="s">
        <v>1556</v>
      </c>
      <c r="V424" s="58" t="str">
        <f>IF(ISNUMBER(MATCH(N424,Catalog!$B$4:$B$16, 0)), "Keep", "For Sale")</f>
        <v>For Sale</v>
      </c>
      <c r="W424" s="58">
        <f t="shared" si="45"/>
        <v>8</v>
      </c>
      <c r="X424" s="58">
        <f t="shared" si="46"/>
        <v>4</v>
      </c>
      <c r="Y424" s="60">
        <f t="shared" si="47"/>
        <v>1.25</v>
      </c>
      <c r="Z424" s="60">
        <f t="shared" si="48"/>
        <v>0.75</v>
      </c>
      <c r="AE424"/>
      <c r="AF424"/>
      <c r="AG424"/>
    </row>
    <row r="425" spans="1:33" ht="14.4" x14ac:dyDescent="0.3">
      <c r="A425" s="13">
        <v>4125221</v>
      </c>
      <c r="B425" s="13" t="s">
        <v>1198</v>
      </c>
      <c r="C425" s="13" t="s">
        <v>216</v>
      </c>
      <c r="D425" s="13">
        <v>112</v>
      </c>
      <c r="E425" s="13" t="s">
        <v>171</v>
      </c>
      <c r="F425" s="13" t="s">
        <v>172</v>
      </c>
      <c r="I425" s="13">
        <v>0</v>
      </c>
      <c r="J425" s="13">
        <v>1</v>
      </c>
      <c r="K425" s="14">
        <v>46183</v>
      </c>
      <c r="N425" s="13">
        <v>521</v>
      </c>
      <c r="P425" s="58" t="str">
        <f t="shared" si="42"/>
        <v>Damon Stoudamire</v>
      </c>
      <c r="Q425" s="58" t="str">
        <f>IFERROR(_xlfn.TEXTAFTER(_xlfn.XLOOKUP(A425,Collection!A:A,Collection!C:C,),"Cards "),C425)</f>
        <v>1996 Fleer Metal</v>
      </c>
      <c r="R425" s="58" t="str">
        <f t="shared" si="43"/>
        <v>-</v>
      </c>
      <c r="S425" s="58" t="str">
        <f>IFERROR(_xlfn.TEXTAFTER(_xlfn.XLOOKUP(A425,Collection!A:A,Collection!B:B,),"#"),"")</f>
        <v>98</v>
      </c>
      <c r="T425" s="60">
        <f t="shared" si="44"/>
        <v>1.1200000000000001</v>
      </c>
      <c r="U425" s="54" t="s">
        <v>1556</v>
      </c>
      <c r="V425" s="58" t="str">
        <f>IF(ISNUMBER(MATCH(N425,Catalog!$B$4:$B$16, 0)), "Keep", "For Sale")</f>
        <v>For Sale</v>
      </c>
      <c r="W425" s="58">
        <f t="shared" si="45"/>
        <v>8</v>
      </c>
      <c r="X425" s="58">
        <f t="shared" si="46"/>
        <v>4</v>
      </c>
      <c r="Y425" s="60">
        <f t="shared" si="47"/>
        <v>1.25</v>
      </c>
      <c r="Z425" s="60">
        <f t="shared" si="48"/>
        <v>0.75</v>
      </c>
      <c r="AE425"/>
      <c r="AF425"/>
      <c r="AG425"/>
    </row>
    <row r="426" spans="1:33" ht="14.4" x14ac:dyDescent="0.3">
      <c r="A426" s="13">
        <v>4125221</v>
      </c>
      <c r="B426" s="13" t="s">
        <v>1198</v>
      </c>
      <c r="C426" s="13" t="s">
        <v>216</v>
      </c>
      <c r="D426" s="13">
        <v>112</v>
      </c>
      <c r="E426" s="13" t="s">
        <v>171</v>
      </c>
      <c r="F426" s="13" t="s">
        <v>172</v>
      </c>
      <c r="I426" s="13">
        <v>0</v>
      </c>
      <c r="J426" s="13">
        <v>1</v>
      </c>
      <c r="K426" s="14">
        <v>46183</v>
      </c>
      <c r="N426" s="13">
        <v>522</v>
      </c>
      <c r="P426" s="58" t="str">
        <f t="shared" si="42"/>
        <v>Damon Stoudamire</v>
      </c>
      <c r="Q426" s="58" t="str">
        <f>IFERROR(_xlfn.TEXTAFTER(_xlfn.XLOOKUP(A426,Collection!A:A,Collection!C:C,),"Cards "),C426)</f>
        <v>1996 Fleer Metal</v>
      </c>
      <c r="R426" s="58" t="str">
        <f t="shared" si="43"/>
        <v>-</v>
      </c>
      <c r="S426" s="58" t="str">
        <f>IFERROR(_xlfn.TEXTAFTER(_xlfn.XLOOKUP(A426,Collection!A:A,Collection!B:B,),"#"),"")</f>
        <v>98</v>
      </c>
      <c r="T426" s="60">
        <f t="shared" si="44"/>
        <v>1.1200000000000001</v>
      </c>
      <c r="U426" s="54" t="s">
        <v>1556</v>
      </c>
      <c r="V426" s="58" t="str">
        <f>IF(ISNUMBER(MATCH(N426,Catalog!$B$4:$B$16, 0)), "Keep", "For Sale")</f>
        <v>For Sale</v>
      </c>
      <c r="W426" s="58">
        <f t="shared" si="45"/>
        <v>8</v>
      </c>
      <c r="X426" s="58">
        <f t="shared" si="46"/>
        <v>4</v>
      </c>
      <c r="Y426" s="60">
        <f t="shared" si="47"/>
        <v>1.25</v>
      </c>
      <c r="Z426" s="60">
        <f t="shared" si="48"/>
        <v>0.75</v>
      </c>
      <c r="AE426"/>
      <c r="AF426"/>
      <c r="AG426"/>
    </row>
    <row r="427" spans="1:33" ht="14.4" x14ac:dyDescent="0.3">
      <c r="A427" s="13">
        <v>4125221</v>
      </c>
      <c r="B427" s="13" t="s">
        <v>1198</v>
      </c>
      <c r="C427" s="13" t="s">
        <v>216</v>
      </c>
      <c r="D427" s="13">
        <v>112</v>
      </c>
      <c r="E427" s="13" t="s">
        <v>171</v>
      </c>
      <c r="F427" s="13" t="s">
        <v>172</v>
      </c>
      <c r="I427" s="13">
        <v>0</v>
      </c>
      <c r="J427" s="13">
        <v>1</v>
      </c>
      <c r="K427" s="14">
        <v>46183</v>
      </c>
      <c r="N427" s="13">
        <v>523</v>
      </c>
      <c r="P427" s="58" t="str">
        <f t="shared" si="42"/>
        <v>Damon Stoudamire</v>
      </c>
      <c r="Q427" s="58" t="str">
        <f>IFERROR(_xlfn.TEXTAFTER(_xlfn.XLOOKUP(A427,Collection!A:A,Collection!C:C,),"Cards "),C427)</f>
        <v>1996 Fleer Metal</v>
      </c>
      <c r="R427" s="58" t="str">
        <f t="shared" si="43"/>
        <v>-</v>
      </c>
      <c r="S427" s="58" t="str">
        <f>IFERROR(_xlfn.TEXTAFTER(_xlfn.XLOOKUP(A427,Collection!A:A,Collection!B:B,),"#"),"")</f>
        <v>98</v>
      </c>
      <c r="T427" s="60">
        <f t="shared" si="44"/>
        <v>1.1200000000000001</v>
      </c>
      <c r="U427" s="54" t="s">
        <v>1556</v>
      </c>
      <c r="V427" s="58" t="str">
        <f>IF(ISNUMBER(MATCH(N427,Catalog!$B$4:$B$16, 0)), "Keep", "For Sale")</f>
        <v>For Sale</v>
      </c>
      <c r="W427" s="58">
        <f t="shared" si="45"/>
        <v>8</v>
      </c>
      <c r="X427" s="58">
        <f t="shared" si="46"/>
        <v>4</v>
      </c>
      <c r="Y427" s="60">
        <f t="shared" si="47"/>
        <v>1.25</v>
      </c>
      <c r="Z427" s="60">
        <f t="shared" si="48"/>
        <v>0.75</v>
      </c>
      <c r="AE427"/>
      <c r="AF427"/>
      <c r="AG427"/>
    </row>
    <row r="428" spans="1:33" ht="14.4" x14ac:dyDescent="0.3">
      <c r="A428" s="13">
        <v>4125221</v>
      </c>
      <c r="B428" s="13" t="s">
        <v>1198</v>
      </c>
      <c r="C428" s="13" t="s">
        <v>216</v>
      </c>
      <c r="D428" s="13">
        <v>112</v>
      </c>
      <c r="E428" s="13" t="s">
        <v>171</v>
      </c>
      <c r="F428" s="13" t="s">
        <v>172</v>
      </c>
      <c r="I428" s="13">
        <v>0</v>
      </c>
      <c r="J428" s="13">
        <v>1</v>
      </c>
      <c r="K428" s="14">
        <v>46183</v>
      </c>
      <c r="N428" s="13">
        <v>524</v>
      </c>
      <c r="P428" s="58" t="str">
        <f t="shared" si="42"/>
        <v>Damon Stoudamire</v>
      </c>
      <c r="Q428" s="58" t="str">
        <f>IFERROR(_xlfn.TEXTAFTER(_xlfn.XLOOKUP(A428,Collection!A:A,Collection!C:C,),"Cards "),C428)</f>
        <v>1996 Fleer Metal</v>
      </c>
      <c r="R428" s="58" t="str">
        <f t="shared" si="43"/>
        <v>-</v>
      </c>
      <c r="S428" s="58" t="str">
        <f>IFERROR(_xlfn.TEXTAFTER(_xlfn.XLOOKUP(A428,Collection!A:A,Collection!B:B,),"#"),"")</f>
        <v>98</v>
      </c>
      <c r="T428" s="60">
        <f t="shared" si="44"/>
        <v>1.1200000000000001</v>
      </c>
      <c r="U428" s="54" t="s">
        <v>1556</v>
      </c>
      <c r="V428" s="58" t="str">
        <f>IF(ISNUMBER(MATCH(N428,Catalog!$B$4:$B$16, 0)), "Keep", "For Sale")</f>
        <v>For Sale</v>
      </c>
      <c r="W428" s="58">
        <f t="shared" si="45"/>
        <v>8</v>
      </c>
      <c r="X428" s="58">
        <f t="shared" si="46"/>
        <v>4</v>
      </c>
      <c r="Y428" s="60">
        <f t="shared" si="47"/>
        <v>1.25</v>
      </c>
      <c r="Z428" s="60">
        <f t="shared" si="48"/>
        <v>0.75</v>
      </c>
      <c r="AE428"/>
      <c r="AF428"/>
      <c r="AG428"/>
    </row>
    <row r="429" spans="1:33" ht="14.4" x14ac:dyDescent="0.3">
      <c r="A429" s="13">
        <v>4125221</v>
      </c>
      <c r="B429" s="13" t="s">
        <v>1198</v>
      </c>
      <c r="C429" s="13" t="s">
        <v>216</v>
      </c>
      <c r="D429" s="13">
        <v>112</v>
      </c>
      <c r="E429" s="13" t="s">
        <v>171</v>
      </c>
      <c r="F429" s="13" t="s">
        <v>172</v>
      </c>
      <c r="I429" s="13">
        <v>0</v>
      </c>
      <c r="J429" s="13">
        <v>1</v>
      </c>
      <c r="K429" s="14">
        <v>46183</v>
      </c>
      <c r="N429" s="13">
        <v>525</v>
      </c>
      <c r="P429" s="58" t="str">
        <f t="shared" si="42"/>
        <v>Damon Stoudamire</v>
      </c>
      <c r="Q429" s="58" t="str">
        <f>IFERROR(_xlfn.TEXTAFTER(_xlfn.XLOOKUP(A429,Collection!A:A,Collection!C:C,),"Cards "),C429)</f>
        <v>1996 Fleer Metal</v>
      </c>
      <c r="R429" s="58" t="str">
        <f t="shared" si="43"/>
        <v>-</v>
      </c>
      <c r="S429" s="58" t="str">
        <f>IFERROR(_xlfn.TEXTAFTER(_xlfn.XLOOKUP(A429,Collection!A:A,Collection!B:B,),"#"),"")</f>
        <v>98</v>
      </c>
      <c r="T429" s="60">
        <f t="shared" si="44"/>
        <v>1.1200000000000001</v>
      </c>
      <c r="U429" s="54" t="s">
        <v>1556</v>
      </c>
      <c r="V429" s="58" t="str">
        <f>IF(ISNUMBER(MATCH(N429,Catalog!$B$4:$B$16, 0)), "Keep", "For Sale")</f>
        <v>For Sale</v>
      </c>
      <c r="W429" s="58">
        <f t="shared" si="45"/>
        <v>8</v>
      </c>
      <c r="X429" s="58">
        <f t="shared" si="46"/>
        <v>4</v>
      </c>
      <c r="Y429" s="60">
        <f t="shared" si="47"/>
        <v>1.25</v>
      </c>
      <c r="Z429" s="60">
        <f t="shared" si="48"/>
        <v>0.75</v>
      </c>
      <c r="AE429"/>
      <c r="AF429"/>
      <c r="AG429"/>
    </row>
    <row r="430" spans="1:33" ht="14.4" x14ac:dyDescent="0.3">
      <c r="A430" s="13">
        <v>83398</v>
      </c>
      <c r="B430" s="13" t="s">
        <v>1261</v>
      </c>
      <c r="C430" s="13" t="s">
        <v>251</v>
      </c>
      <c r="D430" s="13">
        <v>99</v>
      </c>
      <c r="E430" s="13" t="s">
        <v>171</v>
      </c>
      <c r="F430" s="13" t="s">
        <v>172</v>
      </c>
      <c r="I430" s="13">
        <v>0</v>
      </c>
      <c r="J430" s="13">
        <v>1</v>
      </c>
      <c r="K430" s="14">
        <v>46173</v>
      </c>
      <c r="N430" s="13">
        <v>531</v>
      </c>
      <c r="P430" s="58" t="str">
        <f t="shared" si="42"/>
        <v>Damon Stoudamire</v>
      </c>
      <c r="Q430" s="58" t="str">
        <f>IFERROR(_xlfn.TEXTAFTER(_xlfn.XLOOKUP(A430,Collection!A:A,Collection!C:C,),"Cards "),C430)</f>
        <v>1995 Metal</v>
      </c>
      <c r="R430" s="58" t="str">
        <f t="shared" si="43"/>
        <v>-</v>
      </c>
      <c r="S430" s="58" t="str">
        <f>IFERROR(_xlfn.TEXTAFTER(_xlfn.XLOOKUP(A430,Collection!A:A,Collection!B:B,),"#"),"")</f>
        <v>200</v>
      </c>
      <c r="T430" s="60">
        <f t="shared" si="44"/>
        <v>0.99</v>
      </c>
      <c r="U430" s="54" t="s">
        <v>1556</v>
      </c>
      <c r="V430" s="58" t="str">
        <f>IF(ISNUMBER(MATCH(N430,Catalog!$B$4:$B$16, 0)), "Keep", "For Sale")</f>
        <v>For Sale</v>
      </c>
      <c r="W430" s="58">
        <f t="shared" si="45"/>
        <v>1</v>
      </c>
      <c r="X430" s="58">
        <f t="shared" si="46"/>
        <v>4</v>
      </c>
      <c r="Y430" s="60">
        <f t="shared" si="47"/>
        <v>1</v>
      </c>
      <c r="Z430" s="60">
        <f t="shared" si="48"/>
        <v>0.75</v>
      </c>
      <c r="AE430"/>
      <c r="AF430"/>
      <c r="AG430"/>
    </row>
    <row r="431" spans="1:33" ht="14.4" x14ac:dyDescent="0.3">
      <c r="A431" s="13">
        <v>87397</v>
      </c>
      <c r="B431" s="13" t="s">
        <v>1160</v>
      </c>
      <c r="C431" s="13" t="s">
        <v>174</v>
      </c>
      <c r="D431" s="13">
        <v>99</v>
      </c>
      <c r="E431" s="13" t="s">
        <v>171</v>
      </c>
      <c r="F431" s="13" t="s">
        <v>172</v>
      </c>
      <c r="I431" s="13">
        <v>0</v>
      </c>
      <c r="J431" s="13">
        <v>1</v>
      </c>
      <c r="K431" s="14">
        <v>46173</v>
      </c>
      <c r="N431" s="13">
        <v>552</v>
      </c>
      <c r="P431" s="58" t="str">
        <f t="shared" si="42"/>
        <v>Damon Stoudamire</v>
      </c>
      <c r="Q431" s="58" t="str">
        <f>IFERROR(_xlfn.TEXTAFTER(_xlfn.XLOOKUP(A431,Collection!A:A,Collection!C:C,),"Cards "),C431)</f>
        <v>1996 Upper Deck</v>
      </c>
      <c r="R431" s="58" t="str">
        <f t="shared" si="43"/>
        <v>-</v>
      </c>
      <c r="S431" s="58" t="str">
        <f>IFERROR(_xlfn.TEXTAFTER(_xlfn.XLOOKUP(A431,Collection!A:A,Collection!B:B,),"#"),"")</f>
        <v>120</v>
      </c>
      <c r="T431" s="60">
        <f t="shared" si="44"/>
        <v>0.99</v>
      </c>
      <c r="U431" s="54" t="s">
        <v>1556</v>
      </c>
      <c r="V431" s="58" t="str">
        <f>IF(ISNUMBER(MATCH(N431,Catalog!$B$4:$B$16, 0)), "Keep", "For Sale")</f>
        <v>For Sale</v>
      </c>
      <c r="W431" s="58">
        <f t="shared" si="45"/>
        <v>1</v>
      </c>
      <c r="X431" s="58">
        <f t="shared" si="46"/>
        <v>4</v>
      </c>
      <c r="Y431" s="60">
        <f t="shared" si="47"/>
        <v>1</v>
      </c>
      <c r="Z431" s="60">
        <f t="shared" si="48"/>
        <v>0.75</v>
      </c>
      <c r="AE431"/>
      <c r="AF431"/>
      <c r="AG431"/>
    </row>
    <row r="432" spans="1:33" ht="14.4" x14ac:dyDescent="0.3">
      <c r="A432" s="13">
        <v>85693</v>
      </c>
      <c r="B432" s="13" t="s">
        <v>454</v>
      </c>
      <c r="C432" s="13" t="s">
        <v>195</v>
      </c>
      <c r="D432" s="13">
        <v>144</v>
      </c>
      <c r="E432" s="13" t="s">
        <v>171</v>
      </c>
      <c r="F432" s="13" t="s">
        <v>172</v>
      </c>
      <c r="I432" s="13">
        <v>0</v>
      </c>
      <c r="J432" s="13">
        <v>1</v>
      </c>
      <c r="K432" s="14">
        <v>46149</v>
      </c>
      <c r="N432" s="13">
        <v>462</v>
      </c>
      <c r="P432" s="58" t="str">
        <f t="shared" si="42"/>
        <v>Darrell Armstrong</v>
      </c>
      <c r="Q432" s="58" t="str">
        <f>IFERROR(_xlfn.TEXTAFTER(_xlfn.XLOOKUP(A432,Collection!A:A,Collection!C:C,),"Cards "),C432)</f>
        <v>1996 Skybox Premium</v>
      </c>
      <c r="R432" s="58" t="str">
        <f t="shared" si="43"/>
        <v>-</v>
      </c>
      <c r="S432" s="58" t="str">
        <f>IFERROR(_xlfn.TEXTAFTER(_xlfn.XLOOKUP(A432,Collection!A:A,Collection!B:B,),"#"),"")</f>
        <v>176</v>
      </c>
      <c r="T432" s="60">
        <f t="shared" si="44"/>
        <v>1.44</v>
      </c>
      <c r="U432" s="54" t="s">
        <v>1703</v>
      </c>
      <c r="V432" s="58" t="str">
        <f>IF(ISNUMBER(MATCH(N432,Catalog!$B$4:$B$16, 0)), "Keep", "For Sale")</f>
        <v>For Sale</v>
      </c>
      <c r="W432" s="58">
        <f t="shared" si="45"/>
        <v>1</v>
      </c>
      <c r="X432" s="58">
        <f t="shared" si="46"/>
        <v>4</v>
      </c>
      <c r="Y432" s="60">
        <f t="shared" si="47"/>
        <v>1.5</v>
      </c>
      <c r="Z432" s="60">
        <f t="shared" si="48"/>
        <v>1.25</v>
      </c>
      <c r="AE432"/>
      <c r="AF432"/>
      <c r="AG432"/>
    </row>
    <row r="433" spans="1:33" ht="14.4" x14ac:dyDescent="0.3">
      <c r="A433" s="13">
        <v>4125235</v>
      </c>
      <c r="B433" s="13" t="s">
        <v>284</v>
      </c>
      <c r="C433" s="13" t="s">
        <v>285</v>
      </c>
      <c r="D433" s="13">
        <v>154</v>
      </c>
      <c r="E433" s="13" t="s">
        <v>171</v>
      </c>
      <c r="F433" s="13" t="s">
        <v>172</v>
      </c>
      <c r="I433" s="13">
        <v>0</v>
      </c>
      <c r="J433" s="13">
        <v>1</v>
      </c>
      <c r="K433" s="14">
        <v>46129</v>
      </c>
      <c r="N433" s="13">
        <v>375</v>
      </c>
      <c r="P433" s="58" t="str">
        <f t="shared" si="42"/>
        <v>David Robinson</v>
      </c>
      <c r="Q433" s="58" t="str">
        <f>IFERROR(_xlfn.TEXTAFTER(_xlfn.XLOOKUP(A433,Collection!A:A,Collection!C:C,),"Cards "),C433)</f>
        <v>1996 Skybox Premium Intimidators</v>
      </c>
      <c r="R433" s="58" t="str">
        <f t="shared" si="43"/>
        <v>-</v>
      </c>
      <c r="S433" s="58" t="str">
        <f>IFERROR(_xlfn.TEXTAFTER(_xlfn.XLOOKUP(A433,Collection!A:A,Collection!B:B,),"#"),"")</f>
        <v>18</v>
      </c>
      <c r="T433" s="60">
        <f t="shared" si="44"/>
        <v>1.54</v>
      </c>
      <c r="U433" s="54" t="s">
        <v>1635</v>
      </c>
      <c r="V433" s="58" t="str">
        <f>IF(ISNUMBER(MATCH(N433,Catalog!$B$4:$B$16, 0)), "Keep", "For Sale")</f>
        <v>For Sale</v>
      </c>
      <c r="W433" s="58">
        <f t="shared" si="45"/>
        <v>1</v>
      </c>
      <c r="X433" s="58">
        <f t="shared" si="46"/>
        <v>4</v>
      </c>
      <c r="Y433" s="60">
        <f t="shared" si="47"/>
        <v>2</v>
      </c>
      <c r="Z433" s="60">
        <f t="shared" si="48"/>
        <v>1.5</v>
      </c>
      <c r="AE433"/>
      <c r="AF433"/>
      <c r="AG433"/>
    </row>
    <row r="434" spans="1:33" ht="14.4" x14ac:dyDescent="0.3">
      <c r="A434" s="13">
        <v>2245258</v>
      </c>
      <c r="B434" s="13" t="s">
        <v>1206</v>
      </c>
      <c r="C434" s="13" t="s">
        <v>1152</v>
      </c>
      <c r="D434" s="13">
        <v>149</v>
      </c>
      <c r="E434" s="13" t="s">
        <v>171</v>
      </c>
      <c r="F434" s="13" t="s">
        <v>172</v>
      </c>
      <c r="I434" s="13">
        <v>0</v>
      </c>
      <c r="J434" s="13">
        <v>1</v>
      </c>
      <c r="K434" s="14">
        <v>46172</v>
      </c>
      <c r="N434" s="13">
        <v>430</v>
      </c>
      <c r="P434" s="58" t="str">
        <f t="shared" si="42"/>
        <v>Dean Palmer</v>
      </c>
      <c r="Q434" s="58" t="str">
        <f>IFERROR(_xlfn.TEXTAFTER(_xlfn.XLOOKUP(A434,Collection!A:A,Collection!C:C,),"Cards "),C434)</f>
        <v>1992 Donruss</v>
      </c>
      <c r="R434" s="58" t="str">
        <f t="shared" si="43"/>
        <v>-</v>
      </c>
      <c r="S434" s="58" t="str">
        <f>IFERROR(_xlfn.TEXTAFTER(_xlfn.XLOOKUP(A434,Collection!A:A,Collection!B:B,),"#"),"")</f>
        <v>177</v>
      </c>
      <c r="T434" s="60">
        <f t="shared" si="44"/>
        <v>1.49</v>
      </c>
      <c r="U434" s="54" t="s">
        <v>1628</v>
      </c>
      <c r="V434" s="58" t="str">
        <f>IF(ISNUMBER(MATCH(N434,Catalog!$B$4:$B$16, 0)), "Keep", "For Sale")</f>
        <v>For Sale</v>
      </c>
      <c r="W434" s="58">
        <f t="shared" si="45"/>
        <v>1</v>
      </c>
      <c r="X434" s="58">
        <f t="shared" si="46"/>
        <v>4</v>
      </c>
      <c r="Y434" s="60">
        <f t="shared" si="47"/>
        <v>2</v>
      </c>
      <c r="Z434" s="60">
        <f t="shared" si="48"/>
        <v>1.25</v>
      </c>
      <c r="AE434"/>
      <c r="AF434"/>
      <c r="AG434"/>
    </row>
    <row r="435" spans="1:33" ht="14.4" x14ac:dyDescent="0.3">
      <c r="A435" s="13">
        <v>12551745</v>
      </c>
      <c r="B435" s="13" t="s">
        <v>1232</v>
      </c>
      <c r="C435" s="13" t="s">
        <v>1233</v>
      </c>
      <c r="D435" s="13">
        <v>100</v>
      </c>
      <c r="E435" s="13" t="s">
        <v>171</v>
      </c>
      <c r="F435" s="13" t="s">
        <v>172</v>
      </c>
      <c r="I435" s="13">
        <v>0</v>
      </c>
      <c r="J435" s="13">
        <v>1</v>
      </c>
      <c r="K435" s="14">
        <v>46172</v>
      </c>
      <c r="N435" s="13">
        <v>541</v>
      </c>
      <c r="P435" s="58" t="str">
        <f t="shared" si="42"/>
        <v>Delanie Walker</v>
      </c>
      <c r="Q435" s="58" t="str">
        <f>IFERROR(_xlfn.TEXTAFTER(_xlfn.XLOOKUP(A435,Collection!A:A,Collection!C:C,),"Cards "),C435)</f>
        <v>2025 Topps Chrome Legends Of The Gridiron</v>
      </c>
      <c r="R435" s="58" t="str">
        <f t="shared" si="43"/>
        <v>-</v>
      </c>
      <c r="S435" s="58" t="str">
        <f>IFERROR(_xlfn.TEXTAFTER(_xlfn.XLOOKUP(A435,Collection!A:A,Collection!B:B,),"#"),"")</f>
        <v>LOG-30</v>
      </c>
      <c r="T435" s="60">
        <f t="shared" si="44"/>
        <v>1</v>
      </c>
      <c r="U435" s="54" t="s">
        <v>1651</v>
      </c>
      <c r="V435" s="58" t="str">
        <f>IF(ISNUMBER(MATCH(N435,Catalog!$B$4:$B$16, 0)), "Keep", "For Sale")</f>
        <v>For Sale</v>
      </c>
      <c r="W435" s="58">
        <f t="shared" si="45"/>
        <v>1</v>
      </c>
      <c r="X435" s="58">
        <f t="shared" si="46"/>
        <v>4</v>
      </c>
      <c r="Y435" s="60">
        <f t="shared" si="47"/>
        <v>1</v>
      </c>
      <c r="Z435" s="60">
        <f t="shared" si="48"/>
        <v>1</v>
      </c>
      <c r="AE435"/>
      <c r="AF435"/>
      <c r="AG435"/>
    </row>
    <row r="436" spans="1:33" ht="14.4" x14ac:dyDescent="0.3">
      <c r="A436" s="13">
        <v>81490</v>
      </c>
      <c r="B436" s="13" t="s">
        <v>1200</v>
      </c>
      <c r="C436" s="13" t="s">
        <v>1201</v>
      </c>
      <c r="D436" s="13">
        <v>199</v>
      </c>
      <c r="E436" s="13" t="s">
        <v>171</v>
      </c>
      <c r="F436" s="13" t="s">
        <v>172</v>
      </c>
      <c r="I436" s="13">
        <v>0</v>
      </c>
      <c r="J436" s="13">
        <v>1</v>
      </c>
      <c r="K436" s="14">
        <v>46173</v>
      </c>
      <c r="N436" s="13">
        <v>249</v>
      </c>
      <c r="P436" s="58" t="str">
        <f t="shared" si="42"/>
        <v>Dennis Rodman</v>
      </c>
      <c r="Q436" s="58" t="str">
        <f>IFERROR(_xlfn.TEXTAFTER(_xlfn.XLOOKUP(A436,Collection!A:A,Collection!C:C,),"Cards "),C436)</f>
        <v>1994 E Motion</v>
      </c>
      <c r="R436" s="58" t="str">
        <f t="shared" si="43"/>
        <v>-</v>
      </c>
      <c r="S436" s="58" t="str">
        <f>IFERROR(_xlfn.TEXTAFTER(_xlfn.XLOOKUP(A436,Collection!A:A,Collection!B:B,),"#"),"")</f>
        <v>90</v>
      </c>
      <c r="T436" s="60">
        <f t="shared" si="44"/>
        <v>1.99</v>
      </c>
      <c r="U436" s="54" t="s">
        <v>1620</v>
      </c>
      <c r="V436" s="58" t="str">
        <f>IF(ISNUMBER(MATCH(N436,Catalog!$B$4:$B$16, 0)), "Keep", "For Sale")</f>
        <v>For Sale</v>
      </c>
      <c r="W436" s="58">
        <f t="shared" si="45"/>
        <v>1</v>
      </c>
      <c r="X436" s="58">
        <f t="shared" si="46"/>
        <v>4</v>
      </c>
      <c r="Y436" s="60">
        <f t="shared" si="47"/>
        <v>2.5</v>
      </c>
      <c r="Z436" s="60">
        <f t="shared" si="48"/>
        <v>2</v>
      </c>
      <c r="AE436"/>
      <c r="AF436"/>
      <c r="AG436"/>
    </row>
    <row r="437" spans="1:33" ht="14.4" x14ac:dyDescent="0.3">
      <c r="A437" s="13">
        <v>2193671</v>
      </c>
      <c r="B437" s="13" t="s">
        <v>938</v>
      </c>
      <c r="C437" s="13" t="s">
        <v>225</v>
      </c>
      <c r="D437" s="13">
        <v>161</v>
      </c>
      <c r="E437" s="13" t="s">
        <v>171</v>
      </c>
      <c r="F437" s="13" t="s">
        <v>172</v>
      </c>
      <c r="H437" s="13" t="s">
        <v>939</v>
      </c>
      <c r="I437" s="13">
        <v>150</v>
      </c>
      <c r="J437" s="13">
        <v>1</v>
      </c>
      <c r="K437" s="14">
        <v>46159</v>
      </c>
      <c r="L437" s="14">
        <v>46157</v>
      </c>
      <c r="N437" s="13">
        <v>383</v>
      </c>
      <c r="P437" s="58" t="str">
        <f t="shared" si="42"/>
        <v>Dennis Rodman</v>
      </c>
      <c r="Q437" s="58" t="str">
        <f>IFERROR(_xlfn.TEXTAFTER(_xlfn.XLOOKUP(A437,Collection!A:A,Collection!C:C,),"Cards "),C437)</f>
        <v>1994 Upper Deck</v>
      </c>
      <c r="R437" s="58" t="str">
        <f t="shared" si="43"/>
        <v>-</v>
      </c>
      <c r="S437" s="58" t="str">
        <f>IFERROR(_xlfn.TEXTAFTER(_xlfn.XLOOKUP(A437,Collection!A:A,Collection!B:B,),"#"),"")</f>
        <v>279</v>
      </c>
      <c r="T437" s="60">
        <f t="shared" si="44"/>
        <v>1.61</v>
      </c>
      <c r="U437" s="54" t="s">
        <v>1620</v>
      </c>
      <c r="V437" s="58" t="str">
        <f>IF(ISNUMBER(MATCH(N437,Catalog!$B$4:$B$16, 0)), "Keep", "For Sale")</f>
        <v>For Sale</v>
      </c>
      <c r="W437" s="58">
        <f t="shared" si="45"/>
        <v>1</v>
      </c>
      <c r="X437" s="58">
        <f t="shared" si="46"/>
        <v>4</v>
      </c>
      <c r="Y437" s="60">
        <f t="shared" si="47"/>
        <v>2</v>
      </c>
      <c r="Z437" s="60">
        <f t="shared" si="48"/>
        <v>1.5</v>
      </c>
      <c r="AE437"/>
      <c r="AF437"/>
      <c r="AG437"/>
    </row>
    <row r="438" spans="1:33" ht="14.4" x14ac:dyDescent="0.3">
      <c r="A438" s="13">
        <v>10819480</v>
      </c>
      <c r="B438" s="13" t="s">
        <v>1227</v>
      </c>
      <c r="C438" s="13" t="s">
        <v>307</v>
      </c>
      <c r="D438" s="13">
        <v>127</v>
      </c>
      <c r="E438" s="13" t="s">
        <v>171</v>
      </c>
      <c r="F438" s="13" t="s">
        <v>172</v>
      </c>
      <c r="H438" s="13" t="s">
        <v>1228</v>
      </c>
      <c r="I438" s="13">
        <v>110</v>
      </c>
      <c r="J438" s="13">
        <v>1</v>
      </c>
      <c r="K438" s="14">
        <v>46182</v>
      </c>
      <c r="L438" s="14">
        <v>46181</v>
      </c>
      <c r="N438" s="13">
        <v>406</v>
      </c>
      <c r="P438" s="58" t="str">
        <f t="shared" si="42"/>
        <v>Dylan Harper</v>
      </c>
      <c r="Q438" s="58" t="str">
        <f>IFERROR(_xlfn.TEXTAFTER(_xlfn.XLOOKUP(A438,Collection!A:A,Collection!C:C,),"Cards "),C438)</f>
        <v>2025 Topps</v>
      </c>
      <c r="R438" s="58" t="str">
        <f t="shared" si="43"/>
        <v>-</v>
      </c>
      <c r="S438" s="58" t="str">
        <f>IFERROR(_xlfn.TEXTAFTER(_xlfn.XLOOKUP(A438,Collection!A:A,Collection!B:B,),"#"),"")</f>
        <v>202</v>
      </c>
      <c r="T438" s="60">
        <f t="shared" si="44"/>
        <v>1.27</v>
      </c>
      <c r="U438" s="54" t="s">
        <v>1645</v>
      </c>
      <c r="V438" s="58" t="str">
        <f>IF(ISNUMBER(MATCH(N438,Catalog!$B$4:$B$16, 0)), "Keep", "For Sale")</f>
        <v>For Sale</v>
      </c>
      <c r="W438" s="58">
        <f t="shared" si="45"/>
        <v>1</v>
      </c>
      <c r="X438" s="58">
        <f t="shared" si="46"/>
        <v>4</v>
      </c>
      <c r="Y438" s="60">
        <f t="shared" si="47"/>
        <v>1.5</v>
      </c>
      <c r="Z438" s="60">
        <f t="shared" si="48"/>
        <v>1</v>
      </c>
      <c r="AE438"/>
      <c r="AF438"/>
      <c r="AG438"/>
    </row>
    <row r="439" spans="1:33" ht="14.4" x14ac:dyDescent="0.3">
      <c r="A439" s="13">
        <v>4341158</v>
      </c>
      <c r="B439" s="13" t="s">
        <v>1290</v>
      </c>
      <c r="C439" s="13" t="s">
        <v>1291</v>
      </c>
      <c r="D439" s="13">
        <v>170</v>
      </c>
      <c r="E439" s="13" t="s">
        <v>171</v>
      </c>
      <c r="F439" s="13" t="s">
        <v>172</v>
      </c>
      <c r="I439" s="13">
        <v>0</v>
      </c>
      <c r="J439" s="13">
        <v>1</v>
      </c>
      <c r="K439" s="14">
        <v>46172</v>
      </c>
      <c r="N439" s="13">
        <v>342</v>
      </c>
      <c r="P439" s="58" t="str">
        <f t="shared" si="42"/>
        <v>Dyson Daniels</v>
      </c>
      <c r="Q439" s="58" t="str">
        <f>IFERROR(_xlfn.TEXTAFTER(_xlfn.XLOOKUP(A439,Collection!A:A,Collection!C:C,),"Cards "),C439)</f>
        <v>2022 Panini Chronicles Draft Picks</v>
      </c>
      <c r="R439" s="58" t="str">
        <f t="shared" si="43"/>
        <v>-</v>
      </c>
      <c r="S439" s="58" t="str">
        <f>IFERROR(_xlfn.TEXTAFTER(_xlfn.XLOOKUP(A439,Collection!A:A,Collection!B:B,),"#"),"")</f>
        <v>7</v>
      </c>
      <c r="T439" s="60">
        <f t="shared" si="44"/>
        <v>1.7</v>
      </c>
      <c r="U439" s="54" t="s">
        <v>1689</v>
      </c>
      <c r="V439" s="58" t="str">
        <f>IF(ISNUMBER(MATCH(N439,Catalog!$B$4:$B$16, 0)), "Keep", "For Sale")</f>
        <v>For Sale</v>
      </c>
      <c r="W439" s="58">
        <f t="shared" si="45"/>
        <v>1</v>
      </c>
      <c r="X439" s="58">
        <f t="shared" si="46"/>
        <v>4</v>
      </c>
      <c r="Y439" s="60">
        <f t="shared" si="47"/>
        <v>2</v>
      </c>
      <c r="Z439" s="60">
        <f t="shared" si="48"/>
        <v>1.5</v>
      </c>
      <c r="AE439"/>
      <c r="AF439"/>
      <c r="AG439"/>
    </row>
    <row r="440" spans="1:33" ht="14.4" x14ac:dyDescent="0.3">
      <c r="A440" s="13">
        <v>11668402</v>
      </c>
      <c r="B440" s="13" t="s">
        <v>1774</v>
      </c>
      <c r="C440" s="13" t="s">
        <v>549</v>
      </c>
      <c r="D440" s="13">
        <v>199</v>
      </c>
      <c r="E440" s="13" t="s">
        <v>171</v>
      </c>
      <c r="F440" s="13" t="s">
        <v>172</v>
      </c>
      <c r="I440" s="13">
        <v>0</v>
      </c>
      <c r="J440" s="13">
        <v>1</v>
      </c>
      <c r="K440" s="14">
        <v>46186</v>
      </c>
      <c r="N440" s="13">
        <v>271</v>
      </c>
      <c r="P440" s="58" t="str">
        <f t="shared" si="42"/>
        <v>Edmundo</v>
      </c>
      <c r="Q440" s="58" t="str">
        <f>IFERROR(_xlfn.TEXTAFTER(_xlfn.XLOOKUP(A440,Collection!A:A,Collection!C:C,),"Cards "),C440)</f>
        <v>1994 Upper Deck World Cup Soccer</v>
      </c>
      <c r="R440" s="58" t="str">
        <f t="shared" si="43"/>
        <v>-</v>
      </c>
      <c r="S440" s="58" t="str">
        <f>IFERROR(_xlfn.TEXTAFTER(_xlfn.XLOOKUP(A440,Collection!A:A,Collection!B:B,),"#"),"")</f>
        <v>297</v>
      </c>
      <c r="T440" s="60">
        <f t="shared" si="44"/>
        <v>1.99</v>
      </c>
      <c r="U440" s="54" t="s">
        <v>1804</v>
      </c>
      <c r="V440" s="58" t="str">
        <f>IF(ISNUMBER(MATCH(N440,Catalog!$B$4:$B$16, 0)), "Keep", "For Sale")</f>
        <v>For Sale</v>
      </c>
      <c r="W440" s="58">
        <f t="shared" si="45"/>
        <v>1</v>
      </c>
      <c r="X440" s="58">
        <f t="shared" si="46"/>
        <v>4</v>
      </c>
      <c r="Y440" s="60">
        <f t="shared" si="47"/>
        <v>2.5</v>
      </c>
      <c r="Z440" s="60">
        <f t="shared" si="48"/>
        <v>2</v>
      </c>
      <c r="AE440"/>
      <c r="AF440"/>
      <c r="AG440"/>
    </row>
    <row r="441" spans="1:33" ht="14.4" x14ac:dyDescent="0.3">
      <c r="A441" s="13">
        <v>1105503</v>
      </c>
      <c r="B441" s="13" t="s">
        <v>1075</v>
      </c>
      <c r="C441" s="13" t="s">
        <v>1076</v>
      </c>
      <c r="D441" s="13">
        <v>199</v>
      </c>
      <c r="E441" s="13" t="s">
        <v>171</v>
      </c>
      <c r="F441" s="13" t="s">
        <v>172</v>
      </c>
      <c r="H441" s="13" t="s">
        <v>1077</v>
      </c>
      <c r="I441" s="13">
        <v>646</v>
      </c>
      <c r="J441" s="13">
        <v>1</v>
      </c>
      <c r="K441" s="14">
        <v>46170</v>
      </c>
      <c r="L441" s="14">
        <v>46167</v>
      </c>
      <c r="N441" s="13">
        <v>238</v>
      </c>
      <c r="P441" s="58" t="str">
        <f t="shared" si="42"/>
        <v>Emmitt Smith</v>
      </c>
      <c r="Q441" s="58" t="str">
        <f>IFERROR(_xlfn.TEXTAFTER(_xlfn.XLOOKUP(A441,Collection!A:A,Collection!C:C,),"Cards "),C441)</f>
        <v>1990 Pro Set</v>
      </c>
      <c r="R441" s="58" t="str">
        <f t="shared" si="43"/>
        <v>-</v>
      </c>
      <c r="S441" s="58" t="str">
        <f>IFERROR(_xlfn.TEXTAFTER(_xlfn.XLOOKUP(A441,Collection!A:A,Collection!B:B,),"#"),"")</f>
        <v>685</v>
      </c>
      <c r="T441" s="60">
        <f t="shared" si="44"/>
        <v>1.99</v>
      </c>
      <c r="U441" s="54" t="s">
        <v>1641</v>
      </c>
      <c r="V441" s="58" t="str">
        <f>IF(ISNUMBER(MATCH(N441,Catalog!$B$4:$B$16, 0)), "Keep", "For Sale")</f>
        <v>For Sale</v>
      </c>
      <c r="W441" s="58">
        <f t="shared" si="45"/>
        <v>1</v>
      </c>
      <c r="X441" s="58">
        <f t="shared" si="46"/>
        <v>4</v>
      </c>
      <c r="Y441" s="60">
        <f t="shared" si="47"/>
        <v>8</v>
      </c>
      <c r="Z441" s="60">
        <f t="shared" si="48"/>
        <v>2</v>
      </c>
      <c r="AE441"/>
      <c r="AF441"/>
      <c r="AG441"/>
    </row>
    <row r="442" spans="1:33" ht="14.4" x14ac:dyDescent="0.3">
      <c r="A442" s="13">
        <v>12522107</v>
      </c>
      <c r="B442" s="13" t="s">
        <v>1306</v>
      </c>
      <c r="C442" s="13" t="s">
        <v>953</v>
      </c>
      <c r="D442" s="13">
        <v>138</v>
      </c>
      <c r="E442" s="13" t="s">
        <v>171</v>
      </c>
      <c r="F442" s="13" t="s">
        <v>172</v>
      </c>
      <c r="I442" s="13">
        <v>0</v>
      </c>
      <c r="J442" s="13">
        <v>1</v>
      </c>
      <c r="K442" s="14">
        <v>46172</v>
      </c>
      <c r="N442" s="13">
        <v>445</v>
      </c>
      <c r="P442" s="58" t="str">
        <f t="shared" si="42"/>
        <v>George Pickens</v>
      </c>
      <c r="Q442" s="58" t="str">
        <f>IFERROR(_xlfn.TEXTAFTER(_xlfn.XLOOKUP(A442,Collection!A:A,Collection!C:C,),"Cards "),C442)</f>
        <v>2025 Topps Chrome</v>
      </c>
      <c r="R442" s="58" t="str">
        <f t="shared" si="43"/>
        <v>-</v>
      </c>
      <c r="S442" s="58" t="str">
        <f>IFERROR(_xlfn.TEXTAFTER(_xlfn.XLOOKUP(A442,Collection!A:A,Collection!B:B,),"#"),"")</f>
        <v>80</v>
      </c>
      <c r="T442" s="60">
        <f t="shared" si="44"/>
        <v>1.38</v>
      </c>
      <c r="U442" s="54" t="s">
        <v>1693</v>
      </c>
      <c r="V442" s="58" t="str">
        <f>IF(ISNUMBER(MATCH(N442,Catalog!$B$4:$B$16, 0)), "Keep", "For Sale")</f>
        <v>For Sale</v>
      </c>
      <c r="W442" s="58">
        <f t="shared" si="45"/>
        <v>1</v>
      </c>
      <c r="X442" s="58">
        <f t="shared" si="46"/>
        <v>4</v>
      </c>
      <c r="Y442" s="60">
        <f t="shared" si="47"/>
        <v>1.5</v>
      </c>
      <c r="Z442" s="60">
        <f t="shared" si="48"/>
        <v>1.25</v>
      </c>
      <c r="AE442"/>
      <c r="AF442"/>
      <c r="AG442"/>
    </row>
    <row r="443" spans="1:33" ht="14.4" x14ac:dyDescent="0.3">
      <c r="A443" s="13">
        <v>4838082</v>
      </c>
      <c r="B443" s="13" t="s">
        <v>545</v>
      </c>
      <c r="C443" s="13" t="s">
        <v>546</v>
      </c>
      <c r="D443" s="13">
        <v>154</v>
      </c>
      <c r="E443" s="13" t="s">
        <v>171</v>
      </c>
      <c r="F443" s="13" t="s">
        <v>172</v>
      </c>
      <c r="H443" s="13" t="s">
        <v>547</v>
      </c>
      <c r="I443" s="13">
        <v>441</v>
      </c>
      <c r="J443" s="13">
        <v>1</v>
      </c>
      <c r="K443" s="14">
        <v>46154</v>
      </c>
      <c r="L443" s="14">
        <v>46146</v>
      </c>
      <c r="N443" s="13">
        <v>398</v>
      </c>
      <c r="P443" s="58" t="str">
        <f t="shared" si="42"/>
        <v>Giannis Antetokounmpo</v>
      </c>
      <c r="Q443" s="58" t="str">
        <f>IFERROR(_xlfn.TEXTAFTER(_xlfn.XLOOKUP(A443,Collection!A:A,Collection!C:C,),"Cards "),C443)</f>
        <v>2022 Panini Donruss</v>
      </c>
      <c r="R443" s="58" t="str">
        <f t="shared" si="43"/>
        <v>Green Laser</v>
      </c>
      <c r="S443" s="58" t="str">
        <f>IFERROR(_xlfn.TEXTAFTER(_xlfn.XLOOKUP(A443,Collection!A:A,Collection!B:B,),"#"),"")</f>
        <v>53</v>
      </c>
      <c r="T443" s="60">
        <f t="shared" si="44"/>
        <v>1.54</v>
      </c>
      <c r="U443" s="54" t="s">
        <v>1581</v>
      </c>
      <c r="V443" s="58" t="str">
        <f>IF(ISNUMBER(MATCH(N443,Catalog!$B$4:$B$16, 0)), "Keep", "For Sale")</f>
        <v>For Sale</v>
      </c>
      <c r="W443" s="58">
        <f t="shared" si="45"/>
        <v>1</v>
      </c>
      <c r="X443" s="58">
        <f t="shared" si="46"/>
        <v>4</v>
      </c>
      <c r="Y443" s="60">
        <f t="shared" si="47"/>
        <v>5</v>
      </c>
      <c r="Z443" s="60">
        <f t="shared" si="48"/>
        <v>1.5</v>
      </c>
      <c r="AE443"/>
      <c r="AF443"/>
      <c r="AG443"/>
    </row>
    <row r="444" spans="1:33" ht="14.4" x14ac:dyDescent="0.3">
      <c r="A444" s="13">
        <v>2932739</v>
      </c>
      <c r="B444" s="13" t="s">
        <v>1192</v>
      </c>
      <c r="C444" s="13" t="s">
        <v>374</v>
      </c>
      <c r="D444" s="13">
        <v>175</v>
      </c>
      <c r="E444" s="13" t="s">
        <v>171</v>
      </c>
      <c r="F444" s="13" t="s">
        <v>172</v>
      </c>
      <c r="I444" s="13">
        <v>0</v>
      </c>
      <c r="J444" s="13">
        <v>1</v>
      </c>
      <c r="K444" s="14">
        <v>46173</v>
      </c>
      <c r="N444" s="13">
        <v>329</v>
      </c>
      <c r="P444" s="58" t="str">
        <f t="shared" si="42"/>
        <v>Glenn Robinson</v>
      </c>
      <c r="Q444" s="58" t="str">
        <f>IFERROR(_xlfn.TEXTAFTER(_xlfn.XLOOKUP(A444,Collection!A:A,Collection!C:C,),"Cards "),C444)</f>
        <v>1994 Ultra</v>
      </c>
      <c r="R444" s="58" t="str">
        <f t="shared" si="43"/>
        <v>-</v>
      </c>
      <c r="S444" s="58" t="str">
        <f>IFERROR(_xlfn.TEXTAFTER(_xlfn.XLOOKUP(A444,Collection!A:A,Collection!B:B,),"#"),"")</f>
        <v>287</v>
      </c>
      <c r="T444" s="60">
        <f t="shared" si="44"/>
        <v>1.75</v>
      </c>
      <c r="U444" s="54" t="s">
        <v>1614</v>
      </c>
      <c r="V444" s="58" t="str">
        <f>IF(ISNUMBER(MATCH(N444,Catalog!$B$4:$B$16, 0)), "Keep", "For Sale")</f>
        <v>For Sale</v>
      </c>
      <c r="W444" s="58">
        <f t="shared" si="45"/>
        <v>1</v>
      </c>
      <c r="X444" s="58">
        <f t="shared" si="46"/>
        <v>4</v>
      </c>
      <c r="Y444" s="60">
        <f t="shared" si="47"/>
        <v>2</v>
      </c>
      <c r="Z444" s="60">
        <f t="shared" si="48"/>
        <v>2</v>
      </c>
      <c r="AE444"/>
      <c r="AF444"/>
      <c r="AG444"/>
    </row>
    <row r="445" spans="1:33" ht="14.4" x14ac:dyDescent="0.3">
      <c r="A445" s="13">
        <v>4948606</v>
      </c>
      <c r="B445" s="13" t="s">
        <v>1209</v>
      </c>
      <c r="C445" s="13" t="s">
        <v>225</v>
      </c>
      <c r="D445" s="13">
        <v>119</v>
      </c>
      <c r="E445" s="13" t="s">
        <v>171</v>
      </c>
      <c r="F445" s="13" t="s">
        <v>172</v>
      </c>
      <c r="I445" s="13">
        <v>0</v>
      </c>
      <c r="J445" s="13">
        <v>1</v>
      </c>
      <c r="K445" s="14">
        <v>46173</v>
      </c>
      <c r="N445" s="13">
        <v>505</v>
      </c>
      <c r="P445" s="58" t="str">
        <f t="shared" si="42"/>
        <v>Glenn Robinson</v>
      </c>
      <c r="Q445" s="58" t="str">
        <f>IFERROR(_xlfn.TEXTAFTER(_xlfn.XLOOKUP(A445,Collection!A:A,Collection!C:C,),"Cards "),C445)</f>
        <v>1994 Upper Deck</v>
      </c>
      <c r="R445" s="58" t="str">
        <f t="shared" si="43"/>
        <v>-</v>
      </c>
      <c r="S445" s="58" t="str">
        <f>IFERROR(_xlfn.TEXTAFTER(_xlfn.XLOOKUP(A445,Collection!A:A,Collection!B:B,),"#"),"")</f>
        <v>281</v>
      </c>
      <c r="T445" s="60">
        <f t="shared" si="44"/>
        <v>1.19</v>
      </c>
      <c r="U445" s="54" t="s">
        <v>1614</v>
      </c>
      <c r="V445" s="58" t="str">
        <f>IF(ISNUMBER(MATCH(N445,Catalog!$B$4:$B$16, 0)), "Keep", "For Sale")</f>
        <v>For Sale</v>
      </c>
      <c r="W445" s="58">
        <f t="shared" si="45"/>
        <v>1</v>
      </c>
      <c r="X445" s="58">
        <f t="shared" si="46"/>
        <v>4</v>
      </c>
      <c r="Y445" s="60">
        <f t="shared" si="47"/>
        <v>1.25</v>
      </c>
      <c r="Z445" s="60">
        <f t="shared" si="48"/>
        <v>1</v>
      </c>
      <c r="AE445"/>
      <c r="AF445"/>
      <c r="AG445"/>
    </row>
    <row r="446" spans="1:33" ht="14.4" x14ac:dyDescent="0.3">
      <c r="A446" s="13">
        <v>3086925</v>
      </c>
      <c r="B446" s="13" t="s">
        <v>1267</v>
      </c>
      <c r="C446" s="13" t="s">
        <v>1152</v>
      </c>
      <c r="D446" s="13">
        <v>100</v>
      </c>
      <c r="E446" s="13" t="s">
        <v>171</v>
      </c>
      <c r="F446" s="13" t="s">
        <v>172</v>
      </c>
      <c r="I446" s="13">
        <v>0</v>
      </c>
      <c r="J446" s="13">
        <v>1</v>
      </c>
      <c r="K446" s="14">
        <v>46172</v>
      </c>
      <c r="N446" s="13">
        <v>548</v>
      </c>
      <c r="P446" s="58" t="str">
        <f t="shared" si="42"/>
        <v>Heathcliff Slocumb</v>
      </c>
      <c r="Q446" s="58" t="str">
        <f>IFERROR(_xlfn.TEXTAFTER(_xlfn.XLOOKUP(A446,Collection!A:A,Collection!C:C,),"Cards "),C446)</f>
        <v>1992 Donruss</v>
      </c>
      <c r="R446" s="58" t="str">
        <f t="shared" si="43"/>
        <v>-</v>
      </c>
      <c r="S446" s="58" t="str">
        <f>IFERROR(_xlfn.TEXTAFTER(_xlfn.XLOOKUP(A446,Collection!A:A,Collection!B:B,),"#"),"")</f>
        <v>334</v>
      </c>
      <c r="T446" s="60">
        <f t="shared" si="44"/>
        <v>1</v>
      </c>
      <c r="U446" s="54" t="s">
        <v>1673</v>
      </c>
      <c r="V446" s="58" t="str">
        <f>IF(ISNUMBER(MATCH(N446,Catalog!$B$4:$B$16, 0)), "Keep", "For Sale")</f>
        <v>For Sale</v>
      </c>
      <c r="W446" s="58">
        <f t="shared" si="45"/>
        <v>1</v>
      </c>
      <c r="X446" s="58">
        <f t="shared" si="46"/>
        <v>4</v>
      </c>
      <c r="Y446" s="60">
        <f t="shared" si="47"/>
        <v>1</v>
      </c>
      <c r="Z446" s="60">
        <f t="shared" si="48"/>
        <v>1</v>
      </c>
      <c r="AE446"/>
      <c r="AF446"/>
      <c r="AG446"/>
    </row>
    <row r="447" spans="1:33" ht="14.4" x14ac:dyDescent="0.3">
      <c r="A447" s="13">
        <v>6358249</v>
      </c>
      <c r="B447" s="13" t="s">
        <v>1314</v>
      </c>
      <c r="C447" s="13" t="s">
        <v>644</v>
      </c>
      <c r="D447" s="13">
        <v>188</v>
      </c>
      <c r="E447" s="13" t="s">
        <v>171</v>
      </c>
      <c r="F447" s="13" t="s">
        <v>172</v>
      </c>
      <c r="H447" s="13" t="s">
        <v>1228</v>
      </c>
      <c r="I447" s="13">
        <v>110</v>
      </c>
      <c r="J447" s="13">
        <v>1</v>
      </c>
      <c r="K447" s="14">
        <v>46182</v>
      </c>
      <c r="L447" s="14">
        <v>46181</v>
      </c>
      <c r="N447" s="13">
        <v>307</v>
      </c>
      <c r="P447" s="58" t="str">
        <f t="shared" si="42"/>
        <v>Jaden Hardy</v>
      </c>
      <c r="Q447" s="58" t="str">
        <f>IFERROR(_xlfn.TEXTAFTER(_xlfn.XLOOKUP(A447,Collection!A:A,Collection!C:C,),"Cards "),C447)</f>
        <v>2023 Panini Prizm</v>
      </c>
      <c r="R447" s="58" t="str">
        <f t="shared" si="43"/>
        <v>Red</v>
      </c>
      <c r="S447" s="58" t="str">
        <f>IFERROR(_xlfn.TEXTAFTER(_xlfn.XLOOKUP(A447,Collection!A:A,Collection!B:B,),"#"),"")</f>
        <v>21</v>
      </c>
      <c r="T447" s="60">
        <f t="shared" si="44"/>
        <v>1.88</v>
      </c>
      <c r="U447" s="54" t="s">
        <v>1699</v>
      </c>
      <c r="V447" s="58" t="str">
        <f>IF(ISNUMBER(MATCH(N447,Catalog!$B$4:$B$16, 0)), "Keep", "For Sale")</f>
        <v>For Sale</v>
      </c>
      <c r="W447" s="58">
        <f t="shared" si="45"/>
        <v>1</v>
      </c>
      <c r="X447" s="58">
        <f t="shared" si="46"/>
        <v>4</v>
      </c>
      <c r="Y447" s="60">
        <f t="shared" si="47"/>
        <v>2.5</v>
      </c>
      <c r="Z447" s="60">
        <f t="shared" si="48"/>
        <v>1</v>
      </c>
      <c r="AE447"/>
      <c r="AF447"/>
      <c r="AG447"/>
    </row>
    <row r="448" spans="1:33" ht="14.4" x14ac:dyDescent="0.3">
      <c r="A448" s="13">
        <v>11909457</v>
      </c>
      <c r="B448" s="13" t="s">
        <v>1093</v>
      </c>
      <c r="C448" s="13" t="s">
        <v>993</v>
      </c>
      <c r="D448" s="13">
        <v>219</v>
      </c>
      <c r="E448" s="13" t="s">
        <v>171</v>
      </c>
      <c r="F448" s="13" t="s">
        <v>172</v>
      </c>
      <c r="H448" s="13" t="s">
        <v>1094</v>
      </c>
      <c r="I448" s="13">
        <v>428</v>
      </c>
      <c r="J448" s="13">
        <v>1</v>
      </c>
      <c r="K448" s="14">
        <v>46171</v>
      </c>
      <c r="L448" s="14">
        <v>46168</v>
      </c>
      <c r="N448" s="13">
        <v>327</v>
      </c>
      <c r="P448" s="58" t="str">
        <f t="shared" si="42"/>
        <v>Jalen Brunson</v>
      </c>
      <c r="Q448" s="58" t="str">
        <f>IFERROR(_xlfn.TEXTAFTER(_xlfn.XLOOKUP(A448,Collection!A:A,Collection!C:C,),"Cards "),C448)</f>
        <v>2025 Topps Match Attax Scoring Hero</v>
      </c>
      <c r="R448" s="58" t="str">
        <f t="shared" si="43"/>
        <v>-</v>
      </c>
      <c r="S448" s="58" t="str">
        <f>IFERROR(_xlfn.TEXTAFTER(_xlfn.XLOOKUP(A448,Collection!A:A,Collection!B:B,),"#"),"")</f>
        <v>SH-JB</v>
      </c>
      <c r="T448" s="60">
        <f t="shared" si="44"/>
        <v>2.19</v>
      </c>
      <c r="U448" s="54" t="s">
        <v>1652</v>
      </c>
      <c r="V448" s="58" t="str">
        <f>IF(ISNUMBER(MATCH(N448,Catalog!$B$4:$B$16, 0)), "Keep", "For Sale")</f>
        <v>For Sale</v>
      </c>
      <c r="W448" s="58">
        <f t="shared" si="45"/>
        <v>1</v>
      </c>
      <c r="X448" s="58">
        <f t="shared" si="46"/>
        <v>4</v>
      </c>
      <c r="Y448" s="60">
        <f t="shared" si="47"/>
        <v>5</v>
      </c>
      <c r="Z448" s="60">
        <f t="shared" si="48"/>
        <v>2</v>
      </c>
      <c r="AE448"/>
      <c r="AF448"/>
      <c r="AG448"/>
    </row>
    <row r="449" spans="1:33" ht="14.4" x14ac:dyDescent="0.3">
      <c r="A449" s="13">
        <v>2965943</v>
      </c>
      <c r="B449" s="13" t="s">
        <v>602</v>
      </c>
      <c r="C449" s="13" t="s">
        <v>565</v>
      </c>
      <c r="D449" s="13">
        <v>135</v>
      </c>
      <c r="E449" s="13" t="s">
        <v>171</v>
      </c>
      <c r="F449" s="13" t="s">
        <v>172</v>
      </c>
      <c r="H449" s="13" t="s">
        <v>603</v>
      </c>
      <c r="I449" s="13">
        <v>302</v>
      </c>
      <c r="J449" s="13">
        <v>1</v>
      </c>
      <c r="K449" s="14">
        <v>46154</v>
      </c>
      <c r="L449" s="14">
        <v>46154</v>
      </c>
      <c r="N449" s="13">
        <v>382</v>
      </c>
      <c r="P449" s="58" t="str">
        <f t="shared" si="42"/>
        <v>Jalen Brunson</v>
      </c>
      <c r="Q449" s="58" t="str">
        <f>IFERROR(_xlfn.TEXTAFTER(_xlfn.XLOOKUP(A449,Collection!A:A,Collection!C:C,),"Cards "),C449)</f>
        <v>2020 Panini Illusions</v>
      </c>
      <c r="R449" s="58" t="str">
        <f t="shared" si="43"/>
        <v>Emerald</v>
      </c>
      <c r="S449" s="58" t="str">
        <f>IFERROR(_xlfn.TEXTAFTER(_xlfn.XLOOKUP(A449,Collection!A:A,Collection!B:B,),"#"),"")</f>
        <v>125</v>
      </c>
      <c r="T449" s="60">
        <f t="shared" si="44"/>
        <v>1.35</v>
      </c>
      <c r="U449" s="54" t="s">
        <v>1652</v>
      </c>
      <c r="V449" s="58" t="str">
        <f>IF(ISNUMBER(MATCH(N449,Catalog!$B$4:$B$16, 0)), "Keep", "For Sale")</f>
        <v>For Sale</v>
      </c>
      <c r="W449" s="58">
        <f t="shared" si="45"/>
        <v>1</v>
      </c>
      <c r="X449" s="58">
        <f t="shared" si="46"/>
        <v>4</v>
      </c>
      <c r="Y449" s="60">
        <f t="shared" si="47"/>
        <v>4</v>
      </c>
      <c r="Z449" s="60">
        <f t="shared" si="48"/>
        <v>1.25</v>
      </c>
      <c r="AE449"/>
      <c r="AF449"/>
      <c r="AG449"/>
    </row>
    <row r="450" spans="1:33" ht="14.4" x14ac:dyDescent="0.3">
      <c r="A450" s="13">
        <v>10122340</v>
      </c>
      <c r="B450" s="13" t="s">
        <v>1252</v>
      </c>
      <c r="C450" s="13" t="s">
        <v>880</v>
      </c>
      <c r="D450" s="13">
        <v>198</v>
      </c>
      <c r="E450" s="13" t="s">
        <v>171</v>
      </c>
      <c r="F450" s="13" t="s">
        <v>172</v>
      </c>
      <c r="I450" s="13">
        <v>0</v>
      </c>
      <c r="J450" s="13">
        <v>1</v>
      </c>
      <c r="K450" s="14">
        <v>46172</v>
      </c>
      <c r="N450" s="13">
        <v>279</v>
      </c>
      <c r="P450" s="58" t="str">
        <f t="shared" ref="P450:P513" si="49">TRIM(LEFT(B450, MIN(IFERROR(FIND("[", B450), LEN(B450)+1), IFERROR(FIND("#", B450), LEN(B450)+1)) - 1))</f>
        <v>Jalen Green</v>
      </c>
      <c r="Q450" s="58" t="str">
        <f>IFERROR(_xlfn.TEXTAFTER(_xlfn.XLOOKUP(A450,Collection!A:A,Collection!C:C,),"Cards "),C450)</f>
        <v>2024 Panini Haunted Hoops</v>
      </c>
      <c r="R450" s="58" t="str">
        <f t="shared" ref="R450:R513" si="50">IFERROR(_xlfn.TEXTBEFORE(_xlfn.TEXTAFTER(B450, "["), "]"), "-")</f>
        <v>-</v>
      </c>
      <c r="S450" s="58" t="str">
        <f>IFERROR(_xlfn.TEXTAFTER(_xlfn.XLOOKUP(A450,Collection!A:A,Collection!B:B,),"#"),"")</f>
        <v>198</v>
      </c>
      <c r="T450" s="60">
        <f t="shared" ref="T450:T513" si="51">D450/100</f>
        <v>1.98</v>
      </c>
      <c r="U450" s="54" t="s">
        <v>1664</v>
      </c>
      <c r="V450" s="58" t="str">
        <f>IF(ISNUMBER(MATCH(N450,Catalog!$B$4:$B$16, 0)), "Keep", "For Sale")</f>
        <v>For Sale</v>
      </c>
      <c r="W450" s="58">
        <f t="shared" ref="W450:W513" si="52">COUNTIFS(V:V,"For Sale",A:A,A450)</f>
        <v>1</v>
      </c>
      <c r="X450" s="58">
        <f t="shared" ref="X450:X513" si="53">_xlfn.LET(
_xlpm.val,_xlfn.XLOOKUP(U450,AE:AE,AG:AG,)/100,
_xlpm.tier,IF(_xlpm.val&lt;1,5,IF(_xlpm.val&lt;2,4,IF(_xlpm.val&lt;5,3,IF(_xlpm.val&lt;10,2,1)))),
_xlpm.tier)</f>
        <v>4</v>
      </c>
      <c r="Y450" s="60">
        <f t="shared" ref="Y450:Y513" si="54">_xlfn.LET(
    _xlpm.price, (MAX(I450,D450,25)/100)*(1+$AC$3),
    _xlpm.rounder, IF(_xlpm.price &lt; 1.5, FLOOR(_xlpm.price, 0.25),
           IF(_xlpm.price &lt; 2.5, MROUND(_xlpm.price, 0.5),
               MROUND(_xlpm.price, 1))),
    MAX(0.25, _xlpm.rounder))</f>
        <v>2.5</v>
      </c>
      <c r="Z450" s="60">
        <f t="shared" ref="Z450:Z513" si="55">_xlfn.LET(
    _xlpm.price, IF(I450=0, IF(W450&gt;1,1-$AC$2,1)*(D450/100), MIN(IF(W450&gt;1,1-$AC$2,1)*(D450/100), IF(W450&gt;1,1-$AC$2,1)*(I450/100))),
    _xlpm.rounder, IF(_xlpm.price &lt; 1.5, FLOOR(_xlpm.price, 0.25),
           IF(_xlpm.price &lt; 2.5, MROUND(_xlpm.price, 0.5),
               MROUND(_xlpm.price, 1))),
    MAX(0.25, _xlpm.rounder))</f>
        <v>2</v>
      </c>
      <c r="AE450"/>
      <c r="AF450"/>
      <c r="AG450"/>
    </row>
    <row r="451" spans="1:33" ht="14.4" x14ac:dyDescent="0.3">
      <c r="A451" s="13">
        <v>5178537</v>
      </c>
      <c r="B451" s="13" t="s">
        <v>205</v>
      </c>
      <c r="C451" s="13" t="s">
        <v>206</v>
      </c>
      <c r="D451" s="13">
        <v>155</v>
      </c>
      <c r="E451" s="13" t="s">
        <v>171</v>
      </c>
      <c r="F451" s="13" t="s">
        <v>172</v>
      </c>
      <c r="H451" s="13" t="s">
        <v>207</v>
      </c>
      <c r="I451" s="13">
        <v>126</v>
      </c>
      <c r="J451" s="13">
        <v>1</v>
      </c>
      <c r="K451" s="14">
        <v>46151</v>
      </c>
      <c r="L451" s="14">
        <v>46146</v>
      </c>
      <c r="N451" s="13">
        <v>394</v>
      </c>
      <c r="P451" s="58" t="str">
        <f t="shared" si="49"/>
        <v>Jamal Murray</v>
      </c>
      <c r="Q451" s="58" t="str">
        <f>IFERROR(_xlfn.TEXTAFTER(_xlfn.XLOOKUP(A451,Collection!A:A,Collection!C:C,),"Cards "),C451)</f>
        <v>2022 Panini Contenders Suite Shots</v>
      </c>
      <c r="R451" s="58" t="str">
        <f t="shared" si="50"/>
        <v>-</v>
      </c>
      <c r="S451" s="58" t="str">
        <f>IFERROR(_xlfn.TEXTAFTER(_xlfn.XLOOKUP(A451,Collection!A:A,Collection!B:B,),"#"),"")</f>
        <v>9</v>
      </c>
      <c r="T451" s="60">
        <f t="shared" si="51"/>
        <v>1.55</v>
      </c>
      <c r="U451" s="54" t="s">
        <v>1586</v>
      </c>
      <c r="V451" s="58" t="str">
        <f>IF(ISNUMBER(MATCH(N451,Catalog!$B$4:$B$16, 0)), "Keep", "For Sale")</f>
        <v>For Sale</v>
      </c>
      <c r="W451" s="58">
        <f t="shared" si="52"/>
        <v>1</v>
      </c>
      <c r="X451" s="58">
        <f t="shared" si="53"/>
        <v>4</v>
      </c>
      <c r="Y451" s="60">
        <f t="shared" si="54"/>
        <v>2</v>
      </c>
      <c r="Z451" s="60">
        <f t="shared" si="55"/>
        <v>1.25</v>
      </c>
      <c r="AE451"/>
      <c r="AF451"/>
      <c r="AG451"/>
    </row>
    <row r="452" spans="1:33" ht="14.4" x14ac:dyDescent="0.3">
      <c r="A452" s="13">
        <v>2856356</v>
      </c>
      <c r="B452" s="13" t="s">
        <v>1178</v>
      </c>
      <c r="C452" s="13" t="s">
        <v>655</v>
      </c>
      <c r="D452" s="13">
        <v>108</v>
      </c>
      <c r="E452" s="13" t="s">
        <v>171</v>
      </c>
      <c r="F452" s="13" t="s">
        <v>172</v>
      </c>
      <c r="I452" s="13">
        <v>0</v>
      </c>
      <c r="J452" s="13">
        <v>1</v>
      </c>
      <c r="K452" s="14">
        <v>46172</v>
      </c>
      <c r="N452" s="13">
        <v>529</v>
      </c>
      <c r="P452" s="58" t="str">
        <f t="shared" si="49"/>
        <v>Jaren Jackson Jr.</v>
      </c>
      <c r="Q452" s="58" t="str">
        <f>IFERROR(_xlfn.TEXTAFTER(_xlfn.XLOOKUP(A452,Collection!A:A,Collection!C:C,),"Cards "),C452)</f>
        <v>2019 Panini Chronicles</v>
      </c>
      <c r="R452" s="58" t="str">
        <f t="shared" si="50"/>
        <v>-</v>
      </c>
      <c r="S452" s="58" t="str">
        <f>IFERROR(_xlfn.TEXTAFTER(_xlfn.XLOOKUP(A452,Collection!A:A,Collection!B:B,),"#"),"")</f>
        <v>13</v>
      </c>
      <c r="T452" s="60">
        <f t="shared" si="51"/>
        <v>1.08</v>
      </c>
      <c r="U452" s="54" t="s">
        <v>1603</v>
      </c>
      <c r="V452" s="58" t="str">
        <f>IF(ISNUMBER(MATCH(N452,Catalog!$B$4:$B$16, 0)), "Keep", "For Sale")</f>
        <v>For Sale</v>
      </c>
      <c r="W452" s="58">
        <f t="shared" si="52"/>
        <v>1</v>
      </c>
      <c r="X452" s="58">
        <f t="shared" si="53"/>
        <v>4</v>
      </c>
      <c r="Y452" s="60">
        <f t="shared" si="54"/>
        <v>1.25</v>
      </c>
      <c r="Z452" s="60">
        <f t="shared" si="55"/>
        <v>1</v>
      </c>
      <c r="AE452"/>
      <c r="AF452"/>
      <c r="AG452"/>
    </row>
    <row r="453" spans="1:33" ht="14.4" x14ac:dyDescent="0.3">
      <c r="A453" s="13">
        <v>92995</v>
      </c>
      <c r="B453" s="13" t="s">
        <v>316</v>
      </c>
      <c r="C453" s="13" t="s">
        <v>317</v>
      </c>
      <c r="D453" s="13">
        <v>170</v>
      </c>
      <c r="E453" s="13" t="s">
        <v>171</v>
      </c>
      <c r="F453" s="13" t="s">
        <v>172</v>
      </c>
      <c r="I453" s="13">
        <v>0</v>
      </c>
      <c r="J453" s="13">
        <v>1</v>
      </c>
      <c r="K453" s="14">
        <v>46149</v>
      </c>
      <c r="N453" s="13">
        <v>343</v>
      </c>
      <c r="P453" s="58" t="str">
        <f t="shared" si="49"/>
        <v>Jason Kidd</v>
      </c>
      <c r="Q453" s="58" t="str">
        <f>IFERROR(_xlfn.TEXTAFTER(_xlfn.XLOOKUP(A453,Collection!A:A,Collection!C:C,),"Cards "),C453)</f>
        <v>1998 SP Authentic</v>
      </c>
      <c r="R453" s="58" t="str">
        <f t="shared" si="50"/>
        <v>-</v>
      </c>
      <c r="S453" s="58" t="str">
        <f>IFERROR(_xlfn.TEXTAFTER(_xlfn.XLOOKUP(A453,Collection!A:A,Collection!B:B,),"#"),"")</f>
        <v>66</v>
      </c>
      <c r="T453" s="60">
        <f t="shared" si="51"/>
        <v>1.7</v>
      </c>
      <c r="U453" s="54" t="s">
        <v>1637</v>
      </c>
      <c r="V453" s="58" t="str">
        <f>IF(ISNUMBER(MATCH(N453,Catalog!$B$4:$B$16, 0)), "Keep", "For Sale")</f>
        <v>For Sale</v>
      </c>
      <c r="W453" s="58">
        <f t="shared" si="52"/>
        <v>1</v>
      </c>
      <c r="X453" s="58">
        <f t="shared" si="53"/>
        <v>4</v>
      </c>
      <c r="Y453" s="60">
        <f t="shared" si="54"/>
        <v>2</v>
      </c>
      <c r="Z453" s="60">
        <f t="shared" si="55"/>
        <v>1.5</v>
      </c>
      <c r="AE453"/>
      <c r="AF453"/>
      <c r="AG453"/>
    </row>
    <row r="454" spans="1:33" ht="14.4" x14ac:dyDescent="0.3">
      <c r="A454" s="13">
        <v>81386</v>
      </c>
      <c r="B454" s="13" t="s">
        <v>290</v>
      </c>
      <c r="C454" s="13" t="s">
        <v>291</v>
      </c>
      <c r="D454" s="13">
        <v>126</v>
      </c>
      <c r="E454" s="13" t="s">
        <v>171</v>
      </c>
      <c r="F454" s="13" t="s">
        <v>172</v>
      </c>
      <c r="I454" s="13">
        <v>0</v>
      </c>
      <c r="J454" s="13">
        <v>1</v>
      </c>
      <c r="K454" s="14">
        <v>46149</v>
      </c>
      <c r="N454" s="13">
        <v>493</v>
      </c>
      <c r="P454" s="58" t="str">
        <f t="shared" si="49"/>
        <v>Jason Kidd</v>
      </c>
      <c r="Q454" s="58" t="str">
        <f>IFERROR(_xlfn.TEXTAFTER(_xlfn.XLOOKUP(A454,Collection!A:A,Collection!C:C,),"Cards "),C454)</f>
        <v>1994 Collector's Choice</v>
      </c>
      <c r="R454" s="58" t="str">
        <f t="shared" si="50"/>
        <v>-</v>
      </c>
      <c r="S454" s="58" t="str">
        <f>IFERROR(_xlfn.TEXTAFTER(_xlfn.XLOOKUP(A454,Collection!A:A,Collection!B:B,),"#"),"")</f>
        <v>408</v>
      </c>
      <c r="T454" s="60">
        <f t="shared" si="51"/>
        <v>1.26</v>
      </c>
      <c r="U454" s="54" t="s">
        <v>1637</v>
      </c>
      <c r="V454" s="58" t="str">
        <f>IF(ISNUMBER(MATCH(N454,Catalog!$B$4:$B$16, 0)), "Keep", "For Sale")</f>
        <v>For Sale</v>
      </c>
      <c r="W454" s="58">
        <f t="shared" si="52"/>
        <v>1</v>
      </c>
      <c r="X454" s="58">
        <f t="shared" si="53"/>
        <v>4</v>
      </c>
      <c r="Y454" s="60">
        <f t="shared" si="54"/>
        <v>1.5</v>
      </c>
      <c r="Z454" s="60">
        <f t="shared" si="55"/>
        <v>1.25</v>
      </c>
      <c r="AE454"/>
      <c r="AF454"/>
      <c r="AG454"/>
    </row>
    <row r="455" spans="1:33" ht="14.4" x14ac:dyDescent="0.3">
      <c r="A455" s="13">
        <v>94053</v>
      </c>
      <c r="B455" s="13" t="s">
        <v>1775</v>
      </c>
      <c r="C455" s="13" t="s">
        <v>189</v>
      </c>
      <c r="D455" s="13">
        <v>149</v>
      </c>
      <c r="E455" s="13" t="s">
        <v>171</v>
      </c>
      <c r="F455" s="13" t="s">
        <v>172</v>
      </c>
      <c r="I455" s="13">
        <v>0</v>
      </c>
      <c r="J455" s="13">
        <v>1</v>
      </c>
      <c r="K455" s="14">
        <v>46149</v>
      </c>
      <c r="N455" s="13">
        <v>431</v>
      </c>
      <c r="P455" s="58" t="str">
        <f t="shared" si="49"/>
        <v>Jason Kidd Single</v>
      </c>
      <c r="Q455" s="58" t="str">
        <f>IFERROR(_xlfn.TEXTAFTER(_xlfn.XLOOKUP(A455,Collection!A:A,Collection!C:C,),"Cards "),C455)</f>
        <v>1998 Upper Deck Black Diamond</v>
      </c>
      <c r="R455" s="58" t="str">
        <f t="shared" si="50"/>
        <v>-</v>
      </c>
      <c r="S455" s="58" t="str">
        <f>IFERROR(_xlfn.TEXTAFTER(_xlfn.XLOOKUP(A455,Collection!A:A,Collection!B:B,),"#"),"")</f>
        <v>68</v>
      </c>
      <c r="T455" s="60">
        <f t="shared" si="51"/>
        <v>1.49</v>
      </c>
      <c r="U455" s="54" t="s">
        <v>1805</v>
      </c>
      <c r="V455" s="58" t="str">
        <f>IF(ISNUMBER(MATCH(N455,Catalog!$B$4:$B$16, 0)), "Keep", "For Sale")</f>
        <v>For Sale</v>
      </c>
      <c r="W455" s="58">
        <f t="shared" si="52"/>
        <v>1</v>
      </c>
      <c r="X455" s="58">
        <f t="shared" si="53"/>
        <v>4</v>
      </c>
      <c r="Y455" s="60">
        <f t="shared" si="54"/>
        <v>2</v>
      </c>
      <c r="Z455" s="60">
        <f t="shared" si="55"/>
        <v>1.25</v>
      </c>
      <c r="AE455"/>
      <c r="AF455"/>
      <c r="AG455"/>
    </row>
    <row r="456" spans="1:33" ht="14.4" x14ac:dyDescent="0.3">
      <c r="A456" s="13">
        <v>10122547</v>
      </c>
      <c r="B456" s="13" t="s">
        <v>1217</v>
      </c>
      <c r="C456" s="13" t="s">
        <v>880</v>
      </c>
      <c r="D456" s="13">
        <v>119</v>
      </c>
      <c r="E456" s="13" t="s">
        <v>171</v>
      </c>
      <c r="F456" s="13" t="s">
        <v>172</v>
      </c>
      <c r="I456" s="13">
        <v>0</v>
      </c>
      <c r="J456" s="13">
        <v>1</v>
      </c>
      <c r="K456" s="14">
        <v>46172</v>
      </c>
      <c r="N456" s="13">
        <v>510</v>
      </c>
      <c r="P456" s="58" t="str">
        <f t="shared" si="49"/>
        <v>Jaylen Brown</v>
      </c>
      <c r="Q456" s="58" t="str">
        <f>IFERROR(_xlfn.TEXTAFTER(_xlfn.XLOOKUP(A456,Collection!A:A,Collection!C:C,),"Cards "),C456)</f>
        <v>2024 Panini Haunted Hoops</v>
      </c>
      <c r="R456" s="58" t="str">
        <f t="shared" si="50"/>
        <v>-</v>
      </c>
      <c r="S456" s="58" t="str">
        <f>IFERROR(_xlfn.TEXTAFTER(_xlfn.XLOOKUP(A456,Collection!A:A,Collection!B:B,),"#"),"")</f>
        <v>227</v>
      </c>
      <c r="T456" s="60">
        <f t="shared" si="51"/>
        <v>1.19</v>
      </c>
      <c r="U456" s="54" t="s">
        <v>1570</v>
      </c>
      <c r="V456" s="58" t="str">
        <f>IF(ISNUMBER(MATCH(N456,Catalog!$B$4:$B$16, 0)), "Keep", "For Sale")</f>
        <v>For Sale</v>
      </c>
      <c r="W456" s="58">
        <f t="shared" si="52"/>
        <v>1</v>
      </c>
      <c r="X456" s="58">
        <f t="shared" si="53"/>
        <v>4</v>
      </c>
      <c r="Y456" s="60">
        <f t="shared" si="54"/>
        <v>1.25</v>
      </c>
      <c r="Z456" s="60">
        <f t="shared" si="55"/>
        <v>1</v>
      </c>
      <c r="AE456"/>
      <c r="AF456"/>
      <c r="AG456"/>
    </row>
    <row r="457" spans="1:33" ht="14.4" x14ac:dyDescent="0.3">
      <c r="A457" s="13">
        <v>10198347</v>
      </c>
      <c r="B457" s="13" t="s">
        <v>538</v>
      </c>
      <c r="C457" s="13" t="s">
        <v>401</v>
      </c>
      <c r="D457" s="13">
        <v>100</v>
      </c>
      <c r="E457" s="13" t="s">
        <v>171</v>
      </c>
      <c r="F457" s="13" t="s">
        <v>172</v>
      </c>
      <c r="H457" s="13" t="s">
        <v>539</v>
      </c>
      <c r="I457" s="13">
        <v>23</v>
      </c>
      <c r="J457" s="13">
        <v>1</v>
      </c>
      <c r="K457" s="14">
        <v>46154</v>
      </c>
      <c r="L457" s="14">
        <v>46148</v>
      </c>
      <c r="N457" s="13">
        <v>537</v>
      </c>
      <c r="P457" s="58" t="str">
        <f t="shared" si="49"/>
        <v>Jaylen Brown</v>
      </c>
      <c r="Q457" s="58" t="str">
        <f>IFERROR(_xlfn.TEXTAFTER(_xlfn.XLOOKUP(A457,Collection!A:A,Collection!C:C,),"Cards "),C457)</f>
        <v>2024 Panini Donruss Optic</v>
      </c>
      <c r="R457" s="58" t="str">
        <f t="shared" si="50"/>
        <v>Purple</v>
      </c>
      <c r="S457" s="58" t="str">
        <f>IFERROR(_xlfn.TEXTAFTER(_xlfn.XLOOKUP(A457,Collection!A:A,Collection!B:B,),"#"),"")</f>
        <v>206</v>
      </c>
      <c r="T457" s="60">
        <f t="shared" si="51"/>
        <v>1</v>
      </c>
      <c r="U457" s="54" t="s">
        <v>1570</v>
      </c>
      <c r="V457" s="58" t="str">
        <f>IF(ISNUMBER(MATCH(N457,Catalog!$B$4:$B$16, 0)), "Keep", "For Sale")</f>
        <v>For Sale</v>
      </c>
      <c r="W457" s="58">
        <f t="shared" si="52"/>
        <v>1</v>
      </c>
      <c r="X457" s="58">
        <f t="shared" si="53"/>
        <v>4</v>
      </c>
      <c r="Y457" s="60">
        <f t="shared" si="54"/>
        <v>1</v>
      </c>
      <c r="Z457" s="60">
        <f t="shared" si="55"/>
        <v>0.25</v>
      </c>
      <c r="AE457"/>
      <c r="AF457"/>
      <c r="AG457"/>
    </row>
    <row r="458" spans="1:33" ht="14.4" x14ac:dyDescent="0.3">
      <c r="A458" s="13">
        <v>1105658</v>
      </c>
      <c r="B458" s="13" t="s">
        <v>540</v>
      </c>
      <c r="C458" s="13" t="s">
        <v>541</v>
      </c>
      <c r="D458" s="13">
        <v>166</v>
      </c>
      <c r="E458" s="13" t="s">
        <v>171</v>
      </c>
      <c r="F458" s="13" t="s">
        <v>172</v>
      </c>
      <c r="I458" s="13">
        <v>0</v>
      </c>
      <c r="J458" s="13">
        <v>1</v>
      </c>
      <c r="K458" s="14">
        <v>46129</v>
      </c>
      <c r="N458" s="13">
        <v>385</v>
      </c>
      <c r="P458" s="58" t="str">
        <f t="shared" si="49"/>
        <v>Jerry Rice</v>
      </c>
      <c r="Q458" s="58" t="str">
        <f>IFERROR(_xlfn.TEXTAFTER(_xlfn.XLOOKUP(A458,Collection!A:A,Collection!C:C,),"Cards "),C458)</f>
        <v>1990 Pro Set Super Bowl MVP</v>
      </c>
      <c r="R458" s="58" t="str">
        <f t="shared" si="50"/>
        <v>-</v>
      </c>
      <c r="S458" s="58" t="str">
        <f>IFERROR(_xlfn.TEXTAFTER(_xlfn.XLOOKUP(A458,Collection!A:A,Collection!B:B,),"#"),"")</f>
        <v>23</v>
      </c>
      <c r="T458" s="60">
        <f t="shared" si="51"/>
        <v>1.66</v>
      </c>
      <c r="U458" s="54" t="s">
        <v>1575</v>
      </c>
      <c r="V458" s="58" t="str">
        <f>IF(ISNUMBER(MATCH(N458,Catalog!$B$4:$B$16, 0)), "Keep", "For Sale")</f>
        <v>For Sale</v>
      </c>
      <c r="W458" s="58">
        <f t="shared" si="52"/>
        <v>1</v>
      </c>
      <c r="X458" s="58">
        <f t="shared" si="53"/>
        <v>4</v>
      </c>
      <c r="Y458" s="60">
        <f t="shared" si="54"/>
        <v>2</v>
      </c>
      <c r="Z458" s="60">
        <f t="shared" si="55"/>
        <v>1.5</v>
      </c>
      <c r="AE458"/>
      <c r="AF458"/>
      <c r="AG458"/>
    </row>
    <row r="459" spans="1:33" ht="14.4" x14ac:dyDescent="0.3">
      <c r="A459" s="13">
        <v>83766</v>
      </c>
      <c r="B459" s="13" t="s">
        <v>204</v>
      </c>
      <c r="C459" s="13" t="s">
        <v>181</v>
      </c>
      <c r="D459" s="13">
        <v>124</v>
      </c>
      <c r="E459" s="13" t="s">
        <v>171</v>
      </c>
      <c r="F459" s="13" t="s">
        <v>172</v>
      </c>
      <c r="I459" s="13">
        <v>0</v>
      </c>
      <c r="J459" s="13">
        <v>1</v>
      </c>
      <c r="K459" s="14">
        <v>46129</v>
      </c>
      <c r="N459" s="13">
        <v>464</v>
      </c>
      <c r="P459" s="58" t="str">
        <f t="shared" si="49"/>
        <v>Jerry Stackhouse</v>
      </c>
      <c r="Q459" s="58" t="str">
        <f>IFERROR(_xlfn.TEXTAFTER(_xlfn.XLOOKUP(A459,Collection!A:A,Collection!C:C,),"Cards "),C459)</f>
        <v>1995 Upper Deck</v>
      </c>
      <c r="R459" s="58" t="str">
        <f t="shared" si="50"/>
        <v>-</v>
      </c>
      <c r="S459" s="58" t="str">
        <f>IFERROR(_xlfn.TEXTAFTER(_xlfn.XLOOKUP(A459,Collection!A:A,Collection!B:B,),"#"),"")</f>
        <v>133</v>
      </c>
      <c r="T459" s="60">
        <f t="shared" si="51"/>
        <v>1.24</v>
      </c>
      <c r="U459" s="54" t="s">
        <v>1584</v>
      </c>
      <c r="V459" s="58" t="str">
        <f>IF(ISNUMBER(MATCH(N459,Catalog!$B$4:$B$16, 0)), "Keep", "For Sale")</f>
        <v>For Sale</v>
      </c>
      <c r="W459" s="58">
        <f t="shared" si="52"/>
        <v>2</v>
      </c>
      <c r="X459" s="58">
        <f t="shared" si="53"/>
        <v>4</v>
      </c>
      <c r="Y459" s="60">
        <f t="shared" si="54"/>
        <v>1.25</v>
      </c>
      <c r="Z459" s="60">
        <f t="shared" si="55"/>
        <v>1</v>
      </c>
      <c r="AE459"/>
      <c r="AF459"/>
      <c r="AG459"/>
    </row>
    <row r="460" spans="1:33" ht="14.4" x14ac:dyDescent="0.3">
      <c r="A460" s="13">
        <v>83766</v>
      </c>
      <c r="B460" s="13" t="s">
        <v>204</v>
      </c>
      <c r="C460" s="13" t="s">
        <v>181</v>
      </c>
      <c r="D460" s="13">
        <v>124</v>
      </c>
      <c r="E460" s="13" t="s">
        <v>171</v>
      </c>
      <c r="F460" s="13" t="s">
        <v>172</v>
      </c>
      <c r="I460" s="13">
        <v>0</v>
      </c>
      <c r="J460" s="13">
        <v>1</v>
      </c>
      <c r="K460" s="14">
        <v>46183</v>
      </c>
      <c r="N460" s="13">
        <v>466</v>
      </c>
      <c r="P460" s="58" t="str">
        <f t="shared" si="49"/>
        <v>Jerry Stackhouse</v>
      </c>
      <c r="Q460" s="58" t="str">
        <f>IFERROR(_xlfn.TEXTAFTER(_xlfn.XLOOKUP(A460,Collection!A:A,Collection!C:C,),"Cards "),C460)</f>
        <v>1995 Upper Deck</v>
      </c>
      <c r="R460" s="58" t="str">
        <f t="shared" si="50"/>
        <v>-</v>
      </c>
      <c r="S460" s="58" t="str">
        <f>IFERROR(_xlfn.TEXTAFTER(_xlfn.XLOOKUP(A460,Collection!A:A,Collection!B:B,),"#"),"")</f>
        <v>133</v>
      </c>
      <c r="T460" s="60">
        <f t="shared" si="51"/>
        <v>1.24</v>
      </c>
      <c r="U460" s="54" t="s">
        <v>1584</v>
      </c>
      <c r="V460" s="58" t="str">
        <f>IF(ISNUMBER(MATCH(N460,Catalog!$B$4:$B$16, 0)), "Keep", "For Sale")</f>
        <v>For Sale</v>
      </c>
      <c r="W460" s="58">
        <f t="shared" si="52"/>
        <v>2</v>
      </c>
      <c r="X460" s="58">
        <f t="shared" si="53"/>
        <v>4</v>
      </c>
      <c r="Y460" s="60">
        <f t="shared" si="54"/>
        <v>1.25</v>
      </c>
      <c r="Z460" s="60">
        <f t="shared" si="55"/>
        <v>1</v>
      </c>
      <c r="AE460"/>
      <c r="AF460"/>
      <c r="AG460"/>
    </row>
    <row r="461" spans="1:33" ht="14.4" x14ac:dyDescent="0.3">
      <c r="A461" s="13">
        <v>12628486</v>
      </c>
      <c r="B461" s="13" t="s">
        <v>924</v>
      </c>
      <c r="C461" s="13" t="s">
        <v>925</v>
      </c>
      <c r="D461" s="13">
        <v>175</v>
      </c>
      <c r="E461" s="13" t="s">
        <v>171</v>
      </c>
      <c r="F461" s="13" t="s">
        <v>172</v>
      </c>
      <c r="H461" s="13" t="s">
        <v>912</v>
      </c>
      <c r="I461" s="13">
        <v>85</v>
      </c>
      <c r="J461" s="13">
        <v>1</v>
      </c>
      <c r="K461" s="14">
        <v>46160</v>
      </c>
      <c r="L461" s="14">
        <v>46159</v>
      </c>
      <c r="N461" s="13">
        <v>331</v>
      </c>
      <c r="P461" s="58" t="str">
        <f t="shared" si="49"/>
        <v>JT Toppin</v>
      </c>
      <c r="Q461" s="58" t="str">
        <f>IFERROR(_xlfn.TEXTAFTER(_xlfn.XLOOKUP(A461,Collection!A:A,Collection!C:C,),"Cards "),C461)</f>
        <v>2025 Bowman Prospects</v>
      </c>
      <c r="R461" s="58" t="str">
        <f t="shared" si="50"/>
        <v>-</v>
      </c>
      <c r="S461" s="58" t="str">
        <f>IFERROR(_xlfn.TEXTAFTER(_xlfn.XLOOKUP(A461,Collection!A:A,Collection!B:B,),"#"),"")</f>
        <v>BPP-93</v>
      </c>
      <c r="T461" s="60">
        <f t="shared" si="51"/>
        <v>1.75</v>
      </c>
      <c r="U461" s="54" t="s">
        <v>1650</v>
      </c>
      <c r="V461" s="58" t="str">
        <f>IF(ISNUMBER(MATCH(N461,Catalog!$B$4:$B$16, 0)), "Keep", "For Sale")</f>
        <v>For Sale</v>
      </c>
      <c r="W461" s="58">
        <f t="shared" si="52"/>
        <v>1</v>
      </c>
      <c r="X461" s="58">
        <f t="shared" si="53"/>
        <v>4</v>
      </c>
      <c r="Y461" s="60">
        <f t="shared" si="54"/>
        <v>2</v>
      </c>
      <c r="Z461" s="60">
        <f t="shared" si="55"/>
        <v>0.75</v>
      </c>
      <c r="AE461"/>
      <c r="AF461"/>
      <c r="AG461"/>
    </row>
    <row r="462" spans="1:33" ht="14.4" x14ac:dyDescent="0.3">
      <c r="A462" s="13">
        <v>12642248</v>
      </c>
      <c r="B462" s="13" t="s">
        <v>910</v>
      </c>
      <c r="C462" s="13" t="s">
        <v>911</v>
      </c>
      <c r="D462" s="13">
        <v>97</v>
      </c>
      <c r="E462" s="13" t="s">
        <v>171</v>
      </c>
      <c r="F462" s="13" t="s">
        <v>172</v>
      </c>
      <c r="H462" s="13" t="s">
        <v>912</v>
      </c>
      <c r="I462" s="13">
        <v>85</v>
      </c>
      <c r="J462" s="13">
        <v>1</v>
      </c>
      <c r="K462" s="14">
        <v>46160</v>
      </c>
      <c r="L462" s="14">
        <v>46159</v>
      </c>
      <c r="N462" s="13">
        <v>540</v>
      </c>
      <c r="P462" s="58" t="str">
        <f t="shared" si="49"/>
        <v>JT Toppin</v>
      </c>
      <c r="Q462" s="58" t="str">
        <f>IFERROR(_xlfn.TEXTAFTER(_xlfn.XLOOKUP(A462,Collection!A:A,Collection!C:C,),"Cards "),C462)</f>
        <v>2025 Bowman Verified</v>
      </c>
      <c r="R462" s="58" t="str">
        <f t="shared" si="50"/>
        <v>-</v>
      </c>
      <c r="S462" s="58" t="str">
        <f>IFERROR(_xlfn.TEXTAFTER(_xlfn.XLOOKUP(A462,Collection!A:A,Collection!B:B,),"#"),"")</f>
        <v>BV-15</v>
      </c>
      <c r="T462" s="60">
        <f t="shared" si="51"/>
        <v>0.97</v>
      </c>
      <c r="U462" s="54" t="s">
        <v>1650</v>
      </c>
      <c r="V462" s="58" t="str">
        <f>IF(ISNUMBER(MATCH(N462,Catalog!$B$4:$B$16, 0)), "Keep", "For Sale")</f>
        <v>For Sale</v>
      </c>
      <c r="W462" s="58">
        <f t="shared" si="52"/>
        <v>1</v>
      </c>
      <c r="X462" s="58">
        <f t="shared" si="53"/>
        <v>4</v>
      </c>
      <c r="Y462" s="60">
        <f t="shared" si="54"/>
        <v>1</v>
      </c>
      <c r="Z462" s="60">
        <f t="shared" si="55"/>
        <v>0.75</v>
      </c>
      <c r="AE462"/>
      <c r="AF462"/>
      <c r="AG462"/>
    </row>
    <row r="463" spans="1:33" ht="14.4" x14ac:dyDescent="0.3">
      <c r="A463" s="13">
        <v>11741779</v>
      </c>
      <c r="B463" s="13" t="s">
        <v>1174</v>
      </c>
      <c r="C463" s="13" t="s">
        <v>1175</v>
      </c>
      <c r="D463" s="13">
        <v>150</v>
      </c>
      <c r="E463" s="13" t="s">
        <v>171</v>
      </c>
      <c r="F463" s="13" t="s">
        <v>172</v>
      </c>
      <c r="I463" s="13">
        <v>0</v>
      </c>
      <c r="J463" s="13">
        <v>1</v>
      </c>
      <c r="K463" s="14">
        <v>46172</v>
      </c>
      <c r="N463" s="13">
        <v>413</v>
      </c>
      <c r="P463" s="58" t="str">
        <f t="shared" si="49"/>
        <v>Katie Lou Samuelson</v>
      </c>
      <c r="Q463" s="58" t="str">
        <f>IFERROR(_xlfn.TEXTAFTER(_xlfn.XLOOKUP(A463,Collection!A:A,Collection!C:C,),"Cards "),C463)</f>
        <v>2025 Panini Prizm WNBA</v>
      </c>
      <c r="R463" s="58" t="str">
        <f t="shared" si="50"/>
        <v>-</v>
      </c>
      <c r="S463" s="58" t="str">
        <f>IFERROR(_xlfn.TEXTAFTER(_xlfn.XLOOKUP(A463,Collection!A:A,Collection!B:B,),"#"),"")</f>
        <v>82</v>
      </c>
      <c r="T463" s="60">
        <f t="shared" si="51"/>
        <v>1.5</v>
      </c>
      <c r="U463" s="54" t="s">
        <v>1596</v>
      </c>
      <c r="V463" s="58" t="str">
        <f>IF(ISNUMBER(MATCH(N463,Catalog!$B$4:$B$16, 0)), "Keep", "For Sale")</f>
        <v>For Sale</v>
      </c>
      <c r="W463" s="58">
        <f t="shared" si="52"/>
        <v>1</v>
      </c>
      <c r="X463" s="58">
        <f t="shared" si="53"/>
        <v>4</v>
      </c>
      <c r="Y463" s="60">
        <f t="shared" si="54"/>
        <v>2</v>
      </c>
      <c r="Z463" s="60">
        <f t="shared" si="55"/>
        <v>1.5</v>
      </c>
      <c r="AE463"/>
      <c r="AF463"/>
      <c r="AG463"/>
    </row>
    <row r="464" spans="1:33" ht="14.4" x14ac:dyDescent="0.3">
      <c r="A464" s="13">
        <v>89029</v>
      </c>
      <c r="B464" s="13" t="s">
        <v>1193</v>
      </c>
      <c r="C464" s="13" t="s">
        <v>193</v>
      </c>
      <c r="D464" s="13">
        <v>199</v>
      </c>
      <c r="E464" s="13" t="s">
        <v>171</v>
      </c>
      <c r="F464" s="13" t="s">
        <v>172</v>
      </c>
      <c r="I464" s="13">
        <v>0</v>
      </c>
      <c r="J464" s="13">
        <v>1</v>
      </c>
      <c r="K464" s="14">
        <v>46173</v>
      </c>
      <c r="N464" s="13">
        <v>345</v>
      </c>
      <c r="P464" s="58" t="str">
        <f t="shared" si="49"/>
        <v>Keith Van Horn</v>
      </c>
      <c r="Q464" s="58" t="str">
        <f>IFERROR(_xlfn.TEXTAFTER(_xlfn.XLOOKUP(A464,Collection!A:A,Collection!C:C,),"Cards "),C464)</f>
        <v>1997 Metal Universe</v>
      </c>
      <c r="R464" s="58" t="str">
        <f t="shared" si="50"/>
        <v>-</v>
      </c>
      <c r="S464" s="58" t="str">
        <f>IFERROR(_xlfn.TEXTAFTER(_xlfn.XLOOKUP(A464,Collection!A:A,Collection!B:B,),"#"),"")</f>
        <v>80</v>
      </c>
      <c r="T464" s="60">
        <f t="shared" si="51"/>
        <v>1.99</v>
      </c>
      <c r="U464" s="54" t="s">
        <v>1616</v>
      </c>
      <c r="V464" s="58" t="str">
        <f>IF(ISNUMBER(MATCH(N464,Catalog!$B$4:$B$16, 0)), "Keep", "For Sale")</f>
        <v>For Sale</v>
      </c>
      <c r="W464" s="58">
        <f t="shared" si="52"/>
        <v>1</v>
      </c>
      <c r="X464" s="58">
        <f t="shared" si="53"/>
        <v>4</v>
      </c>
      <c r="Y464" s="60">
        <f t="shared" si="54"/>
        <v>2.5</v>
      </c>
      <c r="Z464" s="60">
        <f t="shared" si="55"/>
        <v>2</v>
      </c>
      <c r="AE464"/>
      <c r="AF464"/>
      <c r="AG464"/>
    </row>
    <row r="465" spans="1:33" ht="14.4" x14ac:dyDescent="0.3">
      <c r="A465" s="13">
        <v>3102405</v>
      </c>
      <c r="B465" s="13" t="s">
        <v>1151</v>
      </c>
      <c r="C465" s="13" t="s">
        <v>1152</v>
      </c>
      <c r="D465" s="13">
        <v>116</v>
      </c>
      <c r="E465" s="13" t="s">
        <v>171</v>
      </c>
      <c r="F465" s="13" t="s">
        <v>172</v>
      </c>
      <c r="I465" s="13">
        <v>0</v>
      </c>
      <c r="J465" s="13">
        <v>1</v>
      </c>
      <c r="K465" s="14">
        <v>46172</v>
      </c>
      <c r="N465" s="13">
        <v>507</v>
      </c>
      <c r="P465" s="58" t="str">
        <f t="shared" si="49"/>
        <v>Kevin Morton</v>
      </c>
      <c r="Q465" s="58" t="str">
        <f>IFERROR(_xlfn.TEXTAFTER(_xlfn.XLOOKUP(A465,Collection!A:A,Collection!C:C,),"Cards "),C465)</f>
        <v>1992 Donruss</v>
      </c>
      <c r="R465" s="58" t="str">
        <f t="shared" si="50"/>
        <v>-</v>
      </c>
      <c r="S465" s="58" t="str">
        <f>IFERROR(_xlfn.TEXTAFTER(_xlfn.XLOOKUP(A465,Collection!A:A,Collection!B:B,),"#"),"")</f>
        <v>330</v>
      </c>
      <c r="T465" s="60">
        <f t="shared" si="51"/>
        <v>1.1599999999999999</v>
      </c>
      <c r="U465" s="54" t="s">
        <v>1555</v>
      </c>
      <c r="V465" s="58" t="str">
        <f>IF(ISNUMBER(MATCH(N465,Catalog!$B$4:$B$16, 0)), "Keep", "For Sale")</f>
        <v>For Sale</v>
      </c>
      <c r="W465" s="58">
        <f t="shared" si="52"/>
        <v>1</v>
      </c>
      <c r="X465" s="58">
        <f t="shared" si="53"/>
        <v>4</v>
      </c>
      <c r="Y465" s="60">
        <f t="shared" si="54"/>
        <v>1.25</v>
      </c>
      <c r="Z465" s="60">
        <f t="shared" si="55"/>
        <v>1</v>
      </c>
      <c r="AE465"/>
      <c r="AF465"/>
      <c r="AG465"/>
    </row>
    <row r="466" spans="1:33" ht="14.4" x14ac:dyDescent="0.3">
      <c r="A466" s="13">
        <v>3834726</v>
      </c>
      <c r="B466" s="13" t="s">
        <v>907</v>
      </c>
      <c r="C466" s="13" t="s">
        <v>908</v>
      </c>
      <c r="D466" s="13">
        <v>199</v>
      </c>
      <c r="E466" s="13" t="s">
        <v>171</v>
      </c>
      <c r="F466" s="13" t="s">
        <v>172</v>
      </c>
      <c r="H466" s="13" t="s">
        <v>909</v>
      </c>
      <c r="I466" s="13">
        <v>350</v>
      </c>
      <c r="J466" s="13">
        <v>1</v>
      </c>
      <c r="K466" s="14">
        <v>46157</v>
      </c>
      <c r="L466" s="14">
        <v>46156</v>
      </c>
      <c r="N466" s="13">
        <v>272</v>
      </c>
      <c r="P466" s="58" t="str">
        <f t="shared" si="49"/>
        <v>Kyrie Irving</v>
      </c>
      <c r="Q466" s="58" t="str">
        <f>IFERROR(_xlfn.TEXTAFTER(_xlfn.XLOOKUP(A466,Collection!A:A,Collection!C:C,),"Cards "),C466)</f>
        <v>2020 Panini Donruss Optic My House</v>
      </c>
      <c r="R466" s="58" t="str">
        <f t="shared" si="50"/>
        <v>Holo</v>
      </c>
      <c r="S466" s="58" t="str">
        <f>IFERROR(_xlfn.TEXTAFTER(_xlfn.XLOOKUP(A466,Collection!A:A,Collection!B:B,),"#"),"")</f>
        <v>8</v>
      </c>
      <c r="T466" s="60">
        <f t="shared" si="51"/>
        <v>1.99</v>
      </c>
      <c r="U466" s="54" t="s">
        <v>1566</v>
      </c>
      <c r="V466" s="58" t="str">
        <f>IF(ISNUMBER(MATCH(N466,Catalog!$B$4:$B$16, 0)), "Keep", "For Sale")</f>
        <v>For Sale</v>
      </c>
      <c r="W466" s="58">
        <f t="shared" si="52"/>
        <v>1</v>
      </c>
      <c r="X466" s="58">
        <f t="shared" si="53"/>
        <v>4</v>
      </c>
      <c r="Y466" s="60">
        <f t="shared" si="54"/>
        <v>4</v>
      </c>
      <c r="Z466" s="60">
        <f t="shared" si="55"/>
        <v>2</v>
      </c>
      <c r="AE466"/>
      <c r="AF466"/>
      <c r="AG466"/>
    </row>
    <row r="467" spans="1:33" ht="14.4" x14ac:dyDescent="0.3">
      <c r="A467" s="13">
        <v>11830171</v>
      </c>
      <c r="B467" s="13" t="s">
        <v>1030</v>
      </c>
      <c r="C467" s="13" t="s">
        <v>975</v>
      </c>
      <c r="D467" s="13">
        <v>199</v>
      </c>
      <c r="E467" s="13" t="s">
        <v>171</v>
      </c>
      <c r="F467" s="13" t="s">
        <v>172</v>
      </c>
      <c r="H467" s="13" t="s">
        <v>1031</v>
      </c>
      <c r="I467" s="13">
        <v>38</v>
      </c>
      <c r="J467" s="13">
        <v>1</v>
      </c>
      <c r="K467" s="14">
        <v>46163</v>
      </c>
      <c r="L467" s="14">
        <v>46157</v>
      </c>
      <c r="N467" s="13">
        <v>404</v>
      </c>
      <c r="P467" s="58" t="str">
        <f t="shared" si="49"/>
        <v>Kyrie Irving</v>
      </c>
      <c r="Q467" s="58" t="str">
        <f>IFERROR(_xlfn.TEXTAFTER(_xlfn.XLOOKUP(A467,Collection!A:A,Collection!C:C,),"Cards "),C467)</f>
        <v>2025 Topps Match Attax 100 Club</v>
      </c>
      <c r="R467" s="58" t="str">
        <f t="shared" si="50"/>
        <v>-</v>
      </c>
      <c r="S467" s="58" t="str">
        <f>IFERROR(_xlfn.TEXTAFTER(_xlfn.XLOOKUP(A467,Collection!A:A,Collection!B:B,),"#"),"")</f>
        <v>100C-KI</v>
      </c>
      <c r="T467" s="60">
        <f t="shared" si="51"/>
        <v>1.99</v>
      </c>
      <c r="U467" s="54" t="s">
        <v>1566</v>
      </c>
      <c r="V467" s="58" t="str">
        <f>IF(ISNUMBER(MATCH(N467,Catalog!$B$4:$B$16, 0)), "Keep", "For Sale")</f>
        <v>For Sale</v>
      </c>
      <c r="W467" s="58">
        <f t="shared" si="52"/>
        <v>1</v>
      </c>
      <c r="X467" s="58">
        <f t="shared" si="53"/>
        <v>4</v>
      </c>
      <c r="Y467" s="60">
        <f t="shared" si="54"/>
        <v>2.5</v>
      </c>
      <c r="Z467" s="60">
        <f t="shared" si="55"/>
        <v>0.25</v>
      </c>
      <c r="AE467"/>
      <c r="AF467"/>
      <c r="AG467"/>
    </row>
    <row r="468" spans="1:33" ht="14.4" x14ac:dyDescent="0.3">
      <c r="A468" s="13">
        <v>6355545</v>
      </c>
      <c r="B468" s="13" t="s">
        <v>643</v>
      </c>
      <c r="C468" s="13" t="s">
        <v>644</v>
      </c>
      <c r="D468" s="13">
        <v>150</v>
      </c>
      <c r="E468" s="13" t="s">
        <v>171</v>
      </c>
      <c r="F468" s="13" t="s">
        <v>172</v>
      </c>
      <c r="H468" s="13" t="s">
        <v>645</v>
      </c>
      <c r="I468" s="13">
        <v>302</v>
      </c>
      <c r="J468" s="13">
        <v>1</v>
      </c>
      <c r="K468" s="14">
        <v>46154</v>
      </c>
      <c r="L468" s="14">
        <v>46154</v>
      </c>
      <c r="N468" s="13">
        <v>348</v>
      </c>
      <c r="P468" s="58" t="str">
        <f t="shared" si="49"/>
        <v>Kyrie Irving</v>
      </c>
      <c r="Q468" s="58" t="str">
        <f>IFERROR(_xlfn.TEXTAFTER(_xlfn.XLOOKUP(A468,Collection!A:A,Collection!C:C,),"Cards "),C468)</f>
        <v>2023 Panini Prizm</v>
      </c>
      <c r="R468" s="58" t="str">
        <f t="shared" si="50"/>
        <v>Orange Ice</v>
      </c>
      <c r="S468" s="58" t="str">
        <f>IFERROR(_xlfn.TEXTAFTER(_xlfn.XLOOKUP(A468,Collection!A:A,Collection!B:B,),"#"),"")</f>
        <v>22</v>
      </c>
      <c r="T468" s="60">
        <f t="shared" si="51"/>
        <v>1.5</v>
      </c>
      <c r="U468" s="54" t="s">
        <v>1566</v>
      </c>
      <c r="V468" s="58" t="str">
        <f>IF(ISNUMBER(MATCH(N468,Catalog!$B$4:$B$16, 0)), "Keep", "For Sale")</f>
        <v>For Sale</v>
      </c>
      <c r="W468" s="58">
        <f t="shared" si="52"/>
        <v>1</v>
      </c>
      <c r="X468" s="58">
        <f t="shared" si="53"/>
        <v>4</v>
      </c>
      <c r="Y468" s="60">
        <f t="shared" si="54"/>
        <v>4</v>
      </c>
      <c r="Z468" s="60">
        <f t="shared" si="55"/>
        <v>1.5</v>
      </c>
      <c r="AE468"/>
      <c r="AF468"/>
      <c r="AG468"/>
    </row>
    <row r="469" spans="1:33" ht="14.4" x14ac:dyDescent="0.3">
      <c r="A469" s="13">
        <v>4343792</v>
      </c>
      <c r="B469" s="13" t="s">
        <v>640</v>
      </c>
      <c r="C469" s="13" t="s">
        <v>641</v>
      </c>
      <c r="D469" s="13">
        <v>125</v>
      </c>
      <c r="E469" s="13" t="s">
        <v>171</v>
      </c>
      <c r="F469" s="13" t="s">
        <v>172</v>
      </c>
      <c r="H469" s="13" t="s">
        <v>642</v>
      </c>
      <c r="I469" s="13">
        <v>520</v>
      </c>
      <c r="J469" s="13">
        <v>1</v>
      </c>
      <c r="K469" s="14">
        <v>46154</v>
      </c>
      <c r="L469" s="14">
        <v>46150</v>
      </c>
      <c r="N469" s="13">
        <v>486</v>
      </c>
      <c r="P469" s="58" t="str">
        <f t="shared" si="49"/>
        <v>Kyrie Irving</v>
      </c>
      <c r="Q469" s="58" t="str">
        <f>IFERROR(_xlfn.TEXTAFTER(_xlfn.XLOOKUP(A469,Collection!A:A,Collection!C:C,),"Cards "),C469)</f>
        <v>2022 Panini Chronicles Draft Picks Revolution</v>
      </c>
      <c r="R469" s="58" t="str">
        <f t="shared" si="50"/>
        <v>-</v>
      </c>
      <c r="S469" s="58" t="str">
        <f>IFERROR(_xlfn.TEXTAFTER(_xlfn.XLOOKUP(A469,Collection!A:A,Collection!B:B,),"#"),"")</f>
        <v>63</v>
      </c>
      <c r="T469" s="60">
        <f t="shared" si="51"/>
        <v>1.25</v>
      </c>
      <c r="U469" s="54" t="s">
        <v>1566</v>
      </c>
      <c r="V469" s="58" t="str">
        <f>IF(ISNUMBER(MATCH(N469,Catalog!$B$4:$B$16, 0)), "Keep", "For Sale")</f>
        <v>For Sale</v>
      </c>
      <c r="W469" s="58">
        <f t="shared" si="52"/>
        <v>1</v>
      </c>
      <c r="X469" s="58">
        <f t="shared" si="53"/>
        <v>4</v>
      </c>
      <c r="Y469" s="60">
        <f t="shared" si="54"/>
        <v>6</v>
      </c>
      <c r="Z469" s="60">
        <f t="shared" si="55"/>
        <v>1.25</v>
      </c>
      <c r="AE469"/>
      <c r="AF469"/>
      <c r="AG469"/>
    </row>
    <row r="470" spans="1:33" ht="14.4" x14ac:dyDescent="0.3">
      <c r="A470" s="13">
        <v>5468137</v>
      </c>
      <c r="B470" s="13" t="s">
        <v>534</v>
      </c>
      <c r="C470" s="13" t="s">
        <v>443</v>
      </c>
      <c r="D470" s="13">
        <v>104</v>
      </c>
      <c r="E470" s="13" t="s">
        <v>171</v>
      </c>
      <c r="F470" s="13" t="s">
        <v>172</v>
      </c>
      <c r="H470" s="13" t="s">
        <v>535</v>
      </c>
      <c r="I470" s="13">
        <v>302</v>
      </c>
      <c r="J470" s="13">
        <v>1</v>
      </c>
      <c r="K470" s="14">
        <v>46154</v>
      </c>
      <c r="L470" s="14">
        <v>46154</v>
      </c>
      <c r="N470" s="13">
        <v>534</v>
      </c>
      <c r="P470" s="58" t="str">
        <f t="shared" si="49"/>
        <v>Kyrie Irving</v>
      </c>
      <c r="Q470" s="58" t="str">
        <f>IFERROR(_xlfn.TEXTAFTER(_xlfn.XLOOKUP(A470,Collection!A:A,Collection!C:C,),"Cards "),C470)</f>
        <v>2022 Panini Select</v>
      </c>
      <c r="R470" s="58" t="str">
        <f t="shared" si="50"/>
        <v>Blue Ice</v>
      </c>
      <c r="S470" s="58" t="str">
        <f>IFERROR(_xlfn.TEXTAFTER(_xlfn.XLOOKUP(A470,Collection!A:A,Collection!B:B,),"#"),"")</f>
        <v>130</v>
      </c>
      <c r="T470" s="60">
        <f t="shared" si="51"/>
        <v>1.04</v>
      </c>
      <c r="U470" s="54" t="s">
        <v>1566</v>
      </c>
      <c r="V470" s="58" t="str">
        <f>IF(ISNUMBER(MATCH(N470,Catalog!$B$4:$B$16, 0)), "Keep", "For Sale")</f>
        <v>For Sale</v>
      </c>
      <c r="W470" s="58">
        <f t="shared" si="52"/>
        <v>1</v>
      </c>
      <c r="X470" s="58">
        <f t="shared" si="53"/>
        <v>4</v>
      </c>
      <c r="Y470" s="60">
        <f t="shared" si="54"/>
        <v>4</v>
      </c>
      <c r="Z470" s="60">
        <f t="shared" si="55"/>
        <v>1</v>
      </c>
      <c r="AE470"/>
      <c r="AF470"/>
      <c r="AG470"/>
    </row>
    <row r="471" spans="1:33" ht="14.4" x14ac:dyDescent="0.3">
      <c r="A471" s="13">
        <v>6835303</v>
      </c>
      <c r="B471" s="13" t="s">
        <v>1107</v>
      </c>
      <c r="C471" s="13" t="s">
        <v>1108</v>
      </c>
      <c r="D471" s="13">
        <v>191</v>
      </c>
      <c r="E471" s="13" t="s">
        <v>171</v>
      </c>
      <c r="F471" s="13" t="s">
        <v>172</v>
      </c>
      <c r="H471" s="13" t="s">
        <v>1109</v>
      </c>
      <c r="I471" s="13">
        <v>633</v>
      </c>
      <c r="J471" s="13">
        <v>1</v>
      </c>
      <c r="K471" s="14">
        <v>46171</v>
      </c>
      <c r="L471" s="14">
        <v>46167</v>
      </c>
      <c r="N471" s="13">
        <v>293</v>
      </c>
      <c r="P471" s="58" t="str">
        <f t="shared" si="49"/>
        <v>Kyrie Irving / Luka Doncic</v>
      </c>
      <c r="Q471" s="58" t="str">
        <f>IFERROR(_xlfn.TEXTAFTER(_xlfn.XLOOKUP(A471,Collection!A:A,Collection!C:C,),"Cards "),C471)</f>
        <v>2023 Donruss Optic Optical Illusions</v>
      </c>
      <c r="R471" s="58" t="str">
        <f t="shared" si="50"/>
        <v>-</v>
      </c>
      <c r="S471" s="58" t="str">
        <f>IFERROR(_xlfn.TEXTAFTER(_xlfn.XLOOKUP(A471,Collection!A:A,Collection!B:B,),"#"),"")</f>
        <v>4</v>
      </c>
      <c r="T471" s="60">
        <f t="shared" si="51"/>
        <v>1.91</v>
      </c>
      <c r="U471" s="54" t="s">
        <v>1685</v>
      </c>
      <c r="V471" s="58" t="str">
        <f>IF(ISNUMBER(MATCH(N471,Catalog!$B$4:$B$16, 0)), "Keep", "For Sale")</f>
        <v>For Sale</v>
      </c>
      <c r="W471" s="58">
        <f t="shared" si="52"/>
        <v>1</v>
      </c>
      <c r="X471" s="58">
        <f t="shared" si="53"/>
        <v>4</v>
      </c>
      <c r="Y471" s="60">
        <f t="shared" si="54"/>
        <v>8</v>
      </c>
      <c r="Z471" s="60">
        <f t="shared" si="55"/>
        <v>2</v>
      </c>
      <c r="AE471"/>
      <c r="AF471"/>
      <c r="AG471"/>
    </row>
    <row r="472" spans="1:33" ht="14.4" x14ac:dyDescent="0.3">
      <c r="A472" s="13">
        <v>78022</v>
      </c>
      <c r="B472" s="13" t="s">
        <v>420</v>
      </c>
      <c r="C472" s="13" t="s">
        <v>421</v>
      </c>
      <c r="D472" s="13">
        <v>181</v>
      </c>
      <c r="E472" s="13" t="s">
        <v>171</v>
      </c>
      <c r="F472" s="13" t="s">
        <v>172</v>
      </c>
      <c r="I472" s="13">
        <v>0</v>
      </c>
      <c r="J472" s="13">
        <v>1</v>
      </c>
      <c r="K472" s="14">
        <v>46149</v>
      </c>
      <c r="L472" s="14">
        <v>46149</v>
      </c>
      <c r="N472" s="13">
        <v>324</v>
      </c>
      <c r="P472" s="58" t="str">
        <f t="shared" si="49"/>
        <v>Larry Bird</v>
      </c>
      <c r="Q472" s="58" t="str">
        <f>IFERROR(_xlfn.TEXTAFTER(_xlfn.XLOOKUP(A472,Collection!A:A,Collection!C:C,),"Cards "),C472)</f>
        <v>1991 Hoops McDonalds</v>
      </c>
      <c r="R472" s="58" t="str">
        <f t="shared" si="50"/>
        <v>-</v>
      </c>
      <c r="S472" s="58" t="str">
        <f>IFERROR(_xlfn.TEXTAFTER(_xlfn.XLOOKUP(A472,Collection!A:A,Collection!B:B,),"#"),"")</f>
        <v>52</v>
      </c>
      <c r="T472" s="60">
        <f t="shared" si="51"/>
        <v>1.81</v>
      </c>
      <c r="U472" s="54" t="s">
        <v>1667</v>
      </c>
      <c r="V472" s="58" t="str">
        <f>IF(ISNUMBER(MATCH(N472,Catalog!$B$4:$B$16, 0)), "Keep", "For Sale")</f>
        <v>For Sale</v>
      </c>
      <c r="W472" s="58">
        <f t="shared" si="52"/>
        <v>1</v>
      </c>
      <c r="X472" s="58">
        <f t="shared" si="53"/>
        <v>4</v>
      </c>
      <c r="Y472" s="60">
        <f t="shared" si="54"/>
        <v>2</v>
      </c>
      <c r="Z472" s="60">
        <f t="shared" si="55"/>
        <v>2</v>
      </c>
      <c r="AE472"/>
      <c r="AF472"/>
      <c r="AG472"/>
    </row>
    <row r="473" spans="1:33" ht="14.4" x14ac:dyDescent="0.3">
      <c r="A473" s="13">
        <v>154457</v>
      </c>
      <c r="B473" s="13" t="s">
        <v>1289</v>
      </c>
      <c r="C473" s="13" t="s">
        <v>266</v>
      </c>
      <c r="D473" s="13">
        <v>150</v>
      </c>
      <c r="E473" s="13" t="s">
        <v>171</v>
      </c>
      <c r="F473" s="13" t="s">
        <v>172</v>
      </c>
      <c r="I473" s="13">
        <v>0</v>
      </c>
      <c r="J473" s="13">
        <v>1</v>
      </c>
      <c r="K473" s="14">
        <v>46173</v>
      </c>
      <c r="N473" s="13">
        <v>313</v>
      </c>
      <c r="P473" s="58" t="str">
        <f t="shared" si="49"/>
        <v>Larry Bird</v>
      </c>
      <c r="Q473" s="58" t="str">
        <f>IFERROR(_xlfn.TEXTAFTER(_xlfn.XLOOKUP(A473,Collection!A:A,Collection!C:C,),"Cards "),C473)</f>
        <v>1991 Skybox</v>
      </c>
      <c r="R473" s="58" t="str">
        <f t="shared" si="50"/>
        <v>-</v>
      </c>
      <c r="S473" s="58" t="str">
        <f>IFERROR(_xlfn.TEXTAFTER(_xlfn.XLOOKUP(A473,Collection!A:A,Collection!B:B,),"#"),"")</f>
        <v>12</v>
      </c>
      <c r="T473" s="60">
        <f t="shared" si="51"/>
        <v>1.5</v>
      </c>
      <c r="U473" s="54" t="s">
        <v>1667</v>
      </c>
      <c r="V473" s="58" t="str">
        <f>IF(ISNUMBER(MATCH(N473,Catalog!$B$4:$B$16, 0)), "Keep", "For Sale")</f>
        <v>For Sale</v>
      </c>
      <c r="W473" s="58">
        <f t="shared" si="52"/>
        <v>1</v>
      </c>
      <c r="X473" s="58">
        <f t="shared" si="53"/>
        <v>4</v>
      </c>
      <c r="Y473" s="60">
        <f t="shared" si="54"/>
        <v>2</v>
      </c>
      <c r="Z473" s="60">
        <f t="shared" si="55"/>
        <v>1.5</v>
      </c>
      <c r="AE473"/>
      <c r="AF473"/>
      <c r="AG473"/>
    </row>
    <row r="474" spans="1:33" ht="14.4" x14ac:dyDescent="0.3">
      <c r="A474" s="13">
        <v>4643480</v>
      </c>
      <c r="B474" s="13" t="s">
        <v>1253</v>
      </c>
      <c r="C474" s="13" t="s">
        <v>249</v>
      </c>
      <c r="D474" s="13">
        <v>112</v>
      </c>
      <c r="E474" s="13" t="s">
        <v>171</v>
      </c>
      <c r="F474" s="13" t="s">
        <v>172</v>
      </c>
      <c r="I474" s="13">
        <v>0</v>
      </c>
      <c r="J474" s="13">
        <v>1</v>
      </c>
      <c r="K474" s="14">
        <v>46173</v>
      </c>
      <c r="N474" s="13">
        <v>582</v>
      </c>
      <c r="P474" s="58" t="str">
        <f t="shared" si="49"/>
        <v>Latrell Sprewell</v>
      </c>
      <c r="Q474" s="58" t="str">
        <f>IFERROR(_xlfn.TEXTAFTER(_xlfn.XLOOKUP(A474,Collection!A:A,Collection!C:C,),"Cards "),C474)</f>
        <v>1993 Ultra Inside Outside</v>
      </c>
      <c r="R474" s="58" t="str">
        <f t="shared" si="50"/>
        <v>-</v>
      </c>
      <c r="S474" s="58" t="str">
        <f>IFERROR(_xlfn.TEXTAFTER(_xlfn.XLOOKUP(A474,Collection!A:A,Collection!B:B,),"#"),"")</f>
        <v>8</v>
      </c>
      <c r="T474" s="60">
        <f t="shared" si="51"/>
        <v>1.1200000000000001</v>
      </c>
      <c r="U474" s="54" t="s">
        <v>1666</v>
      </c>
      <c r="V474" s="58" t="str">
        <f>IF(ISNUMBER(MATCH(N474,Catalog!$B$4:$B$16, 0)), "Keep", "For Sale")</f>
        <v>For Sale</v>
      </c>
      <c r="W474" s="58">
        <f t="shared" si="52"/>
        <v>1</v>
      </c>
      <c r="X474" s="58">
        <f t="shared" si="53"/>
        <v>4</v>
      </c>
      <c r="Y474" s="60">
        <f t="shared" si="54"/>
        <v>1.25</v>
      </c>
      <c r="Z474" s="60">
        <f t="shared" si="55"/>
        <v>1</v>
      </c>
      <c r="AE474"/>
      <c r="AF474"/>
      <c r="AG474"/>
    </row>
    <row r="475" spans="1:33" ht="14.4" x14ac:dyDescent="0.3">
      <c r="A475" s="13">
        <v>12622531</v>
      </c>
      <c r="B475" s="13" t="s">
        <v>1773</v>
      </c>
      <c r="C475" s="13" t="s">
        <v>951</v>
      </c>
      <c r="D475" s="13">
        <v>199</v>
      </c>
      <c r="E475" s="13" t="s">
        <v>171</v>
      </c>
      <c r="F475" s="13" t="s">
        <v>172</v>
      </c>
      <c r="H475" s="13" t="s">
        <v>1526</v>
      </c>
      <c r="I475" s="13">
        <v>81</v>
      </c>
      <c r="J475" s="13">
        <v>1</v>
      </c>
      <c r="K475" s="14">
        <v>46183</v>
      </c>
      <c r="L475" s="14">
        <v>46156</v>
      </c>
      <c r="N475" s="13">
        <v>269</v>
      </c>
      <c r="P475" s="58" t="str">
        <f t="shared" si="49"/>
        <v>Luka DoncÌŒic</v>
      </c>
      <c r="Q475" s="58" t="str">
        <f>IFERROR(_xlfn.TEXTAFTER(_xlfn.XLOOKUP(A475,Collection!A:A,Collection!C:C,),"Cards "),C475)</f>
        <v>2025 Bowman Chrome</v>
      </c>
      <c r="R475" s="58" t="str">
        <f t="shared" si="50"/>
        <v>-</v>
      </c>
      <c r="S475" s="58" t="str">
        <f>IFERROR(_xlfn.TEXTAFTER(_xlfn.XLOOKUP(A475,Collection!A:A,Collection!B:B,),"#"),"")</f>
        <v>BCV-123</v>
      </c>
      <c r="T475" s="60">
        <f t="shared" si="51"/>
        <v>1.99</v>
      </c>
      <c r="U475" s="54" t="s">
        <v>1803</v>
      </c>
      <c r="V475" s="58" t="str">
        <f>IF(ISNUMBER(MATCH(N475,Catalog!$B$4:$B$16, 0)), "Keep", "For Sale")</f>
        <v>For Sale</v>
      </c>
      <c r="W475" s="58">
        <f t="shared" si="52"/>
        <v>2</v>
      </c>
      <c r="X475" s="58">
        <f t="shared" si="53"/>
        <v>4</v>
      </c>
      <c r="Y475" s="60">
        <f t="shared" si="54"/>
        <v>2.5</v>
      </c>
      <c r="Z475" s="60">
        <f t="shared" si="55"/>
        <v>0.5</v>
      </c>
      <c r="AE475"/>
      <c r="AF475"/>
      <c r="AG475"/>
    </row>
    <row r="476" spans="1:33" ht="14.4" x14ac:dyDescent="0.3">
      <c r="A476" s="13">
        <v>12622531</v>
      </c>
      <c r="B476" s="13" t="s">
        <v>1773</v>
      </c>
      <c r="C476" s="13" t="s">
        <v>951</v>
      </c>
      <c r="D476" s="13">
        <v>199</v>
      </c>
      <c r="E476" s="13" t="s">
        <v>171</v>
      </c>
      <c r="F476" s="13" t="s">
        <v>172</v>
      </c>
      <c r="H476" s="13" t="s">
        <v>1526</v>
      </c>
      <c r="I476" s="13">
        <v>81</v>
      </c>
      <c r="J476" s="13">
        <v>1</v>
      </c>
      <c r="K476" s="14">
        <v>46157</v>
      </c>
      <c r="L476" s="14">
        <v>46156</v>
      </c>
      <c r="N476" s="13">
        <v>277</v>
      </c>
      <c r="P476" s="58" t="str">
        <f t="shared" si="49"/>
        <v>Luka DoncÌŒic</v>
      </c>
      <c r="Q476" s="58" t="str">
        <f>IFERROR(_xlfn.TEXTAFTER(_xlfn.XLOOKUP(A476,Collection!A:A,Collection!C:C,),"Cards "),C476)</f>
        <v>2025 Bowman Chrome</v>
      </c>
      <c r="R476" s="58" t="str">
        <f t="shared" si="50"/>
        <v>-</v>
      </c>
      <c r="S476" s="58" t="str">
        <f>IFERROR(_xlfn.TEXTAFTER(_xlfn.XLOOKUP(A476,Collection!A:A,Collection!B:B,),"#"),"")</f>
        <v>BCV-123</v>
      </c>
      <c r="T476" s="60">
        <f t="shared" si="51"/>
        <v>1.99</v>
      </c>
      <c r="U476" s="54" t="s">
        <v>1803</v>
      </c>
      <c r="V476" s="58" t="str">
        <f>IF(ISNUMBER(MATCH(N476,Catalog!$B$4:$B$16, 0)), "Keep", "For Sale")</f>
        <v>For Sale</v>
      </c>
      <c r="W476" s="58">
        <f t="shared" si="52"/>
        <v>2</v>
      </c>
      <c r="X476" s="58">
        <f t="shared" si="53"/>
        <v>4</v>
      </c>
      <c r="Y476" s="60">
        <f t="shared" si="54"/>
        <v>2.5</v>
      </c>
      <c r="Z476" s="60">
        <f t="shared" si="55"/>
        <v>0.5</v>
      </c>
      <c r="AE476"/>
      <c r="AF476"/>
      <c r="AG476"/>
    </row>
    <row r="477" spans="1:33" ht="14.4" x14ac:dyDescent="0.3">
      <c r="A477" s="13">
        <v>78605</v>
      </c>
      <c r="B477" s="13" t="s">
        <v>319</v>
      </c>
      <c r="C477" s="13" t="s">
        <v>320</v>
      </c>
      <c r="D477" s="13">
        <v>150</v>
      </c>
      <c r="E477" s="13" t="s">
        <v>171</v>
      </c>
      <c r="F477" s="13" t="s">
        <v>172</v>
      </c>
      <c r="I477" s="13">
        <v>0</v>
      </c>
      <c r="J477" s="13">
        <v>1</v>
      </c>
      <c r="K477" s="14">
        <v>46149</v>
      </c>
      <c r="L477" s="14">
        <v>46149</v>
      </c>
      <c r="N477" s="13">
        <v>346</v>
      </c>
      <c r="P477" s="58" t="str">
        <f t="shared" si="49"/>
        <v>Magic Johnson</v>
      </c>
      <c r="Q477" s="58" t="str">
        <f>IFERROR(_xlfn.TEXTAFTER(_xlfn.XLOOKUP(A477,Collection!A:A,Collection!C:C,),"Cards "),C477)</f>
        <v>1992 Stadium Club</v>
      </c>
      <c r="R477" s="58" t="str">
        <f t="shared" si="50"/>
        <v>-</v>
      </c>
      <c r="S477" s="58" t="str">
        <f>IFERROR(_xlfn.TEXTAFTER(_xlfn.XLOOKUP(A477,Collection!A:A,Collection!B:B,),"#"),"")</f>
        <v>32</v>
      </c>
      <c r="T477" s="60">
        <f t="shared" si="51"/>
        <v>1.5</v>
      </c>
      <c r="U477" s="54" t="s">
        <v>1656</v>
      </c>
      <c r="V477" s="58" t="str">
        <f>IF(ISNUMBER(MATCH(N477,Catalog!$B$4:$B$16, 0)), "Keep", "For Sale")</f>
        <v>For Sale</v>
      </c>
      <c r="W477" s="58">
        <f t="shared" si="52"/>
        <v>1</v>
      </c>
      <c r="X477" s="58">
        <f t="shared" si="53"/>
        <v>4</v>
      </c>
      <c r="Y477" s="60">
        <f t="shared" si="54"/>
        <v>2</v>
      </c>
      <c r="Z477" s="60">
        <f t="shared" si="55"/>
        <v>1.5</v>
      </c>
      <c r="AE477"/>
      <c r="AF477"/>
      <c r="AG477"/>
    </row>
    <row r="478" spans="1:33" ht="14.4" x14ac:dyDescent="0.3">
      <c r="A478" s="13">
        <v>7641293</v>
      </c>
      <c r="B478" s="13" t="s">
        <v>548</v>
      </c>
      <c r="C478" s="13" t="s">
        <v>549</v>
      </c>
      <c r="D478" s="13">
        <v>199</v>
      </c>
      <c r="E478" s="13" t="s">
        <v>171</v>
      </c>
      <c r="F478" s="13" t="s">
        <v>172</v>
      </c>
      <c r="I478" s="13">
        <v>0</v>
      </c>
      <c r="J478" s="13">
        <v>1</v>
      </c>
      <c r="K478" s="14">
        <v>46129</v>
      </c>
      <c r="N478" s="13">
        <v>264</v>
      </c>
      <c r="P478" s="58" t="str">
        <f t="shared" si="49"/>
        <v>Marcelo Balboa</v>
      </c>
      <c r="Q478" s="58" t="str">
        <f>IFERROR(_xlfn.TEXTAFTER(_xlfn.XLOOKUP(A478,Collection!A:A,Collection!C:C,),"Cards "),C478)</f>
        <v>1994 Upper Deck World Cup Soccer</v>
      </c>
      <c r="R478" s="58" t="str">
        <f t="shared" si="50"/>
        <v>-</v>
      </c>
      <c r="S478" s="58" t="str">
        <f>IFERROR(_xlfn.TEXTAFTER(_xlfn.XLOOKUP(A478,Collection!A:A,Collection!B:B,),"#"),"")</f>
        <v>3</v>
      </c>
      <c r="T478" s="60">
        <f t="shared" si="51"/>
        <v>1.99</v>
      </c>
      <c r="U478" s="54" t="s">
        <v>1583</v>
      </c>
      <c r="V478" s="58" t="str">
        <f>IF(ISNUMBER(MATCH(N478,Catalog!$B$4:$B$16, 0)), "Keep", "For Sale")</f>
        <v>For Sale</v>
      </c>
      <c r="W478" s="58">
        <f t="shared" si="52"/>
        <v>1</v>
      </c>
      <c r="X478" s="58">
        <f t="shared" si="53"/>
        <v>4</v>
      </c>
      <c r="Y478" s="60">
        <f t="shared" si="54"/>
        <v>2.5</v>
      </c>
      <c r="Z478" s="60">
        <f t="shared" si="55"/>
        <v>2</v>
      </c>
      <c r="AE478"/>
      <c r="AF478"/>
      <c r="AG478"/>
    </row>
    <row r="479" spans="1:33" ht="14.4" x14ac:dyDescent="0.3">
      <c r="A479" s="13">
        <v>7978663</v>
      </c>
      <c r="B479" s="13" t="s">
        <v>324</v>
      </c>
      <c r="C479" s="13" t="s">
        <v>325</v>
      </c>
      <c r="D479" s="13">
        <v>200</v>
      </c>
      <c r="E479" s="13" t="s">
        <v>171</v>
      </c>
      <c r="F479" s="13" t="s">
        <v>172</v>
      </c>
      <c r="I479" s="13">
        <v>0</v>
      </c>
      <c r="J479" s="13">
        <v>1</v>
      </c>
      <c r="K479" s="14">
        <v>46149</v>
      </c>
      <c r="N479" s="13">
        <v>258</v>
      </c>
      <c r="P479" s="58" t="str">
        <f t="shared" si="49"/>
        <v>Marcus Camby</v>
      </c>
      <c r="Q479" s="58" t="str">
        <f>IFERROR(_xlfn.TEXTAFTER(_xlfn.XLOOKUP(A479,Collection!A:A,Collection!C:C,),"Cards "),C479)</f>
        <v>1996 Collector's Choice Crash the Game</v>
      </c>
      <c r="R479" s="58" t="str">
        <f t="shared" si="50"/>
        <v>-</v>
      </c>
      <c r="S479" s="58" t="str">
        <f>IFERROR(_xlfn.TEXTAFTER(_xlfn.XLOOKUP(A479,Collection!A:A,Collection!B:B,),"#"),"")</f>
        <v>C26</v>
      </c>
      <c r="T479" s="60">
        <f t="shared" si="51"/>
        <v>2</v>
      </c>
      <c r="U479" s="54" t="s">
        <v>1639</v>
      </c>
      <c r="V479" s="58" t="str">
        <f>IF(ISNUMBER(MATCH(N479,Catalog!$B$4:$B$16, 0)), "Keep", "For Sale")</f>
        <v>For Sale</v>
      </c>
      <c r="W479" s="58">
        <f t="shared" si="52"/>
        <v>1</v>
      </c>
      <c r="X479" s="58">
        <f t="shared" si="53"/>
        <v>4</v>
      </c>
      <c r="Y479" s="60">
        <f t="shared" si="54"/>
        <v>2.5</v>
      </c>
      <c r="Z479" s="60">
        <f t="shared" si="55"/>
        <v>2</v>
      </c>
      <c r="AE479"/>
      <c r="AF479"/>
      <c r="AG479"/>
    </row>
    <row r="480" spans="1:33" ht="14.4" x14ac:dyDescent="0.3">
      <c r="A480" s="13">
        <v>7323906</v>
      </c>
      <c r="B480" s="13" t="s">
        <v>1223</v>
      </c>
      <c r="C480" s="13" t="s">
        <v>1212</v>
      </c>
      <c r="D480" s="13">
        <v>165</v>
      </c>
      <c r="E480" s="13" t="s">
        <v>171</v>
      </c>
      <c r="F480" s="13" t="s">
        <v>172</v>
      </c>
      <c r="I480" s="13">
        <v>0</v>
      </c>
      <c r="J480" s="13">
        <v>1</v>
      </c>
      <c r="K480" s="14">
        <v>46173</v>
      </c>
      <c r="N480" s="13">
        <v>364</v>
      </c>
      <c r="P480" s="58" t="str">
        <f t="shared" si="49"/>
        <v>Marcus Camby</v>
      </c>
      <c r="Q480" s="58" t="str">
        <f>IFERROR(_xlfn.TEXTAFTER(_xlfn.XLOOKUP(A480,Collection!A:A,Collection!C:C,),"Cards "),C480)</f>
        <v>1997 Ultra Neat Feats</v>
      </c>
      <c r="R480" s="58" t="str">
        <f t="shared" si="50"/>
        <v>-</v>
      </c>
      <c r="S480" s="58" t="str">
        <f>IFERROR(_xlfn.TEXTAFTER(_xlfn.XLOOKUP(A480,Collection!A:A,Collection!B:B,),"#"),"")</f>
        <v>6</v>
      </c>
      <c r="T480" s="60">
        <f t="shared" si="51"/>
        <v>1.65</v>
      </c>
      <c r="U480" s="54" t="s">
        <v>1639</v>
      </c>
      <c r="V480" s="58" t="str">
        <f>IF(ISNUMBER(MATCH(N480,Catalog!$B$4:$B$16, 0)), "Keep", "For Sale")</f>
        <v>For Sale</v>
      </c>
      <c r="W480" s="58">
        <f t="shared" si="52"/>
        <v>1</v>
      </c>
      <c r="X480" s="58">
        <f t="shared" si="53"/>
        <v>4</v>
      </c>
      <c r="Y480" s="60">
        <f t="shared" si="54"/>
        <v>2</v>
      </c>
      <c r="Z480" s="60">
        <f t="shared" si="55"/>
        <v>1.5</v>
      </c>
      <c r="AE480"/>
      <c r="AF480"/>
      <c r="AG480"/>
    </row>
    <row r="481" spans="1:33" ht="14.4" x14ac:dyDescent="0.3">
      <c r="A481" s="13">
        <v>8212141</v>
      </c>
      <c r="B481" s="13" t="s">
        <v>310</v>
      </c>
      <c r="C481" s="13" t="s">
        <v>299</v>
      </c>
      <c r="D481" s="13">
        <v>158</v>
      </c>
      <c r="E481" s="13" t="s">
        <v>171</v>
      </c>
      <c r="F481" s="13" t="s">
        <v>172</v>
      </c>
      <c r="I481" s="13">
        <v>0</v>
      </c>
      <c r="J481" s="13">
        <v>1</v>
      </c>
      <c r="K481" s="14">
        <v>46149</v>
      </c>
      <c r="N481" s="13">
        <v>389</v>
      </c>
      <c r="P481" s="58" t="str">
        <f t="shared" si="49"/>
        <v>Marcus Camby</v>
      </c>
      <c r="Q481" s="58" t="str">
        <f>IFERROR(_xlfn.TEXTAFTER(_xlfn.XLOOKUP(A481,Collection!A:A,Collection!C:C,),"Cards "),C481)</f>
        <v>1997 Ultra</v>
      </c>
      <c r="R481" s="58" t="str">
        <f t="shared" si="50"/>
        <v>-</v>
      </c>
      <c r="S481" s="58" t="str">
        <f>IFERROR(_xlfn.TEXTAFTER(_xlfn.XLOOKUP(A481,Collection!A:A,Collection!B:B,),"#"),"")</f>
        <v>253</v>
      </c>
      <c r="T481" s="60">
        <f t="shared" si="51"/>
        <v>1.58</v>
      </c>
      <c r="U481" s="54" t="s">
        <v>1639</v>
      </c>
      <c r="V481" s="58" t="str">
        <f>IF(ISNUMBER(MATCH(N481,Catalog!$B$4:$B$16, 0)), "Keep", "For Sale")</f>
        <v>For Sale</v>
      </c>
      <c r="W481" s="58">
        <f t="shared" si="52"/>
        <v>1</v>
      </c>
      <c r="X481" s="58">
        <f t="shared" si="53"/>
        <v>4</v>
      </c>
      <c r="Y481" s="60">
        <f t="shared" si="54"/>
        <v>2</v>
      </c>
      <c r="Z481" s="60">
        <f t="shared" si="55"/>
        <v>1.5</v>
      </c>
      <c r="AE481"/>
      <c r="AF481"/>
      <c r="AG481"/>
    </row>
    <row r="482" spans="1:33" ht="14.4" x14ac:dyDescent="0.3">
      <c r="A482" s="13">
        <v>2336254</v>
      </c>
      <c r="B482" s="13" t="s">
        <v>1263</v>
      </c>
      <c r="C482" s="13" t="s">
        <v>1264</v>
      </c>
      <c r="D482" s="13">
        <v>100</v>
      </c>
      <c r="E482" s="13" t="s">
        <v>171</v>
      </c>
      <c r="F482" s="13" t="s">
        <v>172</v>
      </c>
      <c r="I482" s="13">
        <v>0</v>
      </c>
      <c r="J482" s="13">
        <v>1</v>
      </c>
      <c r="K482" s="14">
        <v>46173</v>
      </c>
      <c r="N482" s="13">
        <v>545</v>
      </c>
      <c r="P482" s="58" t="str">
        <f t="shared" si="49"/>
        <v>Maurice Taylor</v>
      </c>
      <c r="Q482" s="58" t="str">
        <f>IFERROR(_xlfn.TEXTAFTER(_xlfn.XLOOKUP(A482,Collection!A:A,Collection!C:C,),"Cards "),C482)</f>
        <v>1997 Upper Deck Rookie Discovery I</v>
      </c>
      <c r="R482" s="58" t="str">
        <f t="shared" si="50"/>
        <v>-</v>
      </c>
      <c r="S482" s="58" t="str">
        <f>IFERROR(_xlfn.TEXTAFTER(_xlfn.XLOOKUP(A482,Collection!A:A,Collection!B:B,),"#"),"")</f>
        <v>R14</v>
      </c>
      <c r="T482" s="60">
        <f t="shared" si="51"/>
        <v>1</v>
      </c>
      <c r="U482" s="54" t="s">
        <v>1672</v>
      </c>
      <c r="V482" s="58" t="str">
        <f>IF(ISNUMBER(MATCH(N482,Catalog!$B$4:$B$16, 0)), "Keep", "For Sale")</f>
        <v>For Sale</v>
      </c>
      <c r="W482" s="58">
        <f t="shared" si="52"/>
        <v>1</v>
      </c>
      <c r="X482" s="58">
        <f t="shared" si="53"/>
        <v>4</v>
      </c>
      <c r="Y482" s="60">
        <f t="shared" si="54"/>
        <v>1</v>
      </c>
      <c r="Z482" s="60">
        <f t="shared" si="55"/>
        <v>1</v>
      </c>
      <c r="AE482"/>
      <c r="AF482"/>
      <c r="AG482"/>
    </row>
    <row r="483" spans="1:33" ht="14.4" x14ac:dyDescent="0.3">
      <c r="A483" s="13">
        <v>11486782</v>
      </c>
      <c r="B483" s="13" t="s">
        <v>931</v>
      </c>
      <c r="C483" s="13" t="s">
        <v>186</v>
      </c>
      <c r="D483" s="13">
        <v>100</v>
      </c>
      <c r="E483" s="13" t="s">
        <v>171</v>
      </c>
      <c r="F483" s="13" t="s">
        <v>172</v>
      </c>
      <c r="H483" s="13" t="s">
        <v>932</v>
      </c>
      <c r="I483" s="13">
        <v>0</v>
      </c>
      <c r="J483" s="13">
        <v>1</v>
      </c>
      <c r="K483" s="14">
        <v>46156</v>
      </c>
      <c r="L483" s="14">
        <v>46152</v>
      </c>
      <c r="N483" s="13">
        <v>532</v>
      </c>
      <c r="P483" s="58" t="str">
        <f t="shared" si="49"/>
        <v>Maxime Raynaud</v>
      </c>
      <c r="Q483" s="58" t="str">
        <f>IFERROR(_xlfn.TEXTAFTER(_xlfn.XLOOKUP(A483,Collection!A:A,Collection!C:C,),"Cards "),C483)</f>
        <v>2025 Topps Chrome</v>
      </c>
      <c r="R483" s="58" t="str">
        <f t="shared" si="50"/>
        <v>-</v>
      </c>
      <c r="S483" s="58" t="str">
        <f>IFERROR(_xlfn.TEXTAFTER(_xlfn.XLOOKUP(A483,Collection!A:A,Collection!B:B,),"#"),"")</f>
        <v>293</v>
      </c>
      <c r="T483" s="60">
        <f t="shared" si="51"/>
        <v>1</v>
      </c>
      <c r="U483" s="54" t="s">
        <v>1679</v>
      </c>
      <c r="V483" s="58" t="str">
        <f>IF(ISNUMBER(MATCH(N483,Catalog!$B$4:$B$16, 0)), "Keep", "For Sale")</f>
        <v>For Sale</v>
      </c>
      <c r="W483" s="58">
        <f t="shared" si="52"/>
        <v>1</v>
      </c>
      <c r="X483" s="58">
        <f t="shared" si="53"/>
        <v>4</v>
      </c>
      <c r="Y483" s="60">
        <f t="shared" si="54"/>
        <v>1</v>
      </c>
      <c r="Z483" s="60">
        <f t="shared" si="55"/>
        <v>1</v>
      </c>
      <c r="AE483"/>
      <c r="AF483"/>
      <c r="AG483"/>
    </row>
    <row r="484" spans="1:33" ht="14.4" x14ac:dyDescent="0.3">
      <c r="A484" s="13">
        <v>83394</v>
      </c>
      <c r="B484" s="13" t="s">
        <v>432</v>
      </c>
      <c r="C484" s="13" t="s">
        <v>251</v>
      </c>
      <c r="D484" s="13">
        <v>143</v>
      </c>
      <c r="E484" s="13" t="s">
        <v>171</v>
      </c>
      <c r="F484" s="13" t="s">
        <v>172</v>
      </c>
      <c r="I484" s="13">
        <v>0</v>
      </c>
      <c r="J484" s="13">
        <v>1</v>
      </c>
      <c r="K484" s="14">
        <v>46183</v>
      </c>
      <c r="N484" s="13">
        <v>446</v>
      </c>
      <c r="P484" s="58" t="str">
        <f t="shared" si="49"/>
        <v>Michael Finley</v>
      </c>
      <c r="Q484" s="58" t="str">
        <f>IFERROR(_xlfn.TEXTAFTER(_xlfn.XLOOKUP(A484,Collection!A:A,Collection!C:C,),"Cards "),C484)</f>
        <v>1995 Metal</v>
      </c>
      <c r="R484" s="58" t="str">
        <f t="shared" si="50"/>
        <v>-</v>
      </c>
      <c r="S484" s="58" t="str">
        <f>IFERROR(_xlfn.TEXTAFTER(_xlfn.XLOOKUP(A484,Collection!A:A,Collection!B:B,),"#"),"")</f>
        <v>180</v>
      </c>
      <c r="T484" s="60">
        <f t="shared" si="51"/>
        <v>1.43</v>
      </c>
      <c r="U484" s="54" t="s">
        <v>1578</v>
      </c>
      <c r="V484" s="58" t="str">
        <f>IF(ISNUMBER(MATCH(N484,Catalog!$B$4:$B$16, 0)), "Keep", "For Sale")</f>
        <v>For Sale</v>
      </c>
      <c r="W484" s="58">
        <f t="shared" si="52"/>
        <v>3</v>
      </c>
      <c r="X484" s="58">
        <f t="shared" si="53"/>
        <v>4</v>
      </c>
      <c r="Y484" s="60">
        <f t="shared" si="54"/>
        <v>1.5</v>
      </c>
      <c r="Z484" s="60">
        <f t="shared" si="55"/>
        <v>1</v>
      </c>
      <c r="AE484"/>
      <c r="AF484"/>
      <c r="AG484"/>
    </row>
    <row r="485" spans="1:33" ht="14.4" x14ac:dyDescent="0.3">
      <c r="A485" s="13">
        <v>83394</v>
      </c>
      <c r="B485" s="13" t="s">
        <v>432</v>
      </c>
      <c r="C485" s="13" t="s">
        <v>251</v>
      </c>
      <c r="D485" s="13">
        <v>143</v>
      </c>
      <c r="E485" s="13" t="s">
        <v>171</v>
      </c>
      <c r="F485" s="13" t="s">
        <v>172</v>
      </c>
      <c r="I485" s="13">
        <v>0</v>
      </c>
      <c r="J485" s="13">
        <v>1</v>
      </c>
      <c r="K485" s="14">
        <v>46183</v>
      </c>
      <c r="N485" s="13">
        <v>447</v>
      </c>
      <c r="P485" s="58" t="str">
        <f t="shared" si="49"/>
        <v>Michael Finley</v>
      </c>
      <c r="Q485" s="58" t="str">
        <f>IFERROR(_xlfn.TEXTAFTER(_xlfn.XLOOKUP(A485,Collection!A:A,Collection!C:C,),"Cards "),C485)</f>
        <v>1995 Metal</v>
      </c>
      <c r="R485" s="58" t="str">
        <f t="shared" si="50"/>
        <v>-</v>
      </c>
      <c r="S485" s="58" t="str">
        <f>IFERROR(_xlfn.TEXTAFTER(_xlfn.XLOOKUP(A485,Collection!A:A,Collection!B:B,),"#"),"")</f>
        <v>180</v>
      </c>
      <c r="T485" s="60">
        <f t="shared" si="51"/>
        <v>1.43</v>
      </c>
      <c r="U485" s="54" t="s">
        <v>1578</v>
      </c>
      <c r="V485" s="58" t="str">
        <f>IF(ISNUMBER(MATCH(N485,Catalog!$B$4:$B$16, 0)), "Keep", "For Sale")</f>
        <v>For Sale</v>
      </c>
      <c r="W485" s="58">
        <f t="shared" si="52"/>
        <v>3</v>
      </c>
      <c r="X485" s="58">
        <f t="shared" si="53"/>
        <v>4</v>
      </c>
      <c r="Y485" s="60">
        <f t="shared" si="54"/>
        <v>1.5</v>
      </c>
      <c r="Z485" s="60">
        <f t="shared" si="55"/>
        <v>1</v>
      </c>
      <c r="AE485"/>
      <c r="AF485"/>
      <c r="AG485"/>
    </row>
    <row r="486" spans="1:33" ht="14.4" x14ac:dyDescent="0.3">
      <c r="A486" s="13">
        <v>83394</v>
      </c>
      <c r="B486" s="13" t="s">
        <v>432</v>
      </c>
      <c r="C486" s="13" t="s">
        <v>251</v>
      </c>
      <c r="D486" s="13">
        <v>143</v>
      </c>
      <c r="E486" s="13" t="s">
        <v>171</v>
      </c>
      <c r="F486" s="13" t="s">
        <v>172</v>
      </c>
      <c r="I486" s="13">
        <v>0</v>
      </c>
      <c r="J486" s="13">
        <v>1</v>
      </c>
      <c r="K486" s="14">
        <v>46149</v>
      </c>
      <c r="N486" s="13">
        <v>452</v>
      </c>
      <c r="P486" s="58" t="str">
        <f t="shared" si="49"/>
        <v>Michael Finley</v>
      </c>
      <c r="Q486" s="58" t="str">
        <f>IFERROR(_xlfn.TEXTAFTER(_xlfn.XLOOKUP(A486,Collection!A:A,Collection!C:C,),"Cards "),C486)</f>
        <v>1995 Metal</v>
      </c>
      <c r="R486" s="58" t="str">
        <f t="shared" si="50"/>
        <v>-</v>
      </c>
      <c r="S486" s="58" t="str">
        <f>IFERROR(_xlfn.TEXTAFTER(_xlfn.XLOOKUP(A486,Collection!A:A,Collection!B:B,),"#"),"")</f>
        <v>180</v>
      </c>
      <c r="T486" s="60">
        <f t="shared" si="51"/>
        <v>1.43</v>
      </c>
      <c r="U486" s="54" t="s">
        <v>1578</v>
      </c>
      <c r="V486" s="58" t="str">
        <f>IF(ISNUMBER(MATCH(N486,Catalog!$B$4:$B$16, 0)), "Keep", "For Sale")</f>
        <v>For Sale</v>
      </c>
      <c r="W486" s="58">
        <f t="shared" si="52"/>
        <v>3</v>
      </c>
      <c r="X486" s="58">
        <f t="shared" si="53"/>
        <v>4</v>
      </c>
      <c r="Y486" s="60">
        <f t="shared" si="54"/>
        <v>1.5</v>
      </c>
      <c r="Z486" s="60">
        <f t="shared" si="55"/>
        <v>1</v>
      </c>
      <c r="AE486"/>
      <c r="AF486"/>
      <c r="AG486"/>
    </row>
    <row r="487" spans="1:33" ht="14.4" x14ac:dyDescent="0.3">
      <c r="A487" s="13">
        <v>6303461</v>
      </c>
      <c r="B487" s="13" t="s">
        <v>327</v>
      </c>
      <c r="C487" s="13" t="s">
        <v>328</v>
      </c>
      <c r="D487" s="13">
        <v>0</v>
      </c>
      <c r="E487" s="13" t="s">
        <v>171</v>
      </c>
      <c r="F487" s="13" t="s">
        <v>172</v>
      </c>
      <c r="I487" s="13">
        <v>0</v>
      </c>
      <c r="J487" s="13">
        <v>1</v>
      </c>
      <c r="K487" s="14">
        <v>46127</v>
      </c>
      <c r="N487" s="13">
        <v>605</v>
      </c>
      <c r="P487" s="58" t="str">
        <f t="shared" si="49"/>
        <v>Michael Finley</v>
      </c>
      <c r="Q487" s="58" t="str">
        <f>IFERROR(_xlfn.TEXTAFTER(_xlfn.XLOOKUP(A487,Collection!A:A,Collection!C:C,),"Cards "),C487)</f>
        <v>1996 Upper Deck Fast Break Connection</v>
      </c>
      <c r="R487" s="58" t="str">
        <f t="shared" si="50"/>
        <v>-</v>
      </c>
      <c r="S487" s="58" t="str">
        <f>IFERROR(_xlfn.TEXTAFTER(_xlfn.XLOOKUP(A487,Collection!A:A,Collection!B:B,),"#"),"")</f>
        <v>FB11</v>
      </c>
      <c r="T487" s="60">
        <f t="shared" si="51"/>
        <v>0</v>
      </c>
      <c r="U487" s="54" t="s">
        <v>1578</v>
      </c>
      <c r="V487" s="58" t="str">
        <f>IF(ISNUMBER(MATCH(N487,Catalog!$B$4:$B$16, 0)), "Keep", "For Sale")</f>
        <v>For Sale</v>
      </c>
      <c r="W487" s="58">
        <f t="shared" si="52"/>
        <v>1</v>
      </c>
      <c r="X487" s="58">
        <f t="shared" si="53"/>
        <v>4</v>
      </c>
      <c r="Y487" s="60">
        <f t="shared" si="54"/>
        <v>0.25</v>
      </c>
      <c r="Z487" s="60">
        <f t="shared" si="55"/>
        <v>0.25</v>
      </c>
      <c r="AE487"/>
      <c r="AF487"/>
      <c r="AG487"/>
    </row>
    <row r="488" spans="1:33" ht="14.4" x14ac:dyDescent="0.3">
      <c r="A488" s="13">
        <v>93419</v>
      </c>
      <c r="B488" s="13" t="s">
        <v>371</v>
      </c>
      <c r="C488" s="13" t="s">
        <v>372</v>
      </c>
      <c r="D488" s="13">
        <v>149</v>
      </c>
      <c r="E488" s="13" t="s">
        <v>171</v>
      </c>
      <c r="F488" s="13" t="s">
        <v>172</v>
      </c>
      <c r="I488" s="13">
        <v>0</v>
      </c>
      <c r="J488" s="13">
        <v>1</v>
      </c>
      <c r="K488" s="14">
        <v>46149</v>
      </c>
      <c r="N488" s="13">
        <v>463</v>
      </c>
      <c r="P488" s="58" t="str">
        <f t="shared" si="49"/>
        <v>Mike Bibby</v>
      </c>
      <c r="Q488" s="58" t="str">
        <f>IFERROR(_xlfn.TEXTAFTER(_xlfn.XLOOKUP(A488,Collection!A:A,Collection!C:C,),"Cards "),C488)</f>
        <v>1998 Topps</v>
      </c>
      <c r="R488" s="58" t="str">
        <f t="shared" si="50"/>
        <v>-</v>
      </c>
      <c r="S488" s="58" t="str">
        <f>IFERROR(_xlfn.TEXTAFTER(_xlfn.XLOOKUP(A488,Collection!A:A,Collection!B:B,),"#"),"")</f>
        <v>196</v>
      </c>
      <c r="T488" s="60">
        <f t="shared" si="51"/>
        <v>1.49</v>
      </c>
      <c r="U488" s="54" t="s">
        <v>1682</v>
      </c>
      <c r="V488" s="58" t="str">
        <f>IF(ISNUMBER(MATCH(N488,Catalog!$B$4:$B$16, 0)), "Keep", "For Sale")</f>
        <v>For Sale</v>
      </c>
      <c r="W488" s="58">
        <f t="shared" si="52"/>
        <v>1</v>
      </c>
      <c r="X488" s="58">
        <f t="shared" si="53"/>
        <v>4</v>
      </c>
      <c r="Y488" s="60">
        <f t="shared" si="54"/>
        <v>2</v>
      </c>
      <c r="Z488" s="60">
        <f t="shared" si="55"/>
        <v>1.25</v>
      </c>
      <c r="AE488"/>
      <c r="AF488"/>
      <c r="AG488"/>
    </row>
    <row r="489" spans="1:33" ht="14.4" x14ac:dyDescent="0.3">
      <c r="A489" s="13">
        <v>93331</v>
      </c>
      <c r="B489" s="13" t="s">
        <v>1316</v>
      </c>
      <c r="C489" s="13" t="s">
        <v>305</v>
      </c>
      <c r="D489" s="13">
        <v>99</v>
      </c>
      <c r="E489" s="13" t="s">
        <v>171</v>
      </c>
      <c r="F489" s="13" t="s">
        <v>172</v>
      </c>
      <c r="I489" s="13">
        <v>0</v>
      </c>
      <c r="J489" s="13">
        <v>1</v>
      </c>
      <c r="K489" s="14">
        <v>46173</v>
      </c>
      <c r="N489" s="13">
        <v>578</v>
      </c>
      <c r="P489" s="58" t="str">
        <f t="shared" si="49"/>
        <v>Mike Bibby</v>
      </c>
      <c r="Q489" s="58" t="str">
        <f>IFERROR(_xlfn.TEXTAFTER(_xlfn.XLOOKUP(A489,Collection!A:A,Collection!C:C,),"Cards "),C489)</f>
        <v>1998 Stadium Club</v>
      </c>
      <c r="R489" s="58" t="str">
        <f t="shared" si="50"/>
        <v>-</v>
      </c>
      <c r="S489" s="58" t="str">
        <f>IFERROR(_xlfn.TEXTAFTER(_xlfn.XLOOKUP(A489,Collection!A:A,Collection!B:B,),"#"),"")</f>
        <v>195</v>
      </c>
      <c r="T489" s="60">
        <f t="shared" si="51"/>
        <v>0.99</v>
      </c>
      <c r="U489" s="54" t="s">
        <v>1682</v>
      </c>
      <c r="V489" s="58" t="str">
        <f>IF(ISNUMBER(MATCH(N489,Catalog!$B$4:$B$16, 0)), "Keep", "For Sale")</f>
        <v>For Sale</v>
      </c>
      <c r="W489" s="58">
        <f t="shared" si="52"/>
        <v>1</v>
      </c>
      <c r="X489" s="58">
        <f t="shared" si="53"/>
        <v>4</v>
      </c>
      <c r="Y489" s="60">
        <f t="shared" si="54"/>
        <v>1</v>
      </c>
      <c r="Z489" s="60">
        <f t="shared" si="55"/>
        <v>0.75</v>
      </c>
      <c r="AE489"/>
      <c r="AF489"/>
      <c r="AG489"/>
    </row>
    <row r="490" spans="1:33" ht="14.4" x14ac:dyDescent="0.3">
      <c r="A490" s="13">
        <v>3102440</v>
      </c>
      <c r="B490" s="13" t="s">
        <v>1247</v>
      </c>
      <c r="C490" s="13" t="s">
        <v>1152</v>
      </c>
      <c r="D490" s="13">
        <v>100</v>
      </c>
      <c r="E490" s="13" t="s">
        <v>171</v>
      </c>
      <c r="F490" s="13" t="s">
        <v>172</v>
      </c>
      <c r="I490" s="13">
        <v>0</v>
      </c>
      <c r="J490" s="13">
        <v>1</v>
      </c>
      <c r="K490" s="14">
        <v>46172</v>
      </c>
      <c r="N490" s="13">
        <v>544</v>
      </c>
      <c r="P490" s="58" t="str">
        <f t="shared" si="49"/>
        <v>Pat Lennon</v>
      </c>
      <c r="Q490" s="58" t="str">
        <f>IFERROR(_xlfn.TEXTAFTER(_xlfn.XLOOKUP(A490,Collection!A:A,Collection!C:C,),"Cards "),C490)</f>
        <v>1992 Donruss</v>
      </c>
      <c r="R490" s="58" t="str">
        <f t="shared" si="50"/>
        <v>-</v>
      </c>
      <c r="S490" s="58" t="str">
        <f>IFERROR(_xlfn.TEXTAFTER(_xlfn.XLOOKUP(A490,Collection!A:A,Collection!B:B,),"#"),"")</f>
        <v>17</v>
      </c>
      <c r="T490" s="60">
        <f t="shared" si="51"/>
        <v>1</v>
      </c>
      <c r="U490" s="54" t="s">
        <v>1660</v>
      </c>
      <c r="V490" s="58" t="str">
        <f>IF(ISNUMBER(MATCH(N490,Catalog!$B$4:$B$16, 0)), "Keep", "For Sale")</f>
        <v>For Sale</v>
      </c>
      <c r="W490" s="58">
        <f t="shared" si="52"/>
        <v>1</v>
      </c>
      <c r="X490" s="58">
        <f t="shared" si="53"/>
        <v>4</v>
      </c>
      <c r="Y490" s="60">
        <f t="shared" si="54"/>
        <v>1</v>
      </c>
      <c r="Z490" s="60">
        <f t="shared" si="55"/>
        <v>1</v>
      </c>
      <c r="AE490"/>
      <c r="AF490"/>
      <c r="AG490"/>
    </row>
    <row r="491" spans="1:33" ht="14.4" x14ac:dyDescent="0.3">
      <c r="A491" s="13">
        <v>5079396</v>
      </c>
      <c r="B491" s="13" t="s">
        <v>609</v>
      </c>
      <c r="C491" s="13" t="s">
        <v>610</v>
      </c>
      <c r="D491" s="13">
        <v>132</v>
      </c>
      <c r="E491" s="13" t="s">
        <v>171</v>
      </c>
      <c r="F491" s="13" t="s">
        <v>172</v>
      </c>
      <c r="I491" s="13">
        <v>0</v>
      </c>
      <c r="J491" s="13">
        <v>1</v>
      </c>
      <c r="K491" s="14">
        <v>46129</v>
      </c>
      <c r="N491" s="13">
        <v>376</v>
      </c>
      <c r="P491" s="58" t="str">
        <f t="shared" si="49"/>
        <v>Punisher 2099</v>
      </c>
      <c r="Q491" s="58" t="str">
        <f>IFERROR(_xlfn.TEXTAFTER(_xlfn.XLOOKUP(A491,Collection!A:A,Collection!C:C,),"Cards "),C491)</f>
        <v>Marvel 1994 Flair</v>
      </c>
      <c r="R491" s="58" t="str">
        <f t="shared" si="50"/>
        <v>-</v>
      </c>
      <c r="S491" s="58" t="str">
        <f>IFERROR(_xlfn.TEXTAFTER(_xlfn.XLOOKUP(A491,Collection!A:A,Collection!B:B,),"#"),"")</f>
        <v>101</v>
      </c>
      <c r="T491" s="60">
        <f t="shared" si="51"/>
        <v>1.32</v>
      </c>
      <c r="U491" s="54" t="s">
        <v>1655</v>
      </c>
      <c r="V491" s="58" t="str">
        <f>IF(ISNUMBER(MATCH(N491,Catalog!$B$4:$B$16, 0)), "Keep", "For Sale")</f>
        <v>For Sale</v>
      </c>
      <c r="W491" s="58">
        <f t="shared" si="52"/>
        <v>1</v>
      </c>
      <c r="X491" s="58">
        <f t="shared" si="53"/>
        <v>4</v>
      </c>
      <c r="Y491" s="60">
        <f t="shared" si="54"/>
        <v>1.5</v>
      </c>
      <c r="Z491" s="60">
        <f t="shared" si="55"/>
        <v>1.25</v>
      </c>
      <c r="AE491"/>
      <c r="AF491"/>
      <c r="AG491"/>
    </row>
    <row r="492" spans="1:33" ht="14.4" x14ac:dyDescent="0.3">
      <c r="A492" s="13">
        <v>83768</v>
      </c>
      <c r="B492" s="13" t="s">
        <v>180</v>
      </c>
      <c r="C492" s="13" t="s">
        <v>181</v>
      </c>
      <c r="D492" s="13">
        <v>153</v>
      </c>
      <c r="E492" s="13" t="s">
        <v>171</v>
      </c>
      <c r="F492" s="13" t="s">
        <v>172</v>
      </c>
      <c r="I492" s="13">
        <v>0</v>
      </c>
      <c r="J492" s="13">
        <v>1</v>
      </c>
      <c r="K492" s="14">
        <v>46149</v>
      </c>
      <c r="L492" s="14">
        <v>46149</v>
      </c>
      <c r="N492" s="13">
        <v>410</v>
      </c>
      <c r="P492" s="58" t="str">
        <f t="shared" si="49"/>
        <v>Rasheed Wallace</v>
      </c>
      <c r="Q492" s="58" t="str">
        <f>IFERROR(_xlfn.TEXTAFTER(_xlfn.XLOOKUP(A492,Collection!A:A,Collection!C:C,),"Cards "),C492)</f>
        <v>1995 Upper Deck</v>
      </c>
      <c r="R492" s="58" t="str">
        <f t="shared" si="50"/>
        <v>-</v>
      </c>
      <c r="S492" s="58" t="str">
        <f>IFERROR(_xlfn.TEXTAFTER(_xlfn.XLOOKUP(A492,Collection!A:A,Collection!B:B,),"#"),"")</f>
        <v>134</v>
      </c>
      <c r="T492" s="60">
        <f t="shared" si="51"/>
        <v>1.53</v>
      </c>
      <c r="U492" s="54" t="s">
        <v>1563</v>
      </c>
      <c r="V492" s="58" t="str">
        <f>IF(ISNUMBER(MATCH(N492,Catalog!$B$4:$B$16, 0)), "Keep", "For Sale")</f>
        <v>For Sale</v>
      </c>
      <c r="W492" s="58">
        <f t="shared" si="52"/>
        <v>2</v>
      </c>
      <c r="X492" s="58">
        <f t="shared" si="53"/>
        <v>4</v>
      </c>
      <c r="Y492" s="60">
        <f t="shared" si="54"/>
        <v>2</v>
      </c>
      <c r="Z492" s="60">
        <f t="shared" si="55"/>
        <v>1.25</v>
      </c>
      <c r="AE492"/>
      <c r="AF492"/>
      <c r="AG492"/>
    </row>
    <row r="493" spans="1:33" ht="14.4" x14ac:dyDescent="0.3">
      <c r="A493" s="13">
        <v>83768</v>
      </c>
      <c r="B493" s="13" t="s">
        <v>180</v>
      </c>
      <c r="C493" s="13" t="s">
        <v>181</v>
      </c>
      <c r="D493" s="13">
        <v>153</v>
      </c>
      <c r="E493" s="13" t="s">
        <v>171</v>
      </c>
      <c r="F493" s="13" t="s">
        <v>172</v>
      </c>
      <c r="I493" s="13">
        <v>0</v>
      </c>
      <c r="J493" s="13">
        <v>1</v>
      </c>
      <c r="K493" s="14">
        <v>46183</v>
      </c>
      <c r="N493" s="13">
        <v>412</v>
      </c>
      <c r="P493" s="58" t="str">
        <f t="shared" si="49"/>
        <v>Rasheed Wallace</v>
      </c>
      <c r="Q493" s="58" t="str">
        <f>IFERROR(_xlfn.TEXTAFTER(_xlfn.XLOOKUP(A493,Collection!A:A,Collection!C:C,),"Cards "),C493)</f>
        <v>1995 Upper Deck</v>
      </c>
      <c r="R493" s="58" t="str">
        <f t="shared" si="50"/>
        <v>-</v>
      </c>
      <c r="S493" s="58" t="str">
        <f>IFERROR(_xlfn.TEXTAFTER(_xlfn.XLOOKUP(A493,Collection!A:A,Collection!B:B,),"#"),"")</f>
        <v>134</v>
      </c>
      <c r="T493" s="60">
        <f t="shared" si="51"/>
        <v>1.53</v>
      </c>
      <c r="U493" s="54" t="s">
        <v>1563</v>
      </c>
      <c r="V493" s="58" t="str">
        <f>IF(ISNUMBER(MATCH(N493,Catalog!$B$4:$B$16, 0)), "Keep", "For Sale")</f>
        <v>For Sale</v>
      </c>
      <c r="W493" s="58">
        <f t="shared" si="52"/>
        <v>2</v>
      </c>
      <c r="X493" s="58">
        <f t="shared" si="53"/>
        <v>4</v>
      </c>
      <c r="Y493" s="60">
        <f t="shared" si="54"/>
        <v>2</v>
      </c>
      <c r="Z493" s="60">
        <f t="shared" si="55"/>
        <v>1.25</v>
      </c>
      <c r="AE493"/>
      <c r="AF493"/>
      <c r="AG493"/>
    </row>
    <row r="494" spans="1:33" ht="14.4" x14ac:dyDescent="0.3">
      <c r="A494" s="13">
        <v>83399</v>
      </c>
      <c r="B494" s="13" t="s">
        <v>380</v>
      </c>
      <c r="C494" s="13" t="s">
        <v>251</v>
      </c>
      <c r="D494" s="13">
        <v>121</v>
      </c>
      <c r="E494" s="13" t="s">
        <v>171</v>
      </c>
      <c r="F494" s="13" t="s">
        <v>172</v>
      </c>
      <c r="I494" s="13">
        <v>0</v>
      </c>
      <c r="J494" s="13">
        <v>1</v>
      </c>
      <c r="K494" s="14">
        <v>46183</v>
      </c>
      <c r="N494" s="13">
        <v>476</v>
      </c>
      <c r="P494" s="58" t="str">
        <f t="shared" si="49"/>
        <v>Rasheed Wallace</v>
      </c>
      <c r="Q494" s="58" t="str">
        <f>IFERROR(_xlfn.TEXTAFTER(_xlfn.XLOOKUP(A494,Collection!A:A,Collection!C:C,),"Cards "),C494)</f>
        <v>1995 Metal</v>
      </c>
      <c r="R494" s="58" t="str">
        <f t="shared" si="50"/>
        <v>-</v>
      </c>
      <c r="S494" s="58" t="str">
        <f>IFERROR(_xlfn.TEXTAFTER(_xlfn.XLOOKUP(A494,Collection!A:A,Collection!B:B,),"#"),"")</f>
        <v>208</v>
      </c>
      <c r="T494" s="60">
        <f t="shared" si="51"/>
        <v>1.21</v>
      </c>
      <c r="U494" s="54" t="s">
        <v>1563</v>
      </c>
      <c r="V494" s="58" t="str">
        <f>IF(ISNUMBER(MATCH(N494,Catalog!$B$4:$B$16, 0)), "Keep", "For Sale")</f>
        <v>For Sale</v>
      </c>
      <c r="W494" s="58">
        <f t="shared" si="52"/>
        <v>3</v>
      </c>
      <c r="X494" s="58">
        <f t="shared" si="53"/>
        <v>4</v>
      </c>
      <c r="Y494" s="60">
        <f t="shared" si="54"/>
        <v>1.25</v>
      </c>
      <c r="Z494" s="60">
        <f t="shared" si="55"/>
        <v>1</v>
      </c>
      <c r="AE494"/>
      <c r="AF494"/>
      <c r="AG494"/>
    </row>
    <row r="495" spans="1:33" ht="14.4" x14ac:dyDescent="0.3">
      <c r="A495" s="13">
        <v>83399</v>
      </c>
      <c r="B495" s="13" t="s">
        <v>380</v>
      </c>
      <c r="C495" s="13" t="s">
        <v>251</v>
      </c>
      <c r="D495" s="13">
        <v>121</v>
      </c>
      <c r="E495" s="13" t="s">
        <v>171</v>
      </c>
      <c r="F495" s="13" t="s">
        <v>172</v>
      </c>
      <c r="I495" s="13">
        <v>0</v>
      </c>
      <c r="J495" s="13">
        <v>1</v>
      </c>
      <c r="K495" s="14">
        <v>46183</v>
      </c>
      <c r="N495" s="13">
        <v>477</v>
      </c>
      <c r="P495" s="58" t="str">
        <f t="shared" si="49"/>
        <v>Rasheed Wallace</v>
      </c>
      <c r="Q495" s="58" t="str">
        <f>IFERROR(_xlfn.TEXTAFTER(_xlfn.XLOOKUP(A495,Collection!A:A,Collection!C:C,),"Cards "),C495)</f>
        <v>1995 Metal</v>
      </c>
      <c r="R495" s="58" t="str">
        <f t="shared" si="50"/>
        <v>-</v>
      </c>
      <c r="S495" s="58" t="str">
        <f>IFERROR(_xlfn.TEXTAFTER(_xlfn.XLOOKUP(A495,Collection!A:A,Collection!B:B,),"#"),"")</f>
        <v>208</v>
      </c>
      <c r="T495" s="60">
        <f t="shared" si="51"/>
        <v>1.21</v>
      </c>
      <c r="U495" s="54" t="s">
        <v>1563</v>
      </c>
      <c r="V495" s="58" t="str">
        <f>IF(ISNUMBER(MATCH(N495,Catalog!$B$4:$B$16, 0)), "Keep", "For Sale")</f>
        <v>For Sale</v>
      </c>
      <c r="W495" s="58">
        <f t="shared" si="52"/>
        <v>3</v>
      </c>
      <c r="X495" s="58">
        <f t="shared" si="53"/>
        <v>4</v>
      </c>
      <c r="Y495" s="60">
        <f t="shared" si="54"/>
        <v>1.25</v>
      </c>
      <c r="Z495" s="60">
        <f t="shared" si="55"/>
        <v>1</v>
      </c>
      <c r="AE495"/>
      <c r="AF495"/>
      <c r="AG495"/>
    </row>
    <row r="496" spans="1:33" ht="14.4" x14ac:dyDescent="0.3">
      <c r="A496" s="13">
        <v>83399</v>
      </c>
      <c r="B496" s="13" t="s">
        <v>380</v>
      </c>
      <c r="C496" s="13" t="s">
        <v>251</v>
      </c>
      <c r="D496" s="13">
        <v>121</v>
      </c>
      <c r="E496" s="13" t="s">
        <v>171</v>
      </c>
      <c r="F496" s="13" t="s">
        <v>172</v>
      </c>
      <c r="I496" s="13">
        <v>0</v>
      </c>
      <c r="J496" s="13">
        <v>1</v>
      </c>
      <c r="K496" s="14">
        <v>46166</v>
      </c>
      <c r="N496" s="13">
        <v>480</v>
      </c>
      <c r="P496" s="58" t="str">
        <f t="shared" si="49"/>
        <v>Rasheed Wallace</v>
      </c>
      <c r="Q496" s="58" t="str">
        <f>IFERROR(_xlfn.TEXTAFTER(_xlfn.XLOOKUP(A496,Collection!A:A,Collection!C:C,),"Cards "),C496)</f>
        <v>1995 Metal</v>
      </c>
      <c r="R496" s="58" t="str">
        <f t="shared" si="50"/>
        <v>-</v>
      </c>
      <c r="S496" s="58" t="str">
        <f>IFERROR(_xlfn.TEXTAFTER(_xlfn.XLOOKUP(A496,Collection!A:A,Collection!B:B,),"#"),"")</f>
        <v>208</v>
      </c>
      <c r="T496" s="60">
        <f t="shared" si="51"/>
        <v>1.21</v>
      </c>
      <c r="U496" s="54" t="s">
        <v>1563</v>
      </c>
      <c r="V496" s="58" t="str">
        <f>IF(ISNUMBER(MATCH(N496,Catalog!$B$4:$B$16, 0)), "Keep", "For Sale")</f>
        <v>For Sale</v>
      </c>
      <c r="W496" s="58">
        <f t="shared" si="52"/>
        <v>3</v>
      </c>
      <c r="X496" s="58">
        <f t="shared" si="53"/>
        <v>4</v>
      </c>
      <c r="Y496" s="60">
        <f t="shared" si="54"/>
        <v>1.25</v>
      </c>
      <c r="Z496" s="60">
        <f t="shared" si="55"/>
        <v>1</v>
      </c>
      <c r="AE496"/>
      <c r="AF496"/>
      <c r="AG496"/>
    </row>
    <row r="497" spans="1:33" ht="14.4" x14ac:dyDescent="0.3">
      <c r="A497" s="13">
        <v>85400</v>
      </c>
      <c r="B497" s="13" t="s">
        <v>215</v>
      </c>
      <c r="C497" s="13" t="s">
        <v>216</v>
      </c>
      <c r="D497" s="13">
        <v>158</v>
      </c>
      <c r="E497" s="13" t="s">
        <v>171</v>
      </c>
      <c r="F497" s="13" t="s">
        <v>172</v>
      </c>
      <c r="I497" s="13">
        <v>0</v>
      </c>
      <c r="J497" s="13">
        <v>1</v>
      </c>
      <c r="K497" s="14">
        <v>46129</v>
      </c>
      <c r="N497" s="13">
        <v>280</v>
      </c>
      <c r="P497" s="58" t="str">
        <f t="shared" si="49"/>
        <v>Ray Allen</v>
      </c>
      <c r="Q497" s="58" t="str">
        <f>IFERROR(_xlfn.TEXTAFTER(_xlfn.XLOOKUP(A497,Collection!A:A,Collection!C:C,),"Cards "),C497)</f>
        <v>1996 Fleer Metal</v>
      </c>
      <c r="R497" s="58" t="str">
        <f t="shared" si="50"/>
        <v>-</v>
      </c>
      <c r="S497" s="58" t="str">
        <f>IFERROR(_xlfn.TEXTAFTER(_xlfn.XLOOKUP(A497,Collection!A:A,Collection!B:B,),"#"),"")</f>
        <v>136</v>
      </c>
      <c r="T497" s="60">
        <f t="shared" si="51"/>
        <v>1.58</v>
      </c>
      <c r="U497" s="54" t="s">
        <v>1593</v>
      </c>
      <c r="V497" s="58" t="str">
        <f>IF(ISNUMBER(MATCH(N497,Catalog!$B$4:$B$16, 0)), "Keep", "For Sale")</f>
        <v>For Sale</v>
      </c>
      <c r="W497" s="58">
        <f t="shared" si="52"/>
        <v>1</v>
      </c>
      <c r="X497" s="58">
        <f t="shared" si="53"/>
        <v>4</v>
      </c>
      <c r="Y497" s="60">
        <f t="shared" si="54"/>
        <v>2</v>
      </c>
      <c r="Z497" s="60">
        <f t="shared" si="55"/>
        <v>1.5</v>
      </c>
      <c r="AE497"/>
      <c r="AF497"/>
      <c r="AG497"/>
    </row>
    <row r="498" spans="1:33" ht="14.4" x14ac:dyDescent="0.3">
      <c r="A498" s="13">
        <v>9782911</v>
      </c>
      <c r="B498" s="13" t="s">
        <v>584</v>
      </c>
      <c r="C498" s="13" t="s">
        <v>585</v>
      </c>
      <c r="D498" s="13">
        <v>182</v>
      </c>
      <c r="E498" s="13" t="s">
        <v>171</v>
      </c>
      <c r="F498" s="13" t="s">
        <v>172</v>
      </c>
      <c r="H498" s="13" t="s">
        <v>539</v>
      </c>
      <c r="I498" s="13">
        <v>23</v>
      </c>
      <c r="J498" s="13">
        <v>1</v>
      </c>
      <c r="K498" s="14">
        <v>46154</v>
      </c>
      <c r="L498" s="14">
        <v>46148</v>
      </c>
      <c r="N498" s="13">
        <v>298</v>
      </c>
      <c r="P498" s="58" t="str">
        <f t="shared" si="49"/>
        <v>Reed Sheppard</v>
      </c>
      <c r="Q498" s="58" t="str">
        <f>IFERROR(_xlfn.TEXTAFTER(_xlfn.XLOOKUP(A498,Collection!A:A,Collection!C:C,),"Cards "),C498)</f>
        <v>2024 Panini Select</v>
      </c>
      <c r="R498" s="58" t="str">
        <f t="shared" si="50"/>
        <v>Blue Cracked Ice Prizm</v>
      </c>
      <c r="S498" s="58" t="str">
        <f>IFERROR(_xlfn.TEXTAFTER(_xlfn.XLOOKUP(A498,Collection!A:A,Collection!B:B,),"#"),"")</f>
        <v>68</v>
      </c>
      <c r="T498" s="60">
        <f t="shared" si="51"/>
        <v>1.82</v>
      </c>
      <c r="U498" s="54" t="s">
        <v>1629</v>
      </c>
      <c r="V498" s="58" t="str">
        <f>IF(ISNUMBER(MATCH(N498,Catalog!$B$4:$B$16, 0)), "Keep", "For Sale")</f>
        <v>For Sale</v>
      </c>
      <c r="W498" s="58">
        <f t="shared" si="52"/>
        <v>1</v>
      </c>
      <c r="X498" s="58">
        <f t="shared" si="53"/>
        <v>4</v>
      </c>
      <c r="Y498" s="60">
        <f t="shared" si="54"/>
        <v>2</v>
      </c>
      <c r="Z498" s="60">
        <f t="shared" si="55"/>
        <v>0.25</v>
      </c>
      <c r="AE498"/>
      <c r="AF498"/>
      <c r="AG498"/>
    </row>
    <row r="499" spans="1:33" ht="14.4" x14ac:dyDescent="0.3">
      <c r="A499" s="13">
        <v>12615114</v>
      </c>
      <c r="B499" s="13" t="s">
        <v>1262</v>
      </c>
      <c r="C499" s="13" t="s">
        <v>560</v>
      </c>
      <c r="D499" s="13">
        <v>99</v>
      </c>
      <c r="E499" s="13" t="s">
        <v>171</v>
      </c>
      <c r="F499" s="13" t="s">
        <v>172</v>
      </c>
      <c r="I499" s="13">
        <v>0</v>
      </c>
      <c r="J499" s="13">
        <v>1</v>
      </c>
      <c r="K499" s="14">
        <v>46172</v>
      </c>
      <c r="N499" s="13">
        <v>569</v>
      </c>
      <c r="P499" s="58" t="str">
        <f t="shared" si="49"/>
        <v>Reed Sheppard</v>
      </c>
      <c r="Q499" s="58" t="str">
        <f>IFERROR(_xlfn.TEXTAFTER(_xlfn.XLOOKUP(A499,Collection!A:A,Collection!C:C,),"Cards "),C499)</f>
        <v>2025 Bowman</v>
      </c>
      <c r="R499" s="58" t="str">
        <f t="shared" si="50"/>
        <v>-</v>
      </c>
      <c r="S499" s="58" t="str">
        <f>IFERROR(_xlfn.TEXTAFTER(_xlfn.XLOOKUP(A499,Collection!A:A,Collection!B:B,),"#"),"")</f>
        <v>135</v>
      </c>
      <c r="T499" s="60">
        <f t="shared" si="51"/>
        <v>0.99</v>
      </c>
      <c r="U499" s="54" t="s">
        <v>1629</v>
      </c>
      <c r="V499" s="58" t="str">
        <f>IF(ISNUMBER(MATCH(N499,Catalog!$B$4:$B$16, 0)), "Keep", "For Sale")</f>
        <v>For Sale</v>
      </c>
      <c r="W499" s="58">
        <f t="shared" si="52"/>
        <v>1</v>
      </c>
      <c r="X499" s="58">
        <f t="shared" si="53"/>
        <v>4</v>
      </c>
      <c r="Y499" s="60">
        <f t="shared" si="54"/>
        <v>1</v>
      </c>
      <c r="Z499" s="60">
        <f t="shared" si="55"/>
        <v>0.75</v>
      </c>
      <c r="AE499"/>
      <c r="AF499"/>
      <c r="AG499"/>
    </row>
    <row r="500" spans="1:33" ht="14.4" x14ac:dyDescent="0.3">
      <c r="A500" s="13">
        <v>8151713</v>
      </c>
      <c r="B500" s="13" t="s">
        <v>1027</v>
      </c>
      <c r="C500" s="13" t="s">
        <v>1028</v>
      </c>
      <c r="D500" s="13">
        <v>189</v>
      </c>
      <c r="E500" s="13" t="s">
        <v>171</v>
      </c>
      <c r="F500" s="13" t="s">
        <v>172</v>
      </c>
      <c r="H500" s="13" t="s">
        <v>1029</v>
      </c>
      <c r="I500" s="13">
        <v>190</v>
      </c>
      <c r="J500" s="13">
        <v>1</v>
      </c>
      <c r="K500" s="14">
        <v>46163</v>
      </c>
      <c r="L500" s="14">
        <v>46150</v>
      </c>
      <c r="N500" s="13">
        <v>310</v>
      </c>
      <c r="P500" s="58" t="str">
        <f t="shared" si="49"/>
        <v>Robert Parish</v>
      </c>
      <c r="Q500" s="58" t="str">
        <f>IFERROR(_xlfn.TEXTAFTER(_xlfn.XLOOKUP(A500,Collection!A:A,Collection!C:C,),"Cards "),C500)</f>
        <v>2023 Topps Cosmic Chrome</v>
      </c>
      <c r="R500" s="58" t="str">
        <f t="shared" si="50"/>
        <v>-</v>
      </c>
      <c r="S500" s="58" t="str">
        <f>IFERROR(_xlfn.TEXTAFTER(_xlfn.XLOOKUP(A500,Collection!A:A,Collection!B:B,),"#"),"")</f>
        <v>140</v>
      </c>
      <c r="T500" s="60">
        <f t="shared" si="51"/>
        <v>1.89</v>
      </c>
      <c r="U500" s="54" t="s">
        <v>1701</v>
      </c>
      <c r="V500" s="58" t="str">
        <f>IF(ISNUMBER(MATCH(N500,Catalog!$B$4:$B$16, 0)), "Keep", "For Sale")</f>
        <v>For Sale</v>
      </c>
      <c r="W500" s="58">
        <f t="shared" si="52"/>
        <v>1</v>
      </c>
      <c r="X500" s="58">
        <f t="shared" si="53"/>
        <v>4</v>
      </c>
      <c r="Y500" s="60">
        <f t="shared" si="54"/>
        <v>2.5</v>
      </c>
      <c r="Z500" s="60">
        <f t="shared" si="55"/>
        <v>2</v>
      </c>
      <c r="AE500"/>
      <c r="AF500"/>
      <c r="AG500"/>
    </row>
    <row r="501" spans="1:33" ht="14.4" x14ac:dyDescent="0.3">
      <c r="A501" s="13">
        <v>94132</v>
      </c>
      <c r="B501" s="13" t="s">
        <v>300</v>
      </c>
      <c r="C501" s="13" t="s">
        <v>189</v>
      </c>
      <c r="D501" s="13">
        <v>125</v>
      </c>
      <c r="E501" s="13" t="s">
        <v>171</v>
      </c>
      <c r="F501" s="13" t="s">
        <v>172</v>
      </c>
      <c r="I501" s="13">
        <v>0</v>
      </c>
      <c r="J501" s="13">
        <v>1</v>
      </c>
      <c r="K501" s="14">
        <v>46129</v>
      </c>
      <c r="N501" s="13">
        <v>483</v>
      </c>
      <c r="P501" s="58" t="str">
        <f t="shared" si="49"/>
        <v>Ruben Patterson</v>
      </c>
      <c r="Q501" s="58" t="str">
        <f>IFERROR(_xlfn.TEXTAFTER(_xlfn.XLOOKUP(A501,Collection!A:A,Collection!C:C,),"Cards "),C501)</f>
        <v>1998 Upper Deck Black Diamond</v>
      </c>
      <c r="R501" s="58" t="str">
        <f t="shared" si="50"/>
        <v>-</v>
      </c>
      <c r="S501" s="58" t="str">
        <f>IFERROR(_xlfn.TEXTAFTER(_xlfn.XLOOKUP(A501,Collection!A:A,Collection!B:B,),"#"),"")</f>
        <v>115</v>
      </c>
      <c r="T501" s="60">
        <f t="shared" si="51"/>
        <v>1.25</v>
      </c>
      <c r="U501" s="54" t="s">
        <v>1646</v>
      </c>
      <c r="V501" s="58" t="str">
        <f>IF(ISNUMBER(MATCH(N501,Catalog!$B$4:$B$16, 0)), "Keep", "For Sale")</f>
        <v>For Sale</v>
      </c>
      <c r="W501" s="58">
        <f t="shared" si="52"/>
        <v>1</v>
      </c>
      <c r="X501" s="58">
        <f t="shared" si="53"/>
        <v>4</v>
      </c>
      <c r="Y501" s="60">
        <f t="shared" si="54"/>
        <v>1.5</v>
      </c>
      <c r="Z501" s="60">
        <f t="shared" si="55"/>
        <v>1.25</v>
      </c>
      <c r="AE501"/>
      <c r="AF501"/>
      <c r="AG501"/>
    </row>
    <row r="502" spans="1:33" ht="14.4" x14ac:dyDescent="0.3">
      <c r="A502" s="13">
        <v>2730182</v>
      </c>
      <c r="B502" s="13" t="s">
        <v>1776</v>
      </c>
      <c r="C502" s="13" t="s">
        <v>549</v>
      </c>
      <c r="D502" s="13">
        <v>100</v>
      </c>
      <c r="E502" s="13" t="s">
        <v>171</v>
      </c>
      <c r="F502" s="13" t="s">
        <v>172</v>
      </c>
      <c r="I502" s="13">
        <v>0</v>
      </c>
      <c r="J502" s="13">
        <v>1</v>
      </c>
      <c r="K502" s="14">
        <v>46186</v>
      </c>
      <c r="N502" s="13">
        <v>330</v>
      </c>
      <c r="P502" s="58" t="str">
        <f t="shared" si="49"/>
        <v>Ryan Giggs</v>
      </c>
      <c r="Q502" s="58" t="str">
        <f>IFERROR(_xlfn.TEXTAFTER(_xlfn.XLOOKUP(A502,Collection!A:A,Collection!C:C,),"Cards "),C502)</f>
        <v>1994 Upper Deck World Cup Soccer</v>
      </c>
      <c r="R502" s="58" t="str">
        <f t="shared" si="50"/>
        <v>-</v>
      </c>
      <c r="S502" s="58" t="str">
        <f>IFERROR(_xlfn.TEXTAFTER(_xlfn.XLOOKUP(A502,Collection!A:A,Collection!B:B,),"#"),"")</f>
        <v>282</v>
      </c>
      <c r="T502" s="60">
        <f t="shared" si="51"/>
        <v>1</v>
      </c>
      <c r="U502" s="54" t="s">
        <v>1806</v>
      </c>
      <c r="V502" s="58" t="str">
        <f>IF(ISNUMBER(MATCH(N502,Catalog!$B$4:$B$16, 0)), "Keep", "For Sale")</f>
        <v>For Sale</v>
      </c>
      <c r="W502" s="58">
        <f t="shared" si="52"/>
        <v>1</v>
      </c>
      <c r="X502" s="58">
        <f t="shared" si="53"/>
        <v>4</v>
      </c>
      <c r="Y502" s="60">
        <f t="shared" si="54"/>
        <v>1</v>
      </c>
      <c r="Z502" s="60">
        <f t="shared" si="55"/>
        <v>1</v>
      </c>
      <c r="AE502"/>
      <c r="AF502"/>
      <c r="AG502"/>
    </row>
    <row r="503" spans="1:33" ht="14.4" x14ac:dyDescent="0.3">
      <c r="A503" s="13">
        <v>4110760</v>
      </c>
      <c r="B503" s="13" t="s">
        <v>1760</v>
      </c>
      <c r="C503" s="13" t="s">
        <v>864</v>
      </c>
      <c r="D503" s="13">
        <v>208</v>
      </c>
      <c r="E503" s="13" t="s">
        <v>171</v>
      </c>
      <c r="F503" s="13" t="s">
        <v>172</v>
      </c>
      <c r="H503" s="13" t="s">
        <v>865</v>
      </c>
      <c r="I503" s="13">
        <v>350</v>
      </c>
      <c r="J503" s="13">
        <v>1</v>
      </c>
      <c r="K503" s="14">
        <v>46157</v>
      </c>
      <c r="L503" s="14">
        <v>46156</v>
      </c>
      <c r="N503" s="13">
        <v>247</v>
      </c>
      <c r="P503" s="58" t="str">
        <f t="shared" si="49"/>
        <v>Shai Gilgeous Alexander</v>
      </c>
      <c r="Q503" s="58" t="str">
        <f>IFERROR(_xlfn.TEXTAFTER(_xlfn.XLOOKUP(A503,Collection!A:A,Collection!C:C,),"Cards "),C503)</f>
        <v>2021 Panini Donruss Optic</v>
      </c>
      <c r="R503" s="58" t="str">
        <f t="shared" si="50"/>
        <v>Holo</v>
      </c>
      <c r="S503" s="58" t="str">
        <f>IFERROR(_xlfn.TEXTAFTER(_xlfn.XLOOKUP(A503,Collection!A:A,Collection!B:B,),"#"),"")</f>
        <v>147</v>
      </c>
      <c r="T503" s="60">
        <f t="shared" si="51"/>
        <v>2.08</v>
      </c>
      <c r="U503" s="54" t="s">
        <v>1574</v>
      </c>
      <c r="V503" s="58" t="str">
        <f>IF(ISNUMBER(MATCH(N503,Catalog!$B$4:$B$16, 0)), "Keep", "For Sale")</f>
        <v>For Sale</v>
      </c>
      <c r="W503" s="58">
        <f t="shared" si="52"/>
        <v>1</v>
      </c>
      <c r="X503" s="58">
        <f t="shared" si="53"/>
        <v>4</v>
      </c>
      <c r="Y503" s="60">
        <f t="shared" si="54"/>
        <v>4</v>
      </c>
      <c r="Z503" s="60">
        <f t="shared" si="55"/>
        <v>2</v>
      </c>
      <c r="AE503"/>
      <c r="AF503"/>
      <c r="AG503"/>
    </row>
    <row r="504" spans="1:33" ht="14.4" x14ac:dyDescent="0.3">
      <c r="A504" s="13">
        <v>4815724</v>
      </c>
      <c r="B504" s="13" t="s">
        <v>1762</v>
      </c>
      <c r="C504" s="13" t="s">
        <v>552</v>
      </c>
      <c r="D504" s="13">
        <v>199</v>
      </c>
      <c r="E504" s="13" t="s">
        <v>171</v>
      </c>
      <c r="F504" s="13" t="s">
        <v>172</v>
      </c>
      <c r="H504" s="13" t="s">
        <v>553</v>
      </c>
      <c r="I504" s="13">
        <v>662</v>
      </c>
      <c r="J504" s="13">
        <v>1</v>
      </c>
      <c r="K504" s="14">
        <v>46154</v>
      </c>
      <c r="L504" s="14">
        <v>46146</v>
      </c>
      <c r="N504" s="13">
        <v>239</v>
      </c>
      <c r="P504" s="58" t="str">
        <f t="shared" si="49"/>
        <v>Shai Gilgeous Alexander</v>
      </c>
      <c r="Q504" s="58" t="str">
        <f>IFERROR(_xlfn.TEXTAFTER(_xlfn.XLOOKUP(A504,Collection!A:A,Collection!C:C,),"Cards "),C504)</f>
        <v>2022 Panini Prizm Draft Picks</v>
      </c>
      <c r="R504" s="58" t="str">
        <f t="shared" si="50"/>
        <v>Silver</v>
      </c>
      <c r="S504" s="58" t="str">
        <f>IFERROR(_xlfn.TEXTAFTER(_xlfn.XLOOKUP(A504,Collection!A:A,Collection!B:B,),"#"),"")</f>
        <v>43</v>
      </c>
      <c r="T504" s="60">
        <f t="shared" si="51"/>
        <v>1.99</v>
      </c>
      <c r="U504" s="54" t="s">
        <v>1574</v>
      </c>
      <c r="V504" s="58" t="str">
        <f>IF(ISNUMBER(MATCH(N504,Catalog!$B$4:$B$16, 0)), "Keep", "For Sale")</f>
        <v>For Sale</v>
      </c>
      <c r="W504" s="58">
        <f t="shared" si="52"/>
        <v>1</v>
      </c>
      <c r="X504" s="58">
        <f t="shared" si="53"/>
        <v>4</v>
      </c>
      <c r="Y504" s="60">
        <f t="shared" si="54"/>
        <v>8</v>
      </c>
      <c r="Z504" s="60">
        <f t="shared" si="55"/>
        <v>2</v>
      </c>
      <c r="AE504"/>
      <c r="AF504"/>
      <c r="AG504"/>
    </row>
    <row r="505" spans="1:33" ht="14.4" x14ac:dyDescent="0.3">
      <c r="A505" s="13">
        <v>3727518</v>
      </c>
      <c r="B505" s="13" t="s">
        <v>1770</v>
      </c>
      <c r="C505" s="13" t="s">
        <v>338</v>
      </c>
      <c r="D505" s="13">
        <v>147</v>
      </c>
      <c r="E505" s="13" t="s">
        <v>171</v>
      </c>
      <c r="F505" s="13" t="s">
        <v>172</v>
      </c>
      <c r="H505" s="13" t="s">
        <v>556</v>
      </c>
      <c r="I505" s="13">
        <v>297</v>
      </c>
      <c r="J505" s="13">
        <v>1</v>
      </c>
      <c r="K505" s="14">
        <v>46154</v>
      </c>
      <c r="L505" s="14">
        <v>46150</v>
      </c>
      <c r="N505" s="13">
        <v>363</v>
      </c>
      <c r="P505" s="58" t="str">
        <f t="shared" si="49"/>
        <v>Shai Gilgeous Alexander</v>
      </c>
      <c r="Q505" s="58" t="str">
        <f>IFERROR(_xlfn.TEXTAFTER(_xlfn.XLOOKUP(A505,Collection!A:A,Collection!C:C,),"Cards "),C505)</f>
        <v>2021 Panini Prizm</v>
      </c>
      <c r="R505" s="58" t="str">
        <f t="shared" si="50"/>
        <v>-</v>
      </c>
      <c r="S505" s="58" t="str">
        <f>IFERROR(_xlfn.TEXTAFTER(_xlfn.XLOOKUP(A505,Collection!A:A,Collection!B:B,),"#"),"")</f>
        <v>238</v>
      </c>
      <c r="T505" s="60">
        <f t="shared" si="51"/>
        <v>1.47</v>
      </c>
      <c r="U505" s="54" t="s">
        <v>1574</v>
      </c>
      <c r="V505" s="58" t="str">
        <f>IF(ISNUMBER(MATCH(N505,Catalog!$B$4:$B$16, 0)), "Keep", "For Sale")</f>
        <v>For Sale</v>
      </c>
      <c r="W505" s="58">
        <f t="shared" si="52"/>
        <v>1</v>
      </c>
      <c r="X505" s="58">
        <f t="shared" si="53"/>
        <v>4</v>
      </c>
      <c r="Y505" s="60">
        <f t="shared" si="54"/>
        <v>4</v>
      </c>
      <c r="Z505" s="60">
        <f t="shared" si="55"/>
        <v>1.25</v>
      </c>
      <c r="AE505"/>
      <c r="AF505"/>
      <c r="AG505"/>
    </row>
    <row r="506" spans="1:33" ht="14.4" x14ac:dyDescent="0.3">
      <c r="A506" s="13">
        <v>11673540</v>
      </c>
      <c r="B506" s="13" t="s">
        <v>361</v>
      </c>
      <c r="C506" s="13" t="s">
        <v>285</v>
      </c>
      <c r="D506" s="13">
        <v>195</v>
      </c>
      <c r="E506" s="13" t="s">
        <v>171</v>
      </c>
      <c r="F506" s="13" t="s">
        <v>172</v>
      </c>
      <c r="I506" s="13">
        <v>0</v>
      </c>
      <c r="J506" s="13">
        <v>1</v>
      </c>
      <c r="K506" s="14">
        <v>46127</v>
      </c>
      <c r="N506" s="13">
        <v>203</v>
      </c>
      <c r="P506" s="58" t="str">
        <f t="shared" si="49"/>
        <v>Shareef Abdur-Rahim</v>
      </c>
      <c r="Q506" s="58" t="str">
        <f>IFERROR(_xlfn.TEXTAFTER(_xlfn.XLOOKUP(A506,Collection!A:A,Collection!C:C,),"Cards "),C506)</f>
        <v>1996 Skybox Premium Intimidators</v>
      </c>
      <c r="R506" s="58" t="str">
        <f t="shared" si="50"/>
        <v>-</v>
      </c>
      <c r="S506" s="58" t="str">
        <f>IFERROR(_xlfn.TEXTAFTER(_xlfn.XLOOKUP(A506,Collection!A:A,Collection!B:B,),"#"),"")</f>
        <v>1</v>
      </c>
      <c r="T506" s="60">
        <f t="shared" si="51"/>
        <v>1.95</v>
      </c>
      <c r="U506" s="54" t="s">
        <v>1647</v>
      </c>
      <c r="V506" s="58" t="str">
        <f>IF(ISNUMBER(MATCH(N506,Catalog!$B$4:$B$16, 0)), "Keep", "For Sale")</f>
        <v>For Sale</v>
      </c>
      <c r="W506" s="58">
        <f t="shared" si="52"/>
        <v>1</v>
      </c>
      <c r="X506" s="58">
        <f t="shared" si="53"/>
        <v>4</v>
      </c>
      <c r="Y506" s="60">
        <f t="shared" si="54"/>
        <v>2.5</v>
      </c>
      <c r="Z506" s="60">
        <f t="shared" si="55"/>
        <v>2</v>
      </c>
      <c r="AE506"/>
      <c r="AF506"/>
      <c r="AG506"/>
    </row>
    <row r="507" spans="1:33" ht="14.4" x14ac:dyDescent="0.3">
      <c r="A507" s="13">
        <v>2368478</v>
      </c>
      <c r="B507" s="13" t="s">
        <v>301</v>
      </c>
      <c r="C507" s="13" t="s">
        <v>216</v>
      </c>
      <c r="D507" s="13">
        <v>99</v>
      </c>
      <c r="E507" s="13" t="s">
        <v>171</v>
      </c>
      <c r="F507" s="13" t="s">
        <v>172</v>
      </c>
      <c r="I507" s="13">
        <v>0</v>
      </c>
      <c r="J507" s="13">
        <v>1</v>
      </c>
      <c r="K507" s="14">
        <v>46129</v>
      </c>
      <c r="N507" s="13">
        <v>562</v>
      </c>
      <c r="P507" s="58" t="str">
        <f t="shared" si="49"/>
        <v>Shareef Abdur-Rahim</v>
      </c>
      <c r="Q507" s="58" t="str">
        <f>IFERROR(_xlfn.TEXTAFTER(_xlfn.XLOOKUP(A507,Collection!A:A,Collection!C:C,),"Cards "),C507)</f>
        <v>1996 Fleer Metal</v>
      </c>
      <c r="R507" s="58" t="str">
        <f t="shared" si="50"/>
        <v>-</v>
      </c>
      <c r="S507" s="58" t="str">
        <f>IFERROR(_xlfn.TEXTAFTER(_xlfn.XLOOKUP(A507,Collection!A:A,Collection!B:B,),"#"),"")</f>
        <v>135</v>
      </c>
      <c r="T507" s="60">
        <f t="shared" si="51"/>
        <v>0.99</v>
      </c>
      <c r="U507" s="54" t="s">
        <v>1647</v>
      </c>
      <c r="V507" s="58" t="str">
        <f>IF(ISNUMBER(MATCH(N507,Catalog!$B$4:$B$16, 0)), "Keep", "For Sale")</f>
        <v>For Sale</v>
      </c>
      <c r="W507" s="58">
        <f t="shared" si="52"/>
        <v>3</v>
      </c>
      <c r="X507" s="58">
        <f t="shared" si="53"/>
        <v>4</v>
      </c>
      <c r="Y507" s="60">
        <f t="shared" si="54"/>
        <v>1</v>
      </c>
      <c r="Z507" s="60">
        <f t="shared" si="55"/>
        <v>0.75</v>
      </c>
      <c r="AE507"/>
      <c r="AF507"/>
      <c r="AG507"/>
    </row>
    <row r="508" spans="1:33" ht="14.4" x14ac:dyDescent="0.3">
      <c r="A508" s="13">
        <v>2368478</v>
      </c>
      <c r="B508" s="13" t="s">
        <v>301</v>
      </c>
      <c r="C508" s="13" t="s">
        <v>216</v>
      </c>
      <c r="D508" s="13">
        <v>99</v>
      </c>
      <c r="E508" s="13" t="s">
        <v>171</v>
      </c>
      <c r="F508" s="13" t="s">
        <v>172</v>
      </c>
      <c r="I508" s="13">
        <v>0</v>
      </c>
      <c r="J508" s="13">
        <v>1</v>
      </c>
      <c r="K508" s="14">
        <v>46183</v>
      </c>
      <c r="N508" s="13">
        <v>564</v>
      </c>
      <c r="P508" s="58" t="str">
        <f t="shared" si="49"/>
        <v>Shareef Abdur-Rahim</v>
      </c>
      <c r="Q508" s="58" t="str">
        <f>IFERROR(_xlfn.TEXTAFTER(_xlfn.XLOOKUP(A508,Collection!A:A,Collection!C:C,),"Cards "),C508)</f>
        <v>1996 Fleer Metal</v>
      </c>
      <c r="R508" s="58" t="str">
        <f t="shared" si="50"/>
        <v>-</v>
      </c>
      <c r="S508" s="58" t="str">
        <f>IFERROR(_xlfn.TEXTAFTER(_xlfn.XLOOKUP(A508,Collection!A:A,Collection!B:B,),"#"),"")</f>
        <v>135</v>
      </c>
      <c r="T508" s="60">
        <f t="shared" si="51"/>
        <v>0.99</v>
      </c>
      <c r="U508" s="54" t="s">
        <v>1647</v>
      </c>
      <c r="V508" s="58" t="str">
        <f>IF(ISNUMBER(MATCH(N508,Catalog!$B$4:$B$16, 0)), "Keep", "For Sale")</f>
        <v>For Sale</v>
      </c>
      <c r="W508" s="58">
        <f t="shared" si="52"/>
        <v>3</v>
      </c>
      <c r="X508" s="58">
        <f t="shared" si="53"/>
        <v>4</v>
      </c>
      <c r="Y508" s="60">
        <f t="shared" si="54"/>
        <v>1</v>
      </c>
      <c r="Z508" s="60">
        <f t="shared" si="55"/>
        <v>0.75</v>
      </c>
      <c r="AE508"/>
      <c r="AF508"/>
      <c r="AG508"/>
    </row>
    <row r="509" spans="1:33" ht="14.4" x14ac:dyDescent="0.3">
      <c r="A509" s="13">
        <v>2368478</v>
      </c>
      <c r="B509" s="13" t="s">
        <v>301</v>
      </c>
      <c r="C509" s="13" t="s">
        <v>216</v>
      </c>
      <c r="D509" s="13">
        <v>99</v>
      </c>
      <c r="E509" s="13" t="s">
        <v>171</v>
      </c>
      <c r="F509" s="13" t="s">
        <v>172</v>
      </c>
      <c r="I509" s="13">
        <v>0</v>
      </c>
      <c r="J509" s="13">
        <v>1</v>
      </c>
      <c r="K509" s="14">
        <v>46183</v>
      </c>
      <c r="N509" s="13">
        <v>568</v>
      </c>
      <c r="P509" s="58" t="str">
        <f t="shared" si="49"/>
        <v>Shareef Abdur-Rahim</v>
      </c>
      <c r="Q509" s="58" t="str">
        <f>IFERROR(_xlfn.TEXTAFTER(_xlfn.XLOOKUP(A509,Collection!A:A,Collection!C:C,),"Cards "),C509)</f>
        <v>1996 Fleer Metal</v>
      </c>
      <c r="R509" s="58" t="str">
        <f t="shared" si="50"/>
        <v>-</v>
      </c>
      <c r="S509" s="58" t="str">
        <f>IFERROR(_xlfn.TEXTAFTER(_xlfn.XLOOKUP(A509,Collection!A:A,Collection!B:B,),"#"),"")</f>
        <v>135</v>
      </c>
      <c r="T509" s="60">
        <f t="shared" si="51"/>
        <v>0.99</v>
      </c>
      <c r="U509" s="54" t="s">
        <v>1647</v>
      </c>
      <c r="V509" s="58" t="str">
        <f>IF(ISNUMBER(MATCH(N509,Catalog!$B$4:$B$16, 0)), "Keep", "For Sale")</f>
        <v>For Sale</v>
      </c>
      <c r="W509" s="58">
        <f t="shared" si="52"/>
        <v>3</v>
      </c>
      <c r="X509" s="58">
        <f t="shared" si="53"/>
        <v>4</v>
      </c>
      <c r="Y509" s="60">
        <f t="shared" si="54"/>
        <v>1</v>
      </c>
      <c r="Z509" s="60">
        <f t="shared" si="55"/>
        <v>0.75</v>
      </c>
      <c r="AE509"/>
      <c r="AF509"/>
      <c r="AG509"/>
    </row>
    <row r="510" spans="1:33" ht="14.4" x14ac:dyDescent="0.3">
      <c r="A510" s="13">
        <v>8306999</v>
      </c>
      <c r="B510" s="13" t="s">
        <v>330</v>
      </c>
      <c r="C510" s="13" t="s">
        <v>195</v>
      </c>
      <c r="D510" s="13">
        <v>99</v>
      </c>
      <c r="E510" s="13" t="s">
        <v>171</v>
      </c>
      <c r="F510" s="13" t="s">
        <v>172</v>
      </c>
      <c r="I510" s="13">
        <v>0</v>
      </c>
      <c r="J510" s="13">
        <v>1</v>
      </c>
      <c r="K510" s="14">
        <v>46149</v>
      </c>
      <c r="L510" s="14">
        <v>46149</v>
      </c>
      <c r="N510" s="13">
        <v>585</v>
      </c>
      <c r="P510" s="58" t="str">
        <f t="shared" si="49"/>
        <v>Shareef Abdur-Rahim</v>
      </c>
      <c r="Q510" s="58" t="str">
        <f>IFERROR(_xlfn.TEXTAFTER(_xlfn.XLOOKUP(A510,Collection!A:A,Collection!C:C,),"Cards "),C510)</f>
        <v>1996 Skybox Premium</v>
      </c>
      <c r="R510" s="58" t="str">
        <f t="shared" si="50"/>
        <v>-</v>
      </c>
      <c r="S510" s="58" t="str">
        <f>IFERROR(_xlfn.TEXTAFTER(_xlfn.XLOOKUP(A510,Collection!A:A,Collection!B:B,),"#"),"")</f>
        <v>122</v>
      </c>
      <c r="T510" s="60">
        <f t="shared" si="51"/>
        <v>0.99</v>
      </c>
      <c r="U510" s="54" t="s">
        <v>1647</v>
      </c>
      <c r="V510" s="58" t="str">
        <f>IF(ISNUMBER(MATCH(N510,Catalog!$B$4:$B$16, 0)), "Keep", "For Sale")</f>
        <v>For Sale</v>
      </c>
      <c r="W510" s="58">
        <f t="shared" si="52"/>
        <v>2</v>
      </c>
      <c r="X510" s="58">
        <f t="shared" si="53"/>
        <v>4</v>
      </c>
      <c r="Y510" s="60">
        <f t="shared" si="54"/>
        <v>1</v>
      </c>
      <c r="Z510" s="60">
        <f t="shared" si="55"/>
        <v>0.75</v>
      </c>
      <c r="AE510"/>
      <c r="AF510"/>
      <c r="AG510"/>
    </row>
    <row r="511" spans="1:33" ht="14.4" x14ac:dyDescent="0.3">
      <c r="A511" s="13">
        <v>8306999</v>
      </c>
      <c r="B511" s="13" t="s">
        <v>330</v>
      </c>
      <c r="C511" s="13" t="s">
        <v>195</v>
      </c>
      <c r="D511" s="13">
        <v>99</v>
      </c>
      <c r="E511" s="13" t="s">
        <v>171</v>
      </c>
      <c r="F511" s="13" t="s">
        <v>172</v>
      </c>
      <c r="I511" s="13">
        <v>0</v>
      </c>
      <c r="J511" s="13">
        <v>1</v>
      </c>
      <c r="K511" s="14">
        <v>46183</v>
      </c>
      <c r="N511" s="13">
        <v>586</v>
      </c>
      <c r="P511" s="58" t="str">
        <f t="shared" si="49"/>
        <v>Shareef Abdur-Rahim</v>
      </c>
      <c r="Q511" s="58" t="str">
        <f>IFERROR(_xlfn.TEXTAFTER(_xlfn.XLOOKUP(A511,Collection!A:A,Collection!C:C,),"Cards "),C511)</f>
        <v>1996 Skybox Premium</v>
      </c>
      <c r="R511" s="58" t="str">
        <f t="shared" si="50"/>
        <v>-</v>
      </c>
      <c r="S511" s="58" t="str">
        <f>IFERROR(_xlfn.TEXTAFTER(_xlfn.XLOOKUP(A511,Collection!A:A,Collection!B:B,),"#"),"")</f>
        <v>122</v>
      </c>
      <c r="T511" s="60">
        <f t="shared" si="51"/>
        <v>0.99</v>
      </c>
      <c r="U511" s="54" t="s">
        <v>1647</v>
      </c>
      <c r="V511" s="58" t="str">
        <f>IF(ISNUMBER(MATCH(N511,Catalog!$B$4:$B$16, 0)), "Keep", "For Sale")</f>
        <v>For Sale</v>
      </c>
      <c r="W511" s="58">
        <f t="shared" si="52"/>
        <v>2</v>
      </c>
      <c r="X511" s="58">
        <f t="shared" si="53"/>
        <v>4</v>
      </c>
      <c r="Y511" s="60">
        <f t="shared" si="54"/>
        <v>1</v>
      </c>
      <c r="Z511" s="60">
        <f t="shared" si="55"/>
        <v>0.75</v>
      </c>
      <c r="AE511"/>
      <c r="AF511"/>
      <c r="AG511"/>
    </row>
    <row r="512" spans="1:33" ht="14.4" x14ac:dyDescent="0.3">
      <c r="A512" s="13">
        <v>6663973</v>
      </c>
      <c r="B512" s="13" t="s">
        <v>200</v>
      </c>
      <c r="C512" s="13" t="s">
        <v>201</v>
      </c>
      <c r="D512" s="13">
        <v>272</v>
      </c>
      <c r="E512" s="13" t="s">
        <v>171</v>
      </c>
      <c r="F512" s="13" t="s">
        <v>172</v>
      </c>
      <c r="I512" s="13">
        <v>0</v>
      </c>
      <c r="J512" s="13">
        <v>1</v>
      </c>
      <c r="K512" s="14">
        <v>46129</v>
      </c>
      <c r="N512" s="13">
        <v>136</v>
      </c>
      <c r="P512" s="58" t="str">
        <f t="shared" si="49"/>
        <v>Shawn Kemp</v>
      </c>
      <c r="Q512" s="58" t="str">
        <f>IFERROR(_xlfn.TEXTAFTER(_xlfn.XLOOKUP(A512,Collection!A:A,Collection!C:C,),"Cards "),C512)</f>
        <v>1996 Skybox Premium Close Ups</v>
      </c>
      <c r="R512" s="58" t="str">
        <f t="shared" si="50"/>
        <v>-</v>
      </c>
      <c r="S512" s="58" t="str">
        <f>IFERROR(_xlfn.TEXTAFTER(_xlfn.XLOOKUP(A512,Collection!A:A,Collection!B:B,),"#"),"")</f>
        <v>CU5</v>
      </c>
      <c r="T512" s="60">
        <f t="shared" si="51"/>
        <v>2.72</v>
      </c>
      <c r="U512" s="54" t="s">
        <v>1579</v>
      </c>
      <c r="V512" s="58" t="str">
        <f>IF(ISNUMBER(MATCH(N512,Catalog!$B$4:$B$16, 0)), "Keep", "For Sale")</f>
        <v>For Sale</v>
      </c>
      <c r="W512" s="58">
        <f t="shared" si="52"/>
        <v>1</v>
      </c>
      <c r="X512" s="58">
        <f t="shared" si="53"/>
        <v>4</v>
      </c>
      <c r="Y512" s="60">
        <f t="shared" si="54"/>
        <v>3</v>
      </c>
      <c r="Z512" s="60">
        <f t="shared" si="55"/>
        <v>3</v>
      </c>
      <c r="AE512"/>
      <c r="AF512"/>
      <c r="AG512"/>
    </row>
    <row r="513" spans="1:33" ht="14.4" x14ac:dyDescent="0.3">
      <c r="A513" s="13">
        <v>77646</v>
      </c>
      <c r="B513" s="13" t="s">
        <v>240</v>
      </c>
      <c r="C513" s="13" t="s">
        <v>241</v>
      </c>
      <c r="D513" s="13">
        <v>127</v>
      </c>
      <c r="E513" s="13" t="s">
        <v>171</v>
      </c>
      <c r="F513" s="13" t="s">
        <v>172</v>
      </c>
      <c r="I513" s="13">
        <v>0</v>
      </c>
      <c r="J513" s="13">
        <v>1</v>
      </c>
      <c r="K513" s="14">
        <v>46149</v>
      </c>
      <c r="N513" s="13">
        <v>461</v>
      </c>
      <c r="P513" s="58" t="str">
        <f t="shared" si="49"/>
        <v>Shawn Kemp</v>
      </c>
      <c r="Q513" s="58" t="str">
        <f>IFERROR(_xlfn.TEXTAFTER(_xlfn.XLOOKUP(A513,Collection!A:A,Collection!C:C,),"Cards "),C513)</f>
        <v>1990 Hoops</v>
      </c>
      <c r="R513" s="58" t="str">
        <f t="shared" si="50"/>
        <v>-</v>
      </c>
      <c r="S513" s="58" t="str">
        <f>IFERROR(_xlfn.TEXTAFTER(_xlfn.XLOOKUP(A513,Collection!A:A,Collection!B:B,),"#"),"")</f>
        <v>279</v>
      </c>
      <c r="T513" s="60">
        <f t="shared" si="51"/>
        <v>1.27</v>
      </c>
      <c r="U513" s="54" t="s">
        <v>1579</v>
      </c>
      <c r="V513" s="58" t="str">
        <f>IF(ISNUMBER(MATCH(N513,Catalog!$B$4:$B$16, 0)), "Keep", "For Sale")</f>
        <v>For Sale</v>
      </c>
      <c r="W513" s="58">
        <f t="shared" si="52"/>
        <v>1</v>
      </c>
      <c r="X513" s="58">
        <f t="shared" si="53"/>
        <v>4</v>
      </c>
      <c r="Y513" s="60">
        <f t="shared" si="54"/>
        <v>1.5</v>
      </c>
      <c r="Z513" s="60">
        <f t="shared" si="55"/>
        <v>1.25</v>
      </c>
      <c r="AE513"/>
      <c r="AF513"/>
      <c r="AG513"/>
    </row>
    <row r="514" spans="1:33" ht="14.4" x14ac:dyDescent="0.3">
      <c r="A514" s="13">
        <v>11881353</v>
      </c>
      <c r="B514" s="13" t="s">
        <v>616</v>
      </c>
      <c r="C514" s="13" t="s">
        <v>617</v>
      </c>
      <c r="D514" s="13">
        <v>100</v>
      </c>
      <c r="E514" s="13" t="s">
        <v>171</v>
      </c>
      <c r="F514" s="13" t="s">
        <v>172</v>
      </c>
      <c r="H514" s="13" t="s">
        <v>618</v>
      </c>
      <c r="I514" s="13">
        <v>604</v>
      </c>
      <c r="J514" s="13">
        <v>1</v>
      </c>
      <c r="K514" s="14">
        <v>46154</v>
      </c>
      <c r="L514" s="14">
        <v>46147</v>
      </c>
      <c r="N514" s="13">
        <v>288</v>
      </c>
      <c r="P514" s="58" t="str">
        <f t="shared" ref="P514:P558" si="56">TRIM(LEFT(B514, MIN(IFERROR(FIND("[", B514), LEN(B514)+1), IFERROR(FIND("#", B514), LEN(B514)+1)) - 1))</f>
        <v>Shohei Ohtani</v>
      </c>
      <c r="Q514" s="58" t="str">
        <f>IFERROR(_xlfn.TEXTAFTER(_xlfn.XLOOKUP(A514,Collection!A:A,Collection!C:C,),"Cards "),C514)</f>
        <v>2026 Topps</v>
      </c>
      <c r="R514" s="58" t="str">
        <f t="shared" ref="R514:R558" si="57">IFERROR(_xlfn.TEXTBEFORE(_xlfn.TEXTAFTER(B514, "["), "]"), "-")</f>
        <v>-</v>
      </c>
      <c r="S514" s="58" t="str">
        <f>IFERROR(_xlfn.TEXTAFTER(_xlfn.XLOOKUP(A514,Collection!A:A,Collection!B:B,),"#"),"")</f>
        <v>200</v>
      </c>
      <c r="T514" s="60">
        <f t="shared" ref="T514:T558" si="58">D514/100</f>
        <v>1</v>
      </c>
      <c r="U514" s="54" t="s">
        <v>1657</v>
      </c>
      <c r="V514" s="58" t="str">
        <f>IF(ISNUMBER(MATCH(N514,Catalog!$B$4:$B$16, 0)), "Keep", "For Sale")</f>
        <v>For Sale</v>
      </c>
      <c r="W514" s="58">
        <f t="shared" ref="W514:W558" si="59">COUNTIFS(V:V,"For Sale",A:A,A514)</f>
        <v>1</v>
      </c>
      <c r="X514" s="58">
        <f t="shared" ref="X514:X558" si="60">_xlfn.LET(
_xlpm.val,_xlfn.XLOOKUP(U514,AE:AE,AG:AG,)/100,
_xlpm.tier,IF(_xlpm.val&lt;1,5,IF(_xlpm.val&lt;2,4,IF(_xlpm.val&lt;5,3,IF(_xlpm.val&lt;10,2,1)))),
_xlpm.tier)</f>
        <v>4</v>
      </c>
      <c r="Y514" s="60">
        <f t="shared" ref="Y514:Y558" si="61">_xlfn.LET(
    _xlpm.price, (MAX(I514,D514,25)/100)*(1+$AC$3),
    _xlpm.rounder, IF(_xlpm.price &lt; 1.5, FLOOR(_xlpm.price, 0.25),
           IF(_xlpm.price &lt; 2.5, MROUND(_xlpm.price, 0.5),
               MROUND(_xlpm.price, 1))),
    MAX(0.25, _xlpm.rounder))</f>
        <v>7</v>
      </c>
      <c r="Z514" s="60">
        <f t="shared" ref="Z514:Z558" si="62">_xlfn.LET(
    _xlpm.price, IF(I514=0, IF(W514&gt;1,1-$AC$2,1)*(D514/100), MIN(IF(W514&gt;1,1-$AC$2,1)*(D514/100), IF(W514&gt;1,1-$AC$2,1)*(I514/100))),
    _xlpm.rounder, IF(_xlpm.price &lt; 1.5, FLOOR(_xlpm.price, 0.25),
           IF(_xlpm.price &lt; 2.5, MROUND(_xlpm.price, 0.5),
               MROUND(_xlpm.price, 1))),
    MAX(0.25, _xlpm.rounder))</f>
        <v>1</v>
      </c>
      <c r="AE514"/>
      <c r="AF514"/>
      <c r="AG514"/>
    </row>
    <row r="515" spans="1:33" ht="14.4" x14ac:dyDescent="0.3">
      <c r="A515" s="13">
        <v>10210235</v>
      </c>
      <c r="B515" s="13" t="s">
        <v>447</v>
      </c>
      <c r="C515" s="13" t="s">
        <v>448</v>
      </c>
      <c r="D515" s="13">
        <v>199</v>
      </c>
      <c r="E515" s="13" t="s">
        <v>171</v>
      </c>
      <c r="F515" s="13" t="s">
        <v>172</v>
      </c>
      <c r="H515" s="13" t="s">
        <v>449</v>
      </c>
      <c r="I515" s="13">
        <v>150</v>
      </c>
      <c r="J515" s="13">
        <v>1</v>
      </c>
      <c r="K515" s="14">
        <v>46151</v>
      </c>
      <c r="L515" s="14">
        <v>46145</v>
      </c>
      <c r="N515" s="13">
        <v>278</v>
      </c>
      <c r="P515" s="58" t="str">
        <f t="shared" si="56"/>
        <v>Stephen Curry</v>
      </c>
      <c r="Q515" s="58" t="str">
        <f>IFERROR(_xlfn.TEXTAFTER(_xlfn.XLOOKUP(A515,Collection!A:A,Collection!C:C,),"Cards "),C515)</f>
        <v>2024 Panini Donruss Optic Express Lane</v>
      </c>
      <c r="R515" s="58" t="str">
        <f t="shared" si="57"/>
        <v>Holo</v>
      </c>
      <c r="S515" s="58" t="str">
        <f>IFERROR(_xlfn.TEXTAFTER(_xlfn.XLOOKUP(A515,Collection!A:A,Collection!B:B,),"#"),"")</f>
        <v>13</v>
      </c>
      <c r="T515" s="60">
        <f t="shared" si="58"/>
        <v>1.99</v>
      </c>
      <c r="U515" s="54" t="s">
        <v>1562</v>
      </c>
      <c r="V515" s="58" t="str">
        <f>IF(ISNUMBER(MATCH(N515,Catalog!$B$4:$B$16, 0)), "Keep", "For Sale")</f>
        <v>For Sale</v>
      </c>
      <c r="W515" s="58">
        <f t="shared" si="59"/>
        <v>1</v>
      </c>
      <c r="X515" s="58">
        <f t="shared" si="60"/>
        <v>4</v>
      </c>
      <c r="Y515" s="60">
        <f t="shared" si="61"/>
        <v>2.5</v>
      </c>
      <c r="Z515" s="60">
        <f t="shared" si="62"/>
        <v>1.5</v>
      </c>
      <c r="AE515"/>
      <c r="AF515"/>
      <c r="AG515"/>
    </row>
    <row r="516" spans="1:33" ht="14.4" x14ac:dyDescent="0.3">
      <c r="A516" s="13">
        <v>9778659</v>
      </c>
      <c r="B516" s="13" t="s">
        <v>1004</v>
      </c>
      <c r="C516" s="13" t="s">
        <v>585</v>
      </c>
      <c r="D516" s="13">
        <v>184</v>
      </c>
      <c r="E516" s="13" t="s">
        <v>171</v>
      </c>
      <c r="F516" s="13" t="s">
        <v>172</v>
      </c>
      <c r="H516" s="13" t="s">
        <v>1005</v>
      </c>
      <c r="I516" s="13">
        <v>157</v>
      </c>
      <c r="J516" s="13">
        <v>1</v>
      </c>
      <c r="K516" s="14">
        <v>46164</v>
      </c>
      <c r="L516" s="14">
        <v>46161</v>
      </c>
      <c r="N516" s="13">
        <v>543</v>
      </c>
      <c r="P516" s="58" t="str">
        <f t="shared" si="56"/>
        <v>Stephen Curry</v>
      </c>
      <c r="Q516" s="58" t="str">
        <f>IFERROR(_xlfn.TEXTAFTER(_xlfn.XLOOKUP(A516,Collection!A:A,Collection!C:C,),"Cards "),C516)</f>
        <v>2024 Panini Select</v>
      </c>
      <c r="R516" s="58" t="str">
        <f t="shared" si="57"/>
        <v>Blue</v>
      </c>
      <c r="S516" s="58" t="str">
        <f>IFERROR(_xlfn.TEXTAFTER(_xlfn.XLOOKUP(A516,Collection!A:A,Collection!B:B,),"#"),"")</f>
        <v>7</v>
      </c>
      <c r="T516" s="60">
        <f t="shared" si="58"/>
        <v>1.84</v>
      </c>
      <c r="U516" s="54" t="s">
        <v>1562</v>
      </c>
      <c r="V516" s="58" t="str">
        <f>IF(ISNUMBER(MATCH(N516,Catalog!$B$4:$B$16, 0)), "Keep", "For Sale")</f>
        <v>For Sale</v>
      </c>
      <c r="W516" s="58">
        <f t="shared" si="59"/>
        <v>1</v>
      </c>
      <c r="X516" s="58">
        <f t="shared" si="60"/>
        <v>4</v>
      </c>
      <c r="Y516" s="60">
        <f t="shared" si="61"/>
        <v>2</v>
      </c>
      <c r="Z516" s="60">
        <f t="shared" si="62"/>
        <v>1.5</v>
      </c>
      <c r="AE516"/>
      <c r="AF516"/>
      <c r="AG516"/>
    </row>
    <row r="517" spans="1:33" ht="14.4" x14ac:dyDescent="0.3">
      <c r="A517" s="13">
        <v>95756</v>
      </c>
      <c r="B517" s="13" t="s">
        <v>1154</v>
      </c>
      <c r="C517" s="13" t="s">
        <v>607</v>
      </c>
      <c r="D517" s="13">
        <v>178</v>
      </c>
      <c r="E517" s="13" t="s">
        <v>171</v>
      </c>
      <c r="F517" s="13" t="s">
        <v>172</v>
      </c>
      <c r="H517" s="13" t="s">
        <v>1155</v>
      </c>
      <c r="I517" s="13">
        <v>110</v>
      </c>
      <c r="J517" s="13">
        <v>1</v>
      </c>
      <c r="K517" s="14">
        <v>46182</v>
      </c>
      <c r="L517" s="14">
        <v>46181</v>
      </c>
      <c r="N517" s="13">
        <v>325</v>
      </c>
      <c r="P517" s="58" t="str">
        <f t="shared" si="56"/>
        <v>Stephen Curry</v>
      </c>
      <c r="Q517" s="58" t="str">
        <f>IFERROR(_xlfn.TEXTAFTER(_xlfn.XLOOKUP(A517,Collection!A:A,Collection!C:C,),"Cards "),C517)</f>
        <v>2019 Panini Prizm</v>
      </c>
      <c r="R517" s="58" t="str">
        <f t="shared" si="57"/>
        <v>-</v>
      </c>
      <c r="S517" s="58" t="str">
        <f>IFERROR(_xlfn.TEXTAFTER(_xlfn.XLOOKUP(A517,Collection!A:A,Collection!B:B,),"#"),"")</f>
        <v>98</v>
      </c>
      <c r="T517" s="60">
        <f t="shared" si="58"/>
        <v>1.78</v>
      </c>
      <c r="U517" s="54" t="s">
        <v>1562</v>
      </c>
      <c r="V517" s="58" t="str">
        <f>IF(ISNUMBER(MATCH(N517,Catalog!$B$4:$B$16, 0)), "Keep", "For Sale")</f>
        <v>For Sale</v>
      </c>
      <c r="W517" s="58">
        <f t="shared" si="59"/>
        <v>1</v>
      </c>
      <c r="X517" s="58">
        <f t="shared" si="60"/>
        <v>4</v>
      </c>
      <c r="Y517" s="60">
        <f t="shared" si="61"/>
        <v>2</v>
      </c>
      <c r="Z517" s="60">
        <f t="shared" si="62"/>
        <v>1</v>
      </c>
      <c r="AE517"/>
      <c r="AF517"/>
      <c r="AG517"/>
    </row>
    <row r="518" spans="1:33" ht="14.4" x14ac:dyDescent="0.3">
      <c r="A518" s="13">
        <v>9265999</v>
      </c>
      <c r="B518" s="13" t="s">
        <v>624</v>
      </c>
      <c r="C518" s="13" t="s">
        <v>625</v>
      </c>
      <c r="D518" s="13">
        <v>171</v>
      </c>
      <c r="E518" s="13" t="s">
        <v>171</v>
      </c>
      <c r="F518" s="13" t="s">
        <v>172</v>
      </c>
      <c r="H518" s="13" t="s">
        <v>539</v>
      </c>
      <c r="I518" s="13">
        <v>23</v>
      </c>
      <c r="J518" s="13">
        <v>1</v>
      </c>
      <c r="K518" s="14">
        <v>46154</v>
      </c>
      <c r="L518" s="14">
        <v>46148</v>
      </c>
      <c r="N518" s="13">
        <v>377</v>
      </c>
      <c r="P518" s="58" t="str">
        <f t="shared" si="56"/>
        <v>Stephen Curry</v>
      </c>
      <c r="Q518" s="58" t="str">
        <f>IFERROR(_xlfn.TEXTAFTER(_xlfn.XLOOKUP(A518,Collection!A:A,Collection!C:C,),"Cards "),C518)</f>
        <v>2024 Panini Revolution Hardwood Legacy</v>
      </c>
      <c r="R518" s="58" t="str">
        <f t="shared" si="57"/>
        <v>-</v>
      </c>
      <c r="S518" s="58" t="str">
        <f>IFERROR(_xlfn.TEXTAFTER(_xlfn.XLOOKUP(A518,Collection!A:A,Collection!B:B,),"#"),"")</f>
        <v>3</v>
      </c>
      <c r="T518" s="60">
        <f t="shared" si="58"/>
        <v>1.71</v>
      </c>
      <c r="U518" s="54" t="s">
        <v>1562</v>
      </c>
      <c r="V518" s="58" t="str">
        <f>IF(ISNUMBER(MATCH(N518,Catalog!$B$4:$B$16, 0)), "Keep", "For Sale")</f>
        <v>For Sale</v>
      </c>
      <c r="W518" s="58">
        <f t="shared" si="59"/>
        <v>1</v>
      </c>
      <c r="X518" s="58">
        <f t="shared" si="60"/>
        <v>4</v>
      </c>
      <c r="Y518" s="60">
        <f t="shared" si="61"/>
        <v>2</v>
      </c>
      <c r="Z518" s="60">
        <f t="shared" si="62"/>
        <v>0.25</v>
      </c>
      <c r="AE518"/>
      <c r="AF518"/>
      <c r="AG518"/>
    </row>
    <row r="519" spans="1:33" ht="14.4" x14ac:dyDescent="0.3">
      <c r="A519" s="13">
        <v>9943175</v>
      </c>
      <c r="B519" s="13" t="s">
        <v>586</v>
      </c>
      <c r="C519" s="13" t="s">
        <v>587</v>
      </c>
      <c r="D519" s="13">
        <v>164</v>
      </c>
      <c r="E519" s="13" t="s">
        <v>171</v>
      </c>
      <c r="F519" s="13" t="s">
        <v>172</v>
      </c>
      <c r="H519" s="13" t="s">
        <v>556</v>
      </c>
      <c r="I519" s="13">
        <v>297</v>
      </c>
      <c r="J519" s="13">
        <v>1</v>
      </c>
      <c r="K519" s="14">
        <v>46154</v>
      </c>
      <c r="L519" s="14">
        <v>46150</v>
      </c>
      <c r="N519" s="13">
        <v>322</v>
      </c>
      <c r="P519" s="58" t="str">
        <f t="shared" si="56"/>
        <v>Stephen Curry</v>
      </c>
      <c r="Q519" s="58" t="str">
        <f>IFERROR(_xlfn.TEXTAFTER(_xlfn.XLOOKUP(A519,Collection!A:A,Collection!C:C,),"Cards "),C519)</f>
        <v>2024 Panini Mosaic</v>
      </c>
      <c r="R519" s="58" t="str">
        <f t="shared" si="57"/>
        <v>-</v>
      </c>
      <c r="S519" s="58" t="str">
        <f>IFERROR(_xlfn.TEXTAFTER(_xlfn.XLOOKUP(A519,Collection!A:A,Collection!B:B,),"#"),"")</f>
        <v>163</v>
      </c>
      <c r="T519" s="60">
        <f t="shared" si="58"/>
        <v>1.64</v>
      </c>
      <c r="U519" s="54" t="s">
        <v>1562</v>
      </c>
      <c r="V519" s="58" t="str">
        <f>IF(ISNUMBER(MATCH(N519,Catalog!$B$4:$B$16, 0)), "Keep", "For Sale")</f>
        <v>For Sale</v>
      </c>
      <c r="W519" s="58">
        <f t="shared" si="59"/>
        <v>1</v>
      </c>
      <c r="X519" s="58">
        <f t="shared" si="60"/>
        <v>4</v>
      </c>
      <c r="Y519" s="60">
        <f t="shared" si="61"/>
        <v>4</v>
      </c>
      <c r="Z519" s="60">
        <f t="shared" si="62"/>
        <v>1.5</v>
      </c>
      <c r="AE519"/>
      <c r="AF519"/>
      <c r="AG519"/>
    </row>
    <row r="520" spans="1:33" ht="14.4" x14ac:dyDescent="0.3">
      <c r="A520" s="13">
        <v>11497213</v>
      </c>
      <c r="B520" s="13" t="s">
        <v>578</v>
      </c>
      <c r="C520" s="13" t="s">
        <v>579</v>
      </c>
      <c r="D520" s="13">
        <v>137</v>
      </c>
      <c r="E520" s="13" t="s">
        <v>171</v>
      </c>
      <c r="F520" s="13" t="s">
        <v>172</v>
      </c>
      <c r="H520" s="13" t="s">
        <v>580</v>
      </c>
      <c r="I520" s="13">
        <v>1155</v>
      </c>
      <c r="J520" s="13">
        <v>1</v>
      </c>
      <c r="K520" s="14">
        <v>46154</v>
      </c>
      <c r="L520" s="14">
        <v>46145</v>
      </c>
      <c r="N520" s="13">
        <v>337</v>
      </c>
      <c r="P520" s="58" t="str">
        <f t="shared" si="56"/>
        <v>Stephen Curry</v>
      </c>
      <c r="Q520" s="58" t="str">
        <f>IFERROR(_xlfn.TEXTAFTER(_xlfn.XLOOKUP(A520,Collection!A:A,Collection!C:C,),"Cards "),C520)</f>
        <v>2025 Topps Chrome Ball Of Duty</v>
      </c>
      <c r="R520" s="58" t="str">
        <f t="shared" si="57"/>
        <v>-</v>
      </c>
      <c r="S520" s="58" t="str">
        <f>IFERROR(_xlfn.TEXTAFTER(_xlfn.XLOOKUP(A520,Collection!A:A,Collection!B:B,),"#"),"")</f>
        <v>BD-9</v>
      </c>
      <c r="T520" s="60">
        <f t="shared" si="58"/>
        <v>1.37</v>
      </c>
      <c r="U520" s="54" t="s">
        <v>1562</v>
      </c>
      <c r="V520" s="58" t="str">
        <f>IF(ISNUMBER(MATCH(N520,Catalog!$B$4:$B$16, 0)), "Keep", "For Sale")</f>
        <v>For Sale</v>
      </c>
      <c r="W520" s="58">
        <f t="shared" si="59"/>
        <v>1</v>
      </c>
      <c r="X520" s="58">
        <f t="shared" si="60"/>
        <v>4</v>
      </c>
      <c r="Y520" s="60">
        <f t="shared" si="61"/>
        <v>14</v>
      </c>
      <c r="Z520" s="60">
        <f t="shared" si="62"/>
        <v>1.25</v>
      </c>
      <c r="AE520"/>
      <c r="AF520"/>
      <c r="AG520"/>
    </row>
    <row r="521" spans="1:33" ht="14.4" x14ac:dyDescent="0.3">
      <c r="A521" s="13">
        <v>2973499</v>
      </c>
      <c r="B521" s="13" t="s">
        <v>322</v>
      </c>
      <c r="C521" s="13" t="s">
        <v>323</v>
      </c>
      <c r="D521" s="13">
        <v>129</v>
      </c>
      <c r="E521" s="13" t="s">
        <v>171</v>
      </c>
      <c r="F521" s="13" t="s">
        <v>172</v>
      </c>
      <c r="I521" s="13">
        <v>0</v>
      </c>
      <c r="J521" s="13">
        <v>1</v>
      </c>
      <c r="K521" s="14">
        <v>46127</v>
      </c>
      <c r="N521" s="13">
        <v>471</v>
      </c>
      <c r="P521" s="58" t="str">
        <f t="shared" si="56"/>
        <v>Steve Francis</v>
      </c>
      <c r="Q521" s="58" t="str">
        <f>IFERROR(_xlfn.TEXTAFTER(_xlfn.XLOOKUP(A521,Collection!A:A,Collection!C:C,),"Cards "),C521)</f>
        <v>1999 Topps NBA Tipoff</v>
      </c>
      <c r="R521" s="58" t="str">
        <f t="shared" si="57"/>
        <v>-</v>
      </c>
      <c r="S521" s="58" t="str">
        <f>IFERROR(_xlfn.TEXTAFTER(_xlfn.XLOOKUP(A521,Collection!A:A,Collection!B:B,),"#"),"")</f>
        <v>118</v>
      </c>
      <c r="T521" s="60">
        <f t="shared" si="58"/>
        <v>1.29</v>
      </c>
      <c r="U521" s="54" t="s">
        <v>1659</v>
      </c>
      <c r="V521" s="58" t="str">
        <f>IF(ISNUMBER(MATCH(N521,Catalog!$B$4:$B$16, 0)), "Keep", "For Sale")</f>
        <v>For Sale</v>
      </c>
      <c r="W521" s="58">
        <f t="shared" si="59"/>
        <v>1</v>
      </c>
      <c r="X521" s="58">
        <f t="shared" si="60"/>
        <v>4</v>
      </c>
      <c r="Y521" s="60">
        <f t="shared" si="61"/>
        <v>1.5</v>
      </c>
      <c r="Z521" s="60">
        <f t="shared" si="62"/>
        <v>1.25</v>
      </c>
      <c r="AE521"/>
      <c r="AF521"/>
      <c r="AG521"/>
    </row>
    <row r="522" spans="1:33" ht="14.4" x14ac:dyDescent="0.3">
      <c r="A522" s="13">
        <v>7641308</v>
      </c>
      <c r="B522" s="13" t="s">
        <v>571</v>
      </c>
      <c r="C522" s="13" t="s">
        <v>549</v>
      </c>
      <c r="D522" s="13">
        <v>199</v>
      </c>
      <c r="E522" s="13" t="s">
        <v>171</v>
      </c>
      <c r="F522" s="13" t="s">
        <v>172</v>
      </c>
      <c r="I522" s="13">
        <v>0</v>
      </c>
      <c r="J522" s="13">
        <v>1</v>
      </c>
      <c r="K522" s="14">
        <v>46129</v>
      </c>
      <c r="N522" s="13">
        <v>265</v>
      </c>
      <c r="P522" s="58" t="str">
        <f t="shared" si="56"/>
        <v>Tab Ramos</v>
      </c>
      <c r="Q522" s="58" t="str">
        <f>IFERROR(_xlfn.TEXTAFTER(_xlfn.XLOOKUP(A522,Collection!A:A,Collection!C:C,),"Cards "),C522)</f>
        <v>1994 Upper Deck World Cup Soccer</v>
      </c>
      <c r="R522" s="58" t="str">
        <f t="shared" si="57"/>
        <v>-</v>
      </c>
      <c r="S522" s="58" t="str">
        <f>IFERROR(_xlfn.TEXTAFTER(_xlfn.XLOOKUP(A522,Collection!A:A,Collection!B:B,),"#"),"")</f>
        <v>9</v>
      </c>
      <c r="T522" s="60">
        <f t="shared" si="58"/>
        <v>1.99</v>
      </c>
      <c r="U522" s="54" t="s">
        <v>1611</v>
      </c>
      <c r="V522" s="58" t="str">
        <f>IF(ISNUMBER(MATCH(N522,Catalog!$B$4:$B$16, 0)), "Keep", "For Sale")</f>
        <v>For Sale</v>
      </c>
      <c r="W522" s="58">
        <f t="shared" si="59"/>
        <v>1</v>
      </c>
      <c r="X522" s="58">
        <f t="shared" si="60"/>
        <v>4</v>
      </c>
      <c r="Y522" s="60">
        <f t="shared" si="61"/>
        <v>2.5</v>
      </c>
      <c r="Z522" s="60">
        <f t="shared" si="62"/>
        <v>2</v>
      </c>
      <c r="AE522"/>
      <c r="AF522"/>
      <c r="AG522"/>
    </row>
    <row r="523" spans="1:33" ht="14.4" x14ac:dyDescent="0.3">
      <c r="A523" s="13">
        <v>8555315</v>
      </c>
      <c r="B523" s="13" t="s">
        <v>915</v>
      </c>
      <c r="C523" s="13" t="s">
        <v>672</v>
      </c>
      <c r="D523" s="13">
        <v>175</v>
      </c>
      <c r="E523" s="13" t="s">
        <v>171</v>
      </c>
      <c r="F523" s="13" t="s">
        <v>172</v>
      </c>
      <c r="H523" s="13" t="s">
        <v>896</v>
      </c>
      <c r="I523" s="13">
        <v>400</v>
      </c>
      <c r="J523" s="13">
        <v>1</v>
      </c>
      <c r="K523" s="14">
        <v>46156</v>
      </c>
      <c r="L523" s="14">
        <v>46155</v>
      </c>
      <c r="N523" s="13">
        <v>308</v>
      </c>
      <c r="P523" s="58" t="str">
        <f t="shared" si="56"/>
        <v>Terrence Shannon Jr.</v>
      </c>
      <c r="Q523" s="58" t="str">
        <f>IFERROR(_xlfn.TEXTAFTER(_xlfn.XLOOKUP(A523,Collection!A:A,Collection!C:C,),"Cards "),C523)</f>
        <v>2024 Panini Prizm</v>
      </c>
      <c r="R523" s="58" t="str">
        <f t="shared" si="57"/>
        <v>Pink Ice</v>
      </c>
      <c r="S523" s="58" t="str">
        <f>IFERROR(_xlfn.TEXTAFTER(_xlfn.XLOOKUP(A523,Collection!A:A,Collection!B:B,),"#"),"")</f>
        <v>224</v>
      </c>
      <c r="T523" s="60">
        <f t="shared" si="58"/>
        <v>1.75</v>
      </c>
      <c r="U523" s="54" t="s">
        <v>1654</v>
      </c>
      <c r="V523" s="58" t="str">
        <f>IF(ISNUMBER(MATCH(N523,Catalog!$B$4:$B$16, 0)), "Keep", "For Sale")</f>
        <v>For Sale</v>
      </c>
      <c r="W523" s="58">
        <f t="shared" si="59"/>
        <v>1</v>
      </c>
      <c r="X523" s="58">
        <f t="shared" si="60"/>
        <v>4</v>
      </c>
      <c r="Y523" s="60">
        <f t="shared" si="61"/>
        <v>5</v>
      </c>
      <c r="Z523" s="60">
        <f t="shared" si="62"/>
        <v>2</v>
      </c>
      <c r="AE523"/>
      <c r="AF523"/>
      <c r="AG523"/>
    </row>
    <row r="524" spans="1:33" ht="14.4" x14ac:dyDescent="0.3">
      <c r="A524" s="13">
        <v>12102811</v>
      </c>
      <c r="B524" s="13" t="s">
        <v>869</v>
      </c>
      <c r="C524" s="13" t="s">
        <v>666</v>
      </c>
      <c r="D524" s="13">
        <v>100</v>
      </c>
      <c r="E524" s="13" t="s">
        <v>171</v>
      </c>
      <c r="F524" s="13" t="s">
        <v>172</v>
      </c>
      <c r="H524" s="13" t="s">
        <v>870</v>
      </c>
      <c r="I524" s="13">
        <v>0</v>
      </c>
      <c r="J524" s="13">
        <v>1</v>
      </c>
      <c r="K524" s="14">
        <v>46157</v>
      </c>
      <c r="L524" s="14">
        <v>46156</v>
      </c>
      <c r="N524" s="13">
        <v>538</v>
      </c>
      <c r="P524" s="58" t="str">
        <f t="shared" si="56"/>
        <v>Thomas Sorber</v>
      </c>
      <c r="Q524" s="58" t="str">
        <f>IFERROR(_xlfn.TEXTAFTER(_xlfn.XLOOKUP(A524,Collection!A:A,Collection!C:C,),"Cards "),C524)</f>
        <v>2025 Topps Finest</v>
      </c>
      <c r="R524" s="58" t="str">
        <f t="shared" si="57"/>
        <v>-</v>
      </c>
      <c r="S524" s="58" t="str">
        <f>IFERROR(_xlfn.TEXTAFTER(_xlfn.XLOOKUP(A524,Collection!A:A,Collection!B:B,),"#"),"")</f>
        <v>15</v>
      </c>
      <c r="T524" s="60">
        <f t="shared" si="58"/>
        <v>1</v>
      </c>
      <c r="U524" s="54" t="s">
        <v>1590</v>
      </c>
      <c r="V524" s="58" t="str">
        <f>IF(ISNUMBER(MATCH(N524,Catalog!$B$4:$B$16, 0)), "Keep", "For Sale")</f>
        <v>For Sale</v>
      </c>
      <c r="W524" s="58">
        <f t="shared" si="59"/>
        <v>1</v>
      </c>
      <c r="X524" s="58">
        <f t="shared" si="60"/>
        <v>4</v>
      </c>
      <c r="Y524" s="60">
        <f t="shared" si="61"/>
        <v>1</v>
      </c>
      <c r="Z524" s="60">
        <f t="shared" si="62"/>
        <v>1</v>
      </c>
      <c r="AE524"/>
      <c r="AF524"/>
      <c r="AG524"/>
    </row>
    <row r="525" spans="1:33" ht="14.4" x14ac:dyDescent="0.3">
      <c r="A525" s="13">
        <v>12986613</v>
      </c>
      <c r="B525" s="13" t="s">
        <v>1259</v>
      </c>
      <c r="C525" s="13" t="s">
        <v>1246</v>
      </c>
      <c r="D525" s="13">
        <v>181</v>
      </c>
      <c r="E525" s="13" t="s">
        <v>171</v>
      </c>
      <c r="F525" s="13" t="s">
        <v>172</v>
      </c>
      <c r="I525" s="13">
        <v>0</v>
      </c>
      <c r="J525" s="13">
        <v>1</v>
      </c>
      <c r="K525" s="14">
        <v>46172</v>
      </c>
      <c r="N525" s="13">
        <v>300</v>
      </c>
      <c r="P525" s="58" t="str">
        <f t="shared" si="56"/>
        <v>Tim Thomas</v>
      </c>
      <c r="Q525" s="58" t="str">
        <f>IFERROR(_xlfn.TEXTAFTER(_xlfn.XLOOKUP(A525,Collection!A:A,Collection!C:C,),"Cards "),C525)</f>
        <v>1997 Ultra Rim Rockers</v>
      </c>
      <c r="R525" s="58" t="str">
        <f t="shared" si="57"/>
        <v>-</v>
      </c>
      <c r="S525" s="58" t="str">
        <f>IFERROR(_xlfn.TEXTAFTER(_xlfn.XLOOKUP(A525,Collection!A:A,Collection!B:B,),"#"),"")</f>
        <v>10</v>
      </c>
      <c r="T525" s="60">
        <f t="shared" si="58"/>
        <v>1.81</v>
      </c>
      <c r="U525" s="54" t="s">
        <v>1573</v>
      </c>
      <c r="V525" s="58" t="str">
        <f>IF(ISNUMBER(MATCH(N525,Catalog!$B$4:$B$16, 0)), "Keep", "For Sale")</f>
        <v>For Sale</v>
      </c>
      <c r="W525" s="58">
        <f t="shared" si="59"/>
        <v>2</v>
      </c>
      <c r="X525" s="58">
        <f t="shared" si="60"/>
        <v>4</v>
      </c>
      <c r="Y525" s="60">
        <f t="shared" si="61"/>
        <v>2</v>
      </c>
      <c r="Z525" s="60">
        <f t="shared" si="62"/>
        <v>1.5</v>
      </c>
      <c r="AE525"/>
      <c r="AF525"/>
      <c r="AG525"/>
    </row>
    <row r="526" spans="1:33" ht="14.4" x14ac:dyDescent="0.3">
      <c r="A526" s="13">
        <v>12986613</v>
      </c>
      <c r="B526" s="13" t="s">
        <v>1259</v>
      </c>
      <c r="C526" s="13" t="s">
        <v>1246</v>
      </c>
      <c r="D526" s="13">
        <v>181</v>
      </c>
      <c r="E526" s="13" t="s">
        <v>171</v>
      </c>
      <c r="F526" s="13" t="s">
        <v>172</v>
      </c>
      <c r="I526" s="13">
        <v>0</v>
      </c>
      <c r="J526" s="13">
        <v>1</v>
      </c>
      <c r="K526" s="14">
        <v>46183</v>
      </c>
      <c r="N526" s="13">
        <v>303</v>
      </c>
      <c r="P526" s="58" t="str">
        <f t="shared" si="56"/>
        <v>Tim Thomas</v>
      </c>
      <c r="Q526" s="58" t="str">
        <f>IFERROR(_xlfn.TEXTAFTER(_xlfn.XLOOKUP(A526,Collection!A:A,Collection!C:C,),"Cards "),C526)</f>
        <v>1997 Ultra Rim Rockers</v>
      </c>
      <c r="R526" s="58" t="str">
        <f t="shared" si="57"/>
        <v>-</v>
      </c>
      <c r="S526" s="58" t="str">
        <f>IFERROR(_xlfn.TEXTAFTER(_xlfn.XLOOKUP(A526,Collection!A:A,Collection!B:B,),"#"),"")</f>
        <v>10</v>
      </c>
      <c r="T526" s="60">
        <f t="shared" si="58"/>
        <v>1.81</v>
      </c>
      <c r="U526" s="54" t="s">
        <v>1573</v>
      </c>
      <c r="V526" s="58" t="str">
        <f>IF(ISNUMBER(MATCH(N526,Catalog!$B$4:$B$16, 0)), "Keep", "For Sale")</f>
        <v>For Sale</v>
      </c>
      <c r="W526" s="58">
        <f t="shared" si="59"/>
        <v>2</v>
      </c>
      <c r="X526" s="58">
        <f t="shared" si="60"/>
        <v>4</v>
      </c>
      <c r="Y526" s="60">
        <f t="shared" si="61"/>
        <v>2</v>
      </c>
      <c r="Z526" s="60">
        <f t="shared" si="62"/>
        <v>1.5</v>
      </c>
      <c r="AE526"/>
      <c r="AF526"/>
      <c r="AG526"/>
    </row>
    <row r="527" spans="1:33" ht="14.4" x14ac:dyDescent="0.3">
      <c r="A527" s="13">
        <v>6654217</v>
      </c>
      <c r="B527" s="13" t="s">
        <v>1158</v>
      </c>
      <c r="C527" s="13" t="s">
        <v>1159</v>
      </c>
      <c r="D527" s="13">
        <v>71</v>
      </c>
      <c r="E527" s="13" t="s">
        <v>171</v>
      </c>
      <c r="F527" s="13" t="s">
        <v>172</v>
      </c>
      <c r="I527" s="13">
        <v>0</v>
      </c>
      <c r="J527" s="13">
        <v>1</v>
      </c>
      <c r="K527" s="14">
        <v>46173</v>
      </c>
      <c r="N527" s="13">
        <v>583</v>
      </c>
      <c r="P527" s="58" t="str">
        <f t="shared" si="56"/>
        <v>Tim Thomas</v>
      </c>
      <c r="Q527" s="58" t="str">
        <f>IFERROR(_xlfn.TEXTAFTER(_xlfn.XLOOKUP(A527,Collection!A:A,Collection!C:C,),"Cards "),C527)</f>
        <v>1997 Ultra All-Rookies</v>
      </c>
      <c r="R527" s="58" t="str">
        <f t="shared" si="57"/>
        <v>-</v>
      </c>
      <c r="S527" s="58" t="str">
        <f>IFERROR(_xlfn.TEXTAFTER(_xlfn.XLOOKUP(A527,Collection!A:A,Collection!B:B,),"#"),"")</f>
        <v>13</v>
      </c>
      <c r="T527" s="60">
        <f t="shared" si="58"/>
        <v>0.71</v>
      </c>
      <c r="U527" s="54" t="s">
        <v>1573</v>
      </c>
      <c r="V527" s="58" t="str">
        <f>IF(ISNUMBER(MATCH(N527,Catalog!$B$4:$B$16, 0)), "Keep", "For Sale")</f>
        <v>For Sale</v>
      </c>
      <c r="W527" s="58">
        <f t="shared" si="59"/>
        <v>1</v>
      </c>
      <c r="X527" s="58">
        <f t="shared" si="60"/>
        <v>4</v>
      </c>
      <c r="Y527" s="60">
        <f t="shared" si="61"/>
        <v>0.75</v>
      </c>
      <c r="Z527" s="60">
        <f t="shared" si="62"/>
        <v>0.5</v>
      </c>
      <c r="AE527"/>
      <c r="AF527"/>
      <c r="AG527"/>
    </row>
    <row r="528" spans="1:33" ht="14.4" x14ac:dyDescent="0.3">
      <c r="A528" s="13">
        <v>93011</v>
      </c>
      <c r="B528" s="13" t="s">
        <v>188</v>
      </c>
      <c r="C528" s="13" t="s">
        <v>317</v>
      </c>
      <c r="D528" s="13">
        <v>155</v>
      </c>
      <c r="E528" s="13" t="s">
        <v>171</v>
      </c>
      <c r="F528" s="13" t="s">
        <v>172</v>
      </c>
      <c r="I528" s="13">
        <v>0</v>
      </c>
      <c r="J528" s="13">
        <v>1</v>
      </c>
      <c r="K528" s="14">
        <v>46149</v>
      </c>
      <c r="N528" s="13">
        <v>453</v>
      </c>
      <c r="P528" s="58" t="str">
        <f t="shared" si="56"/>
        <v>Tracy McGrady</v>
      </c>
      <c r="Q528" s="58" t="str">
        <f>IFERROR(_xlfn.TEXTAFTER(_xlfn.XLOOKUP(A528,Collection!A:A,Collection!C:C,),"Cards "),C528)</f>
        <v>1998 SP Authentic</v>
      </c>
      <c r="R528" s="58" t="str">
        <f t="shared" si="57"/>
        <v>-</v>
      </c>
      <c r="S528" s="58" t="str">
        <f>IFERROR(_xlfn.TEXTAFTER(_xlfn.XLOOKUP(A528,Collection!A:A,Collection!B:B,),"#"),"")</f>
        <v>82</v>
      </c>
      <c r="T528" s="60">
        <f t="shared" si="58"/>
        <v>1.55</v>
      </c>
      <c r="U528" s="54" t="s">
        <v>1569</v>
      </c>
      <c r="V528" s="58" t="str">
        <f>IF(ISNUMBER(MATCH(N528,Catalog!$B$4:$B$16, 0)), "Keep", "For Sale")</f>
        <v>For Sale</v>
      </c>
      <c r="W528" s="58">
        <f t="shared" si="59"/>
        <v>1</v>
      </c>
      <c r="X528" s="58">
        <f t="shared" si="60"/>
        <v>4</v>
      </c>
      <c r="Y528" s="60">
        <f t="shared" si="61"/>
        <v>2</v>
      </c>
      <c r="Z528" s="60">
        <f t="shared" si="62"/>
        <v>1.5</v>
      </c>
      <c r="AE528"/>
      <c r="AF528"/>
      <c r="AG528"/>
    </row>
    <row r="529" spans="1:33" ht="14.4" x14ac:dyDescent="0.3">
      <c r="A529" s="13">
        <v>94061</v>
      </c>
      <c r="B529" s="13" t="s">
        <v>188</v>
      </c>
      <c r="C529" s="13" t="s">
        <v>189</v>
      </c>
      <c r="D529" s="13">
        <v>134</v>
      </c>
      <c r="E529" s="13" t="s">
        <v>171</v>
      </c>
      <c r="F529" s="13" t="s">
        <v>172</v>
      </c>
      <c r="I529" s="13">
        <v>0</v>
      </c>
      <c r="J529" s="13">
        <v>1</v>
      </c>
      <c r="K529" s="14">
        <v>46129</v>
      </c>
      <c r="N529" s="13">
        <v>428</v>
      </c>
      <c r="P529" s="58" t="str">
        <f t="shared" si="56"/>
        <v>Tracy McGrady</v>
      </c>
      <c r="Q529" s="58" t="str">
        <f>IFERROR(_xlfn.TEXTAFTER(_xlfn.XLOOKUP(A529,Collection!A:A,Collection!C:C,),"Cards "),C529)</f>
        <v>1998 Upper Deck Black Diamond</v>
      </c>
      <c r="R529" s="58" t="str">
        <f t="shared" si="57"/>
        <v>-</v>
      </c>
      <c r="S529" s="58" t="str">
        <f>IFERROR(_xlfn.TEXTAFTER(_xlfn.XLOOKUP(A529,Collection!A:A,Collection!B:B,),"#"),"")</f>
        <v>82</v>
      </c>
      <c r="T529" s="60">
        <f t="shared" si="58"/>
        <v>1.34</v>
      </c>
      <c r="U529" s="54" t="s">
        <v>1569</v>
      </c>
      <c r="V529" s="58" t="str">
        <f>IF(ISNUMBER(MATCH(N529,Catalog!$B$4:$B$16, 0)), "Keep", "For Sale")</f>
        <v>For Sale</v>
      </c>
      <c r="W529" s="58">
        <f t="shared" si="59"/>
        <v>1</v>
      </c>
      <c r="X529" s="58">
        <f t="shared" si="60"/>
        <v>4</v>
      </c>
      <c r="Y529" s="60">
        <f t="shared" si="61"/>
        <v>1.5</v>
      </c>
      <c r="Z529" s="60">
        <f t="shared" si="62"/>
        <v>1.25</v>
      </c>
      <c r="AE529"/>
      <c r="AF529"/>
      <c r="AG529"/>
    </row>
    <row r="530" spans="1:33" ht="14.4" x14ac:dyDescent="0.3">
      <c r="A530" s="13">
        <v>10895833</v>
      </c>
      <c r="B530" s="13" t="s">
        <v>331</v>
      </c>
      <c r="C530" s="13" t="s">
        <v>332</v>
      </c>
      <c r="D530" s="13">
        <v>144</v>
      </c>
      <c r="E530" s="13" t="s">
        <v>171</v>
      </c>
      <c r="F530" s="13" t="s">
        <v>172</v>
      </c>
      <c r="H530" s="13" t="s">
        <v>333</v>
      </c>
      <c r="I530" s="13">
        <v>125</v>
      </c>
      <c r="J530" s="13">
        <v>1</v>
      </c>
      <c r="K530" s="14">
        <v>46149</v>
      </c>
      <c r="L530" s="14">
        <v>46145</v>
      </c>
      <c r="N530" s="13">
        <v>478</v>
      </c>
      <c r="P530" s="58" t="str">
        <f t="shared" si="56"/>
        <v>VJ Edgecombe</v>
      </c>
      <c r="Q530" s="58" t="str">
        <f>IFERROR(_xlfn.TEXTAFTER(_xlfn.XLOOKUP(A530,Collection!A:A,Collection!C:C,),"Cards "),C530)</f>
        <v>2025 Topps Holiday</v>
      </c>
      <c r="R530" s="58" t="str">
        <f t="shared" si="57"/>
        <v>-</v>
      </c>
      <c r="S530" s="58" t="str">
        <f>IFERROR(_xlfn.TEXTAFTER(_xlfn.XLOOKUP(A530,Collection!A:A,Collection!B:B,),"#"),"")</f>
        <v>H163</v>
      </c>
      <c r="T530" s="60">
        <f t="shared" si="58"/>
        <v>1.44</v>
      </c>
      <c r="U530" s="54" t="s">
        <v>1665</v>
      </c>
      <c r="V530" s="58" t="str">
        <f>IF(ISNUMBER(MATCH(N530,Catalog!$B$4:$B$16, 0)), "Keep", "For Sale")</f>
        <v>For Sale</v>
      </c>
      <c r="W530" s="58">
        <f t="shared" si="59"/>
        <v>1</v>
      </c>
      <c r="X530" s="58">
        <f t="shared" si="60"/>
        <v>4</v>
      </c>
      <c r="Y530" s="60">
        <f t="shared" si="61"/>
        <v>1.5</v>
      </c>
      <c r="Z530" s="60">
        <f t="shared" si="62"/>
        <v>1.25</v>
      </c>
      <c r="AE530"/>
      <c r="AF530"/>
      <c r="AG530"/>
    </row>
    <row r="531" spans="1:33" ht="14.4" x14ac:dyDescent="0.3">
      <c r="A531" s="13">
        <v>11105433</v>
      </c>
      <c r="B531" s="13" t="s">
        <v>1777</v>
      </c>
      <c r="C531" s="13" t="s">
        <v>549</v>
      </c>
      <c r="D531" s="13">
        <v>0</v>
      </c>
      <c r="E531" s="13" t="s">
        <v>171</v>
      </c>
      <c r="F531" s="13" t="s">
        <v>172</v>
      </c>
      <c r="I531" s="13">
        <v>0</v>
      </c>
      <c r="J531" s="13">
        <v>1</v>
      </c>
      <c r="K531" s="14">
        <v>46186</v>
      </c>
      <c r="N531" s="13">
        <v>604</v>
      </c>
      <c r="P531" s="58" t="str">
        <f t="shared" si="56"/>
        <v>Bolivia</v>
      </c>
      <c r="Q531" s="58" t="str">
        <f>IFERROR(_xlfn.TEXTAFTER(_xlfn.XLOOKUP(A531,Collection!A:A,Collection!C:C,),"Cards "),C531)</f>
        <v>1994 Upper Deck World Cup Soccer</v>
      </c>
      <c r="R531" s="58" t="str">
        <f t="shared" si="57"/>
        <v>-</v>
      </c>
      <c r="S531" s="58" t="str">
        <f>IFERROR(_xlfn.TEXTAFTER(_xlfn.XLOOKUP(A531,Collection!A:A,Collection!B:B,),"#"),"")</f>
        <v>318</v>
      </c>
      <c r="T531" s="60">
        <f t="shared" si="58"/>
        <v>0</v>
      </c>
      <c r="U531" s="54" t="s">
        <v>1807</v>
      </c>
      <c r="V531" s="58" t="str">
        <f>IF(ISNUMBER(MATCH(N531,Catalog!$B$4:$B$16, 0)), "Keep", "For Sale")</f>
        <v>For Sale</v>
      </c>
      <c r="W531" s="58">
        <f t="shared" si="59"/>
        <v>1</v>
      </c>
      <c r="X531" s="58">
        <f t="shared" si="60"/>
        <v>5</v>
      </c>
      <c r="Y531" s="60">
        <f t="shared" si="61"/>
        <v>0.25</v>
      </c>
      <c r="Z531" s="60">
        <f t="shared" si="62"/>
        <v>0.25</v>
      </c>
      <c r="AE531"/>
      <c r="AF531"/>
      <c r="AG531"/>
    </row>
    <row r="532" spans="1:33" ht="14.4" x14ac:dyDescent="0.3">
      <c r="A532" s="13">
        <v>10122040</v>
      </c>
      <c r="B532" s="13" t="s">
        <v>1224</v>
      </c>
      <c r="C532" s="13" t="s">
        <v>880</v>
      </c>
      <c r="D532" s="13">
        <v>25</v>
      </c>
      <c r="E532" s="13" t="s">
        <v>171</v>
      </c>
      <c r="F532" s="13" t="s">
        <v>172</v>
      </c>
      <c r="I532" s="13">
        <v>0</v>
      </c>
      <c r="J532" s="13">
        <v>1</v>
      </c>
      <c r="K532" s="14">
        <v>46172</v>
      </c>
      <c r="N532" s="13">
        <v>591</v>
      </c>
      <c r="P532" s="58" t="str">
        <f t="shared" si="56"/>
        <v>Caris LeVert</v>
      </c>
      <c r="Q532" s="58" t="str">
        <f>IFERROR(_xlfn.TEXTAFTER(_xlfn.XLOOKUP(A532,Collection!A:A,Collection!C:C,),"Cards "),C532)</f>
        <v>2024 Panini Haunted Hoops</v>
      </c>
      <c r="R532" s="58" t="str">
        <f t="shared" si="57"/>
        <v>Orange</v>
      </c>
      <c r="S532" s="58" t="str">
        <f>IFERROR(_xlfn.TEXTAFTER(_xlfn.XLOOKUP(A532,Collection!A:A,Collection!B:B,),"#"),"")</f>
        <v>155</v>
      </c>
      <c r="T532" s="60">
        <f t="shared" si="58"/>
        <v>0.25</v>
      </c>
      <c r="U532" s="54" t="s">
        <v>1640</v>
      </c>
      <c r="V532" s="58" t="str">
        <f>IF(ISNUMBER(MATCH(N532,Catalog!$B$4:$B$16, 0)), "Keep", "For Sale")</f>
        <v>For Sale</v>
      </c>
      <c r="W532" s="58">
        <f t="shared" si="59"/>
        <v>1</v>
      </c>
      <c r="X532" s="58">
        <f t="shared" si="60"/>
        <v>5</v>
      </c>
      <c r="Y532" s="60">
        <f t="shared" si="61"/>
        <v>0.25</v>
      </c>
      <c r="Z532" s="60">
        <f t="shared" si="62"/>
        <v>0.25</v>
      </c>
      <c r="AE532"/>
      <c r="AF532"/>
      <c r="AG532"/>
    </row>
    <row r="533" spans="1:33" ht="14.4" x14ac:dyDescent="0.3">
      <c r="A533" s="13">
        <v>12955099</v>
      </c>
      <c r="B533" s="13" t="s">
        <v>1156</v>
      </c>
      <c r="C533" s="13" t="s">
        <v>972</v>
      </c>
      <c r="D533" s="13">
        <v>0</v>
      </c>
      <c r="E533" s="13" t="s">
        <v>171</v>
      </c>
      <c r="F533" s="13" t="s">
        <v>172</v>
      </c>
      <c r="I533" s="13">
        <v>0</v>
      </c>
      <c r="J533" s="13">
        <v>1</v>
      </c>
      <c r="K533" s="14">
        <v>46172</v>
      </c>
      <c r="N533" s="13">
        <v>596</v>
      </c>
      <c r="P533" s="58" t="str">
        <f t="shared" si="56"/>
        <v>Chaz Lanier</v>
      </c>
      <c r="Q533" s="58" t="str">
        <f>IFERROR(_xlfn.TEXTAFTER(_xlfn.XLOOKUP(A533,Collection!A:A,Collection!C:C,),"Cards "),C533)</f>
        <v>2025 Topps NBA Hoops</v>
      </c>
      <c r="R533" s="58" t="str">
        <f t="shared" si="57"/>
        <v>-</v>
      </c>
      <c r="S533" s="58" t="str">
        <f>IFERROR(_xlfn.TEXTAFTER(_xlfn.XLOOKUP(A533,Collection!A:A,Collection!B:B,),"#"),"")</f>
        <v>218</v>
      </c>
      <c r="T533" s="60">
        <f t="shared" si="58"/>
        <v>0</v>
      </c>
      <c r="U533" s="54" t="s">
        <v>1564</v>
      </c>
      <c r="V533" s="58" t="str">
        <f>IF(ISNUMBER(MATCH(N533,Catalog!$B$4:$B$16, 0)), "Keep", "For Sale")</f>
        <v>For Sale</v>
      </c>
      <c r="W533" s="58">
        <f t="shared" si="59"/>
        <v>1</v>
      </c>
      <c r="X533" s="58">
        <f t="shared" si="60"/>
        <v>5</v>
      </c>
      <c r="Y533" s="60">
        <f t="shared" si="61"/>
        <v>0.25</v>
      </c>
      <c r="Z533" s="60">
        <f t="shared" si="62"/>
        <v>0.25</v>
      </c>
      <c r="AE533"/>
      <c r="AF533"/>
      <c r="AG533"/>
    </row>
    <row r="534" spans="1:33" ht="14.4" x14ac:dyDescent="0.3">
      <c r="A534" s="13">
        <v>7798609</v>
      </c>
      <c r="B534" s="13" t="s">
        <v>1278</v>
      </c>
      <c r="C534" s="13" t="s">
        <v>1018</v>
      </c>
      <c r="D534" s="13">
        <v>138</v>
      </c>
      <c r="E534" s="13" t="s">
        <v>171</v>
      </c>
      <c r="F534" s="13" t="s">
        <v>172</v>
      </c>
      <c r="I534" s="13">
        <v>0</v>
      </c>
      <c r="J534" s="13">
        <v>1</v>
      </c>
      <c r="K534" s="14">
        <v>46172</v>
      </c>
      <c r="N534" s="13">
        <v>459</v>
      </c>
      <c r="P534" s="58" t="str">
        <f t="shared" si="56"/>
        <v>Cole Anthony</v>
      </c>
      <c r="Q534" s="58" t="str">
        <f>IFERROR(_xlfn.TEXTAFTER(_xlfn.XLOOKUP(A534,Collection!A:A,Collection!C:C,),"Cards "),C534)</f>
        <v>2023 Panini Revolution</v>
      </c>
      <c r="R534" s="58" t="str">
        <f t="shared" si="57"/>
        <v>Avalanche</v>
      </c>
      <c r="S534" s="58" t="str">
        <f>IFERROR(_xlfn.TEXTAFTER(_xlfn.XLOOKUP(A534,Collection!A:A,Collection!B:B,),"#"),"")</f>
        <v>56</v>
      </c>
      <c r="T534" s="60">
        <f t="shared" si="58"/>
        <v>1.38</v>
      </c>
      <c r="U534" s="54" t="s">
        <v>1684</v>
      </c>
      <c r="V534" s="58" t="str">
        <f>IF(ISNUMBER(MATCH(N534,Catalog!$B$4:$B$16, 0)), "Keep", "For Sale")</f>
        <v>For Sale</v>
      </c>
      <c r="W534" s="58">
        <f t="shared" si="59"/>
        <v>1</v>
      </c>
      <c r="X534" s="58">
        <f t="shared" si="60"/>
        <v>5</v>
      </c>
      <c r="Y534" s="60">
        <f t="shared" si="61"/>
        <v>1.5</v>
      </c>
      <c r="Z534" s="60">
        <f t="shared" si="62"/>
        <v>1.25</v>
      </c>
      <c r="AE534"/>
      <c r="AF534"/>
      <c r="AG534"/>
    </row>
    <row r="535" spans="1:33" ht="14.4" x14ac:dyDescent="0.3">
      <c r="A535" s="13">
        <v>10818843</v>
      </c>
      <c r="B535" s="13" t="s">
        <v>1311</v>
      </c>
      <c r="C535" s="13" t="s">
        <v>307</v>
      </c>
      <c r="D535" s="13">
        <v>56</v>
      </c>
      <c r="E535" s="13" t="s">
        <v>171</v>
      </c>
      <c r="F535" s="13" t="s">
        <v>172</v>
      </c>
      <c r="I535" s="13">
        <v>0</v>
      </c>
      <c r="J535" s="13">
        <v>1</v>
      </c>
      <c r="K535" s="14">
        <v>46172</v>
      </c>
      <c r="N535" s="13">
        <v>581</v>
      </c>
      <c r="P535" s="58" t="str">
        <f t="shared" si="56"/>
        <v>Cole Anthony</v>
      </c>
      <c r="Q535" s="58" t="str">
        <f>IFERROR(_xlfn.TEXTAFTER(_xlfn.XLOOKUP(A535,Collection!A:A,Collection!C:C,),"Cards "),C535)</f>
        <v>2025 Topps</v>
      </c>
      <c r="R535" s="58" t="str">
        <f t="shared" si="57"/>
        <v>-</v>
      </c>
      <c r="S535" s="58" t="str">
        <f>IFERROR(_xlfn.TEXTAFTER(_xlfn.XLOOKUP(A535,Collection!A:A,Collection!B:B,),"#"),"")</f>
        <v>91</v>
      </c>
      <c r="T535" s="60">
        <f t="shared" si="58"/>
        <v>0.56000000000000005</v>
      </c>
      <c r="U535" s="54" t="s">
        <v>1684</v>
      </c>
      <c r="V535" s="58" t="str">
        <f>IF(ISNUMBER(MATCH(N535,Catalog!$B$4:$B$16, 0)), "Keep", "For Sale")</f>
        <v>For Sale</v>
      </c>
      <c r="W535" s="58">
        <f t="shared" si="59"/>
        <v>1</v>
      </c>
      <c r="X535" s="58">
        <f t="shared" si="60"/>
        <v>5</v>
      </c>
      <c r="Y535" s="60">
        <f t="shared" si="61"/>
        <v>0.5</v>
      </c>
      <c r="Z535" s="60">
        <f t="shared" si="62"/>
        <v>0.5</v>
      </c>
      <c r="AE535"/>
      <c r="AF535"/>
      <c r="AG535"/>
    </row>
    <row r="536" spans="1:33" ht="14.4" x14ac:dyDescent="0.3">
      <c r="A536" s="13">
        <v>3226146</v>
      </c>
      <c r="B536" s="13" t="s">
        <v>1177</v>
      </c>
      <c r="C536" s="13" t="s">
        <v>1152</v>
      </c>
      <c r="D536" s="13">
        <v>25</v>
      </c>
      <c r="E536" s="13" t="s">
        <v>171</v>
      </c>
      <c r="F536" s="13" t="s">
        <v>172</v>
      </c>
      <c r="I536" s="13">
        <v>0</v>
      </c>
      <c r="J536" s="13">
        <v>1</v>
      </c>
      <c r="K536" s="14">
        <v>46172</v>
      </c>
      <c r="N536" s="13">
        <v>589</v>
      </c>
      <c r="P536" s="58" t="str">
        <f t="shared" si="56"/>
        <v>Craig Lefferts</v>
      </c>
      <c r="Q536" s="58" t="str">
        <f>IFERROR(_xlfn.TEXTAFTER(_xlfn.XLOOKUP(A536,Collection!A:A,Collection!C:C,),"Cards "),C536)</f>
        <v>1992 Donruss</v>
      </c>
      <c r="R536" s="58" t="str">
        <f t="shared" si="57"/>
        <v>-</v>
      </c>
      <c r="S536" s="58" t="str">
        <f>IFERROR(_xlfn.TEXTAFTER(_xlfn.XLOOKUP(A536,Collection!A:A,Collection!B:B,),"#"),"")</f>
        <v>162</v>
      </c>
      <c r="T536" s="60">
        <f t="shared" si="58"/>
        <v>0.25</v>
      </c>
      <c r="U536" s="54" t="s">
        <v>1599</v>
      </c>
      <c r="V536" s="58" t="str">
        <f>IF(ISNUMBER(MATCH(N536,Catalog!$B$4:$B$16, 0)), "Keep", "For Sale")</f>
        <v>For Sale</v>
      </c>
      <c r="W536" s="58">
        <f t="shared" si="59"/>
        <v>1</v>
      </c>
      <c r="X536" s="58">
        <f t="shared" si="60"/>
        <v>5</v>
      </c>
      <c r="Y536" s="60">
        <f t="shared" si="61"/>
        <v>0.25</v>
      </c>
      <c r="Z536" s="60">
        <f t="shared" si="62"/>
        <v>0.25</v>
      </c>
      <c r="AE536"/>
      <c r="AF536"/>
      <c r="AG536"/>
    </row>
    <row r="537" spans="1:33" ht="14.4" x14ac:dyDescent="0.3">
      <c r="A537" s="13">
        <v>12523724</v>
      </c>
      <c r="B537" s="13" t="s">
        <v>1191</v>
      </c>
      <c r="C537" s="13" t="s">
        <v>953</v>
      </c>
      <c r="D537" s="13">
        <v>20</v>
      </c>
      <c r="E537" s="13" t="s">
        <v>171</v>
      </c>
      <c r="F537" s="13" t="s">
        <v>172</v>
      </c>
      <c r="I537" s="13">
        <v>0</v>
      </c>
      <c r="J537" s="13">
        <v>1</v>
      </c>
      <c r="K537" s="14">
        <v>46172</v>
      </c>
      <c r="N537" s="13">
        <v>580</v>
      </c>
      <c r="P537" s="58" t="str">
        <f t="shared" si="56"/>
        <v>Dalton Schultz</v>
      </c>
      <c r="Q537" s="58" t="str">
        <f>IFERROR(_xlfn.TEXTAFTER(_xlfn.XLOOKUP(A537,Collection!A:A,Collection!C:C,),"Cards "),C537)</f>
        <v>2025 Topps Chrome</v>
      </c>
      <c r="R537" s="58" t="str">
        <f t="shared" si="57"/>
        <v>-</v>
      </c>
      <c r="S537" s="58" t="str">
        <f>IFERROR(_xlfn.TEXTAFTER(_xlfn.XLOOKUP(A537,Collection!A:A,Collection!B:B,),"#"),"")</f>
        <v>118</v>
      </c>
      <c r="T537" s="60">
        <f t="shared" si="58"/>
        <v>0.2</v>
      </c>
      <c r="U537" s="54" t="s">
        <v>1612</v>
      </c>
      <c r="V537" s="58" t="str">
        <f>IF(ISNUMBER(MATCH(N537,Catalog!$B$4:$B$16, 0)), "Keep", "For Sale")</f>
        <v>For Sale</v>
      </c>
      <c r="W537" s="58">
        <f t="shared" si="59"/>
        <v>1</v>
      </c>
      <c r="X537" s="58">
        <f t="shared" si="60"/>
        <v>5</v>
      </c>
      <c r="Y537" s="60">
        <f t="shared" si="61"/>
        <v>0.25</v>
      </c>
      <c r="Z537" s="60">
        <f t="shared" si="62"/>
        <v>0.25</v>
      </c>
      <c r="AE537"/>
      <c r="AF537"/>
      <c r="AG537"/>
    </row>
    <row r="538" spans="1:33" ht="14.4" x14ac:dyDescent="0.3">
      <c r="A538" s="13">
        <v>9779919</v>
      </c>
      <c r="B538" s="13" t="s">
        <v>884</v>
      </c>
      <c r="C538" s="13" t="s">
        <v>585</v>
      </c>
      <c r="D538" s="13">
        <v>99</v>
      </c>
      <c r="E538" s="13" t="s">
        <v>171</v>
      </c>
      <c r="F538" s="13" t="s">
        <v>172</v>
      </c>
      <c r="H538" s="13" t="s">
        <v>885</v>
      </c>
      <c r="I538" s="13">
        <v>69</v>
      </c>
      <c r="J538" s="13">
        <v>1</v>
      </c>
      <c r="K538" s="14">
        <v>46156</v>
      </c>
      <c r="L538" s="14">
        <v>46155</v>
      </c>
      <c r="N538" s="13">
        <v>556</v>
      </c>
      <c r="P538" s="58" t="str">
        <f t="shared" si="56"/>
        <v>Dereck Lively II</v>
      </c>
      <c r="Q538" s="58" t="str">
        <f>IFERROR(_xlfn.TEXTAFTER(_xlfn.XLOOKUP(A538,Collection!A:A,Collection!C:C,),"Cards "),C538)</f>
        <v>2024 Panini Select</v>
      </c>
      <c r="R538" s="58" t="str">
        <f t="shared" si="57"/>
        <v>Green White Purple Prizm</v>
      </c>
      <c r="S538" s="58" t="str">
        <f>IFERROR(_xlfn.TEXTAFTER(_xlfn.XLOOKUP(A538,Collection!A:A,Collection!B:B,),"#"),"")</f>
        <v>26</v>
      </c>
      <c r="T538" s="60">
        <f t="shared" si="58"/>
        <v>0.99</v>
      </c>
      <c r="U538" s="54" t="s">
        <v>1613</v>
      </c>
      <c r="V538" s="58" t="str">
        <f>IF(ISNUMBER(MATCH(N538,Catalog!$B$4:$B$16, 0)), "Keep", "For Sale")</f>
        <v>For Sale</v>
      </c>
      <c r="W538" s="58">
        <f t="shared" si="59"/>
        <v>1</v>
      </c>
      <c r="X538" s="58">
        <f t="shared" si="60"/>
        <v>5</v>
      </c>
      <c r="Y538" s="60">
        <f t="shared" si="61"/>
        <v>1</v>
      </c>
      <c r="Z538" s="60">
        <f t="shared" si="62"/>
        <v>0.5</v>
      </c>
      <c r="AE538"/>
      <c r="AF538"/>
      <c r="AG538"/>
    </row>
    <row r="539" spans="1:33" ht="14.4" x14ac:dyDescent="0.3">
      <c r="A539" s="13">
        <v>12952668</v>
      </c>
      <c r="B539" s="13" t="s">
        <v>1013</v>
      </c>
      <c r="C539" s="13" t="s">
        <v>972</v>
      </c>
      <c r="D539" s="13">
        <v>0</v>
      </c>
      <c r="E539" s="13" t="s">
        <v>171</v>
      </c>
      <c r="F539" s="13" t="s">
        <v>172</v>
      </c>
      <c r="H539" s="13" t="s">
        <v>1014</v>
      </c>
      <c r="I539" s="13">
        <v>148</v>
      </c>
      <c r="J539" s="13">
        <v>1</v>
      </c>
      <c r="K539" s="14">
        <v>46164</v>
      </c>
      <c r="L539" s="14">
        <v>46157</v>
      </c>
      <c r="N539" s="13">
        <v>610</v>
      </c>
      <c r="P539" s="58" t="str">
        <f t="shared" si="56"/>
        <v>Draymond Green</v>
      </c>
      <c r="Q539" s="58" t="str">
        <f>IFERROR(_xlfn.TEXTAFTER(_xlfn.XLOOKUP(A539,Collection!A:A,Collection!C:C,),"Cards "),C539)</f>
        <v>2025 Topps NBA Hoops</v>
      </c>
      <c r="R539" s="58" t="str">
        <f t="shared" si="57"/>
        <v>Rainbow Red Orange</v>
      </c>
      <c r="S539" s="58" t="str">
        <f>IFERROR(_xlfn.TEXTAFTER(_xlfn.XLOOKUP(A539,Collection!A:A,Collection!B:B,),"#"),"")</f>
        <v>120</v>
      </c>
      <c r="T539" s="60">
        <f t="shared" si="58"/>
        <v>0</v>
      </c>
      <c r="U539" s="54" t="s">
        <v>1675</v>
      </c>
      <c r="V539" s="58" t="str">
        <f>IF(ISNUMBER(MATCH(N539,Catalog!$B$4:$B$16, 0)), "Keep", "For Sale")</f>
        <v>For Sale</v>
      </c>
      <c r="W539" s="58">
        <f t="shared" si="59"/>
        <v>1</v>
      </c>
      <c r="X539" s="58">
        <f t="shared" si="60"/>
        <v>5</v>
      </c>
      <c r="Y539" s="60">
        <f t="shared" si="61"/>
        <v>2</v>
      </c>
      <c r="Z539" s="60">
        <f t="shared" si="62"/>
        <v>0.25</v>
      </c>
      <c r="AE539"/>
      <c r="AF539"/>
      <c r="AG539"/>
    </row>
    <row r="540" spans="1:33" ht="14.4" x14ac:dyDescent="0.3">
      <c r="A540" s="13">
        <v>5157791</v>
      </c>
      <c r="B540" s="13" t="s">
        <v>292</v>
      </c>
      <c r="C540" s="13" t="s">
        <v>293</v>
      </c>
      <c r="D540" s="13">
        <v>115</v>
      </c>
      <c r="E540" s="13" t="s">
        <v>171</v>
      </c>
      <c r="F540" s="13" t="s">
        <v>172</v>
      </c>
      <c r="I540" s="13">
        <v>0</v>
      </c>
      <c r="J540" s="13">
        <v>1</v>
      </c>
      <c r="K540" s="14">
        <v>46128</v>
      </c>
      <c r="L540" s="14">
        <v>46128</v>
      </c>
      <c r="N540" s="13">
        <v>511</v>
      </c>
      <c r="P540" s="58" t="str">
        <f t="shared" si="56"/>
        <v>Eddie Jones</v>
      </c>
      <c r="Q540" s="58" t="str">
        <f>IFERROR(_xlfn.TEXTAFTER(_xlfn.XLOOKUP(A540,Collection!A:A,Collection!C:C,),"Cards "),C540)</f>
        <v>1994 Ultra All Rookies</v>
      </c>
      <c r="R540" s="58" t="str">
        <f t="shared" si="57"/>
        <v>-</v>
      </c>
      <c r="S540" s="58" t="str">
        <f>IFERROR(_xlfn.TEXTAFTER(_xlfn.XLOOKUP(A540,Collection!A:A,Collection!B:B,),"#"),"")</f>
        <v>4</v>
      </c>
      <c r="T540" s="60">
        <f t="shared" si="58"/>
        <v>1.1499999999999999</v>
      </c>
      <c r="U540" s="54" t="s">
        <v>1638</v>
      </c>
      <c r="V540" s="58" t="str">
        <f>IF(ISNUMBER(MATCH(N540,Catalog!$B$4:$B$16, 0)), "Keep", "For Sale")</f>
        <v>For Sale</v>
      </c>
      <c r="W540" s="58">
        <f t="shared" si="59"/>
        <v>1</v>
      </c>
      <c r="X540" s="58">
        <f t="shared" si="60"/>
        <v>5</v>
      </c>
      <c r="Y540" s="60">
        <f t="shared" si="61"/>
        <v>1.25</v>
      </c>
      <c r="Z540" s="60">
        <f t="shared" si="62"/>
        <v>1</v>
      </c>
      <c r="AE540"/>
      <c r="AF540"/>
      <c r="AG540"/>
    </row>
    <row r="541" spans="1:33" ht="14.4" x14ac:dyDescent="0.3">
      <c r="A541" s="13">
        <v>6854632</v>
      </c>
      <c r="B541" s="13" t="s">
        <v>389</v>
      </c>
      <c r="C541" s="13" t="s">
        <v>328</v>
      </c>
      <c r="D541" s="13">
        <v>0</v>
      </c>
      <c r="E541" s="13" t="s">
        <v>171</v>
      </c>
      <c r="F541" s="13" t="s">
        <v>172</v>
      </c>
      <c r="I541" s="13">
        <v>0</v>
      </c>
      <c r="J541" s="13">
        <v>1</v>
      </c>
      <c r="K541" s="14">
        <v>46128</v>
      </c>
      <c r="L541" s="14">
        <v>46128</v>
      </c>
      <c r="N541" s="13">
        <v>612</v>
      </c>
      <c r="P541" s="58" t="str">
        <f t="shared" si="56"/>
        <v>Eddie Jones</v>
      </c>
      <c r="Q541" s="58" t="str">
        <f>IFERROR(_xlfn.TEXTAFTER(_xlfn.XLOOKUP(A541,Collection!A:A,Collection!C:C,),"Cards "),C541)</f>
        <v>1996 Upper Deck Fast Break Connection</v>
      </c>
      <c r="R541" s="58" t="str">
        <f t="shared" si="57"/>
        <v>-</v>
      </c>
      <c r="S541" s="58" t="str">
        <f>IFERROR(_xlfn.TEXTAFTER(_xlfn.XLOOKUP(A541,Collection!A:A,Collection!B:B,),"#"),"")</f>
        <v>FB9</v>
      </c>
      <c r="T541" s="60">
        <f t="shared" si="58"/>
        <v>0</v>
      </c>
      <c r="U541" s="54" t="s">
        <v>1638</v>
      </c>
      <c r="V541" s="58" t="str">
        <f>IF(ISNUMBER(MATCH(N541,Catalog!$B$4:$B$16, 0)), "Keep", "For Sale")</f>
        <v>For Sale</v>
      </c>
      <c r="W541" s="58">
        <f t="shared" si="59"/>
        <v>1</v>
      </c>
      <c r="X541" s="58">
        <f t="shared" si="60"/>
        <v>5</v>
      </c>
      <c r="Y541" s="60">
        <f t="shared" si="61"/>
        <v>0.25</v>
      </c>
      <c r="Z541" s="60">
        <f t="shared" si="62"/>
        <v>0.25</v>
      </c>
      <c r="AE541"/>
      <c r="AF541"/>
      <c r="AG541"/>
    </row>
    <row r="542" spans="1:33" ht="14.4" x14ac:dyDescent="0.3">
      <c r="A542" s="13">
        <v>13162475</v>
      </c>
      <c r="B542" s="13" t="s">
        <v>1761</v>
      </c>
      <c r="C542" s="13" t="s">
        <v>1161</v>
      </c>
      <c r="D542" s="13">
        <v>0</v>
      </c>
      <c r="E542" s="13" t="s">
        <v>171</v>
      </c>
      <c r="F542" s="13" t="s">
        <v>172</v>
      </c>
      <c r="I542" s="13">
        <v>0</v>
      </c>
      <c r="J542" s="13">
        <v>1</v>
      </c>
      <c r="K542" s="14">
        <v>46172</v>
      </c>
      <c r="N542" s="13">
        <v>597</v>
      </c>
      <c r="P542" s="58" t="str">
        <f t="shared" si="56"/>
        <v>Gheorghe MureÈ™an</v>
      </c>
      <c r="Q542" s="58" t="str">
        <f>IFERROR(_xlfn.TEXTAFTER(_xlfn.XLOOKUP(A542,Collection!A:A,Collection!C:C,),"Cards "),C542)</f>
        <v>1996 Upper Deck Generation Excitement</v>
      </c>
      <c r="R542" s="58" t="str">
        <f t="shared" si="57"/>
        <v>-</v>
      </c>
      <c r="S542" s="58" t="str">
        <f>IFERROR(_xlfn.TEXTAFTER(_xlfn.XLOOKUP(A542,Collection!A:A,Collection!B:B,),"#"),"")</f>
        <v>G20</v>
      </c>
      <c r="T542" s="60">
        <f t="shared" si="58"/>
        <v>0</v>
      </c>
      <c r="U542" s="54" t="s">
        <v>1799</v>
      </c>
      <c r="V542" s="58" t="str">
        <f>IF(ISNUMBER(MATCH(N542,Catalog!$B$4:$B$16, 0)), "Keep", "For Sale")</f>
        <v>For Sale</v>
      </c>
      <c r="W542" s="58">
        <f t="shared" si="59"/>
        <v>1</v>
      </c>
      <c r="X542" s="58">
        <f t="shared" si="60"/>
        <v>5</v>
      </c>
      <c r="Y542" s="60">
        <f t="shared" si="61"/>
        <v>0.25</v>
      </c>
      <c r="Z542" s="60">
        <f t="shared" si="62"/>
        <v>0.25</v>
      </c>
      <c r="AE542"/>
      <c r="AF542"/>
      <c r="AG542"/>
    </row>
    <row r="543" spans="1:33" ht="14.4" x14ac:dyDescent="0.3">
      <c r="A543" s="13">
        <v>11105434</v>
      </c>
      <c r="B543" s="13" t="s">
        <v>1772</v>
      </c>
      <c r="C543" s="13" t="s">
        <v>549</v>
      </c>
      <c r="D543" s="13">
        <v>99</v>
      </c>
      <c r="E543" s="13" t="s">
        <v>171</v>
      </c>
      <c r="F543" s="13" t="s">
        <v>172</v>
      </c>
      <c r="I543" s="13">
        <v>0</v>
      </c>
      <c r="J543" s="13">
        <v>1</v>
      </c>
      <c r="K543" s="14">
        <v>46186</v>
      </c>
      <c r="N543" s="13">
        <v>601</v>
      </c>
      <c r="P543" s="58" t="str">
        <f t="shared" si="56"/>
        <v>Italy</v>
      </c>
      <c r="Q543" s="58" t="str">
        <f>IFERROR(_xlfn.TEXTAFTER(_xlfn.XLOOKUP(A543,Collection!A:A,Collection!C:C,),"Cards "),C543)</f>
        <v>1994 Upper Deck World Cup Soccer</v>
      </c>
      <c r="R543" s="58" t="str">
        <f t="shared" si="57"/>
        <v>-</v>
      </c>
      <c r="S543" s="58" t="str">
        <f>IFERROR(_xlfn.TEXTAFTER(_xlfn.XLOOKUP(A543,Collection!A:A,Collection!B:B,),"#"),"")</f>
        <v>320</v>
      </c>
      <c r="T543" s="60">
        <f t="shared" si="58"/>
        <v>0.99</v>
      </c>
      <c r="U543" s="54" t="s">
        <v>1802</v>
      </c>
      <c r="V543" s="58" t="str">
        <f>IF(ISNUMBER(MATCH(N543,Catalog!$B$4:$B$16, 0)), "Keep", "For Sale")</f>
        <v>For Sale</v>
      </c>
      <c r="W543" s="58">
        <f t="shared" si="59"/>
        <v>1</v>
      </c>
      <c r="X543" s="58">
        <f t="shared" si="60"/>
        <v>5</v>
      </c>
      <c r="Y543" s="60">
        <f t="shared" si="61"/>
        <v>1</v>
      </c>
      <c r="Z543" s="60">
        <f t="shared" si="62"/>
        <v>0.75</v>
      </c>
      <c r="AE543"/>
      <c r="AF543"/>
      <c r="AG543"/>
    </row>
    <row r="544" spans="1:33" ht="14.4" x14ac:dyDescent="0.3">
      <c r="A544" s="13">
        <v>12950794</v>
      </c>
      <c r="B544" s="13" t="s">
        <v>1006</v>
      </c>
      <c r="C544" s="13" t="s">
        <v>972</v>
      </c>
      <c r="D544" s="13">
        <v>0</v>
      </c>
      <c r="E544" s="13" t="s">
        <v>171</v>
      </c>
      <c r="F544" s="13" t="s">
        <v>172</v>
      </c>
      <c r="H544" s="13" t="s">
        <v>1007</v>
      </c>
      <c r="I544" s="13">
        <v>157</v>
      </c>
      <c r="J544" s="13">
        <v>1</v>
      </c>
      <c r="K544" s="14">
        <v>46164</v>
      </c>
      <c r="L544" s="14">
        <v>46161</v>
      </c>
      <c r="N544" s="13">
        <v>606</v>
      </c>
      <c r="P544" s="58" t="str">
        <f t="shared" si="56"/>
        <v>James Harden</v>
      </c>
      <c r="Q544" s="58" t="str">
        <f>IFERROR(_xlfn.TEXTAFTER(_xlfn.XLOOKUP(A544,Collection!A:A,Collection!C:C,),"Cards "),C544)</f>
        <v>2025 Topps NBA Hoops</v>
      </c>
      <c r="R544" s="58" t="str">
        <f t="shared" si="57"/>
        <v>Orange Hoops</v>
      </c>
      <c r="S544" s="58" t="str">
        <f>IFERROR(_xlfn.TEXTAFTER(_xlfn.XLOOKUP(A544,Collection!A:A,Collection!B:B,),"#"),"")</f>
        <v>71</v>
      </c>
      <c r="T544" s="60">
        <f t="shared" si="58"/>
        <v>0</v>
      </c>
      <c r="U544" s="54" t="s">
        <v>1663</v>
      </c>
      <c r="V544" s="58" t="str">
        <f>IF(ISNUMBER(MATCH(N544,Catalog!$B$4:$B$16, 0)), "Keep", "For Sale")</f>
        <v>For Sale</v>
      </c>
      <c r="W544" s="58">
        <f t="shared" si="59"/>
        <v>1</v>
      </c>
      <c r="X544" s="58">
        <f t="shared" si="60"/>
        <v>5</v>
      </c>
      <c r="Y544" s="60">
        <f t="shared" si="61"/>
        <v>2</v>
      </c>
      <c r="Z544" s="60">
        <f t="shared" si="62"/>
        <v>0.25</v>
      </c>
      <c r="AE544"/>
      <c r="AF544"/>
      <c r="AG544"/>
    </row>
    <row r="545" spans="1:33" ht="14.4" x14ac:dyDescent="0.3">
      <c r="A545" s="13">
        <v>7641295</v>
      </c>
      <c r="B545" s="13" t="s">
        <v>570</v>
      </c>
      <c r="C545" s="13" t="s">
        <v>549</v>
      </c>
      <c r="D545" s="13">
        <v>99</v>
      </c>
      <c r="E545" s="13" t="s">
        <v>171</v>
      </c>
      <c r="F545" s="13" t="s">
        <v>172</v>
      </c>
      <c r="I545" s="13">
        <v>0</v>
      </c>
      <c r="J545" s="13">
        <v>1</v>
      </c>
      <c r="K545" s="14">
        <v>46129</v>
      </c>
      <c r="N545" s="13">
        <v>555</v>
      </c>
      <c r="P545" s="58" t="str">
        <f t="shared" si="56"/>
        <v>John Doyle</v>
      </c>
      <c r="Q545" s="58" t="str">
        <f>IFERROR(_xlfn.TEXTAFTER(_xlfn.XLOOKUP(A545,Collection!A:A,Collection!C:C,),"Cards "),C545)</f>
        <v>1994 Upper Deck World Cup Soccer</v>
      </c>
      <c r="R545" s="58" t="str">
        <f t="shared" si="57"/>
        <v>-</v>
      </c>
      <c r="S545" s="58" t="str">
        <f>IFERROR(_xlfn.TEXTAFTER(_xlfn.XLOOKUP(A545,Collection!A:A,Collection!B:B,),"#"),"")</f>
        <v>5</v>
      </c>
      <c r="T545" s="60">
        <f t="shared" si="58"/>
        <v>0.99</v>
      </c>
      <c r="U545" s="54" t="s">
        <v>1610</v>
      </c>
      <c r="V545" s="58" t="str">
        <f>IF(ISNUMBER(MATCH(N545,Catalog!$B$4:$B$16, 0)), "Keep", "For Sale")</f>
        <v>For Sale</v>
      </c>
      <c r="W545" s="58">
        <f t="shared" si="59"/>
        <v>1</v>
      </c>
      <c r="X545" s="58">
        <f t="shared" si="60"/>
        <v>5</v>
      </c>
      <c r="Y545" s="60">
        <f t="shared" si="61"/>
        <v>1</v>
      </c>
      <c r="Z545" s="60">
        <f t="shared" si="62"/>
        <v>0.75</v>
      </c>
      <c r="AE545"/>
      <c r="AF545"/>
      <c r="AG545"/>
    </row>
    <row r="546" spans="1:33" ht="14.4" x14ac:dyDescent="0.3">
      <c r="A546" s="13">
        <v>6060362</v>
      </c>
      <c r="B546" s="13" t="s">
        <v>1304</v>
      </c>
      <c r="C546" s="13" t="s">
        <v>423</v>
      </c>
      <c r="D546" s="13">
        <v>99</v>
      </c>
      <c r="E546" s="13" t="s">
        <v>171</v>
      </c>
      <c r="F546" s="13" t="s">
        <v>172</v>
      </c>
      <c r="I546" s="13">
        <v>0</v>
      </c>
      <c r="J546" s="13">
        <v>1</v>
      </c>
      <c r="K546" s="14">
        <v>46172</v>
      </c>
      <c r="N546" s="13">
        <v>575</v>
      </c>
      <c r="P546" s="58" t="str">
        <f t="shared" si="56"/>
        <v>Jrue Holiday</v>
      </c>
      <c r="Q546" s="58" t="str">
        <f>IFERROR(_xlfn.TEXTAFTER(_xlfn.XLOOKUP(A546,Collection!A:A,Collection!C:C,),"Cards "),C546)</f>
        <v>2023 Panini Hoops</v>
      </c>
      <c r="R546" s="58" t="str">
        <f t="shared" si="57"/>
        <v>Blue</v>
      </c>
      <c r="S546" s="58" t="str">
        <f>IFERROR(_xlfn.TEXTAFTER(_xlfn.XLOOKUP(A546,Collection!A:A,Collection!B:B,),"#"),"")</f>
        <v>200</v>
      </c>
      <c r="T546" s="60">
        <f t="shared" si="58"/>
        <v>0.99</v>
      </c>
      <c r="U546" s="54" t="s">
        <v>1692</v>
      </c>
      <c r="V546" s="58" t="str">
        <f>IF(ISNUMBER(MATCH(N546,Catalog!$B$4:$B$16, 0)), "Keep", "For Sale")</f>
        <v>For Sale</v>
      </c>
      <c r="W546" s="58">
        <f t="shared" si="59"/>
        <v>1</v>
      </c>
      <c r="X546" s="58">
        <f t="shared" si="60"/>
        <v>5</v>
      </c>
      <c r="Y546" s="60">
        <f t="shared" si="61"/>
        <v>1</v>
      </c>
      <c r="Z546" s="60">
        <f t="shared" si="62"/>
        <v>0.75</v>
      </c>
      <c r="AE546"/>
      <c r="AF546"/>
      <c r="AG546"/>
    </row>
    <row r="547" spans="1:33" ht="14.4" x14ac:dyDescent="0.3">
      <c r="A547" s="13">
        <v>11829215</v>
      </c>
      <c r="B547" s="13" t="s">
        <v>1771</v>
      </c>
      <c r="C547" s="13" t="s">
        <v>635</v>
      </c>
      <c r="D547" s="13">
        <v>0</v>
      </c>
      <c r="E547" s="13" t="s">
        <v>171</v>
      </c>
      <c r="F547" s="13" t="s">
        <v>172</v>
      </c>
      <c r="I547" s="13">
        <v>0</v>
      </c>
      <c r="J547" s="13">
        <v>1</v>
      </c>
      <c r="K547" s="14">
        <v>46186</v>
      </c>
      <c r="N547" s="13">
        <v>598</v>
      </c>
      <c r="P547" s="58" t="str">
        <f t="shared" si="56"/>
        <v>Karl-Anthony Towns</v>
      </c>
      <c r="Q547" s="58" t="str">
        <f>IFERROR(_xlfn.TEXTAFTER(_xlfn.XLOOKUP(A547,Collection!A:A,Collection!C:C,),"Cards "),C547)</f>
        <v>2025 Topps Match Attax</v>
      </c>
      <c r="R547" s="58" t="str">
        <f t="shared" si="57"/>
        <v>Purple</v>
      </c>
      <c r="S547" s="58" t="str">
        <f>IFERROR(_xlfn.TEXTAFTER(_xlfn.XLOOKUP(A547,Collection!A:A,Collection!B:B,),"#"),"")</f>
        <v>12</v>
      </c>
      <c r="T547" s="60">
        <f t="shared" si="58"/>
        <v>0</v>
      </c>
      <c r="U547" s="54" t="s">
        <v>1801</v>
      </c>
      <c r="V547" s="58" t="str">
        <f>IF(ISNUMBER(MATCH(N547,Catalog!$B$4:$B$16, 0)), "Keep", "For Sale")</f>
        <v>For Sale</v>
      </c>
      <c r="W547" s="58">
        <f t="shared" si="59"/>
        <v>1</v>
      </c>
      <c r="X547" s="58">
        <f t="shared" si="60"/>
        <v>5</v>
      </c>
      <c r="Y547" s="60">
        <f t="shared" si="61"/>
        <v>0.25</v>
      </c>
      <c r="Z547" s="60">
        <f t="shared" si="62"/>
        <v>0.25</v>
      </c>
      <c r="AE547"/>
      <c r="AF547"/>
      <c r="AG547"/>
    </row>
    <row r="548" spans="1:33" ht="14.4" x14ac:dyDescent="0.3">
      <c r="A548" s="13">
        <v>12518888</v>
      </c>
      <c r="B548" s="13" t="s">
        <v>1272</v>
      </c>
      <c r="C548" s="13" t="s">
        <v>953</v>
      </c>
      <c r="D548" s="13">
        <v>80</v>
      </c>
      <c r="E548" s="13" t="s">
        <v>171</v>
      </c>
      <c r="F548" s="13" t="s">
        <v>172</v>
      </c>
      <c r="I548" s="13">
        <v>0</v>
      </c>
      <c r="J548" s="13">
        <v>1</v>
      </c>
      <c r="K548" s="14">
        <v>46172</v>
      </c>
      <c r="N548" s="13">
        <v>579</v>
      </c>
      <c r="P548" s="58" t="str">
        <f t="shared" si="56"/>
        <v>Kyle Pitts</v>
      </c>
      <c r="Q548" s="58" t="str">
        <f>IFERROR(_xlfn.TEXTAFTER(_xlfn.XLOOKUP(A548,Collection!A:A,Collection!C:C,),"Cards "),C548)</f>
        <v>2025 Topps Chrome</v>
      </c>
      <c r="R548" s="58" t="str">
        <f t="shared" si="57"/>
        <v>-</v>
      </c>
      <c r="S548" s="58" t="str">
        <f>IFERROR(_xlfn.TEXTAFTER(_xlfn.XLOOKUP(A548,Collection!A:A,Collection!B:B,),"#"),"")</f>
        <v>14</v>
      </c>
      <c r="T548" s="60">
        <f t="shared" si="58"/>
        <v>0.8</v>
      </c>
      <c r="U548" s="54" t="s">
        <v>1680</v>
      </c>
      <c r="V548" s="58" t="str">
        <f>IF(ISNUMBER(MATCH(N548,Catalog!$B$4:$B$16, 0)), "Keep", "For Sale")</f>
        <v>For Sale</v>
      </c>
      <c r="W548" s="58">
        <f t="shared" si="59"/>
        <v>1</v>
      </c>
      <c r="X548" s="58">
        <f t="shared" si="60"/>
        <v>5</v>
      </c>
      <c r="Y548" s="60">
        <f t="shared" si="61"/>
        <v>0.75</v>
      </c>
      <c r="Z548" s="60">
        <f t="shared" si="62"/>
        <v>0.75</v>
      </c>
      <c r="AE548"/>
      <c r="AF548"/>
      <c r="AG548"/>
    </row>
    <row r="549" spans="1:33" ht="14.4" x14ac:dyDescent="0.3">
      <c r="A549" s="13">
        <v>11145114</v>
      </c>
      <c r="B549" s="13" t="s">
        <v>921</v>
      </c>
      <c r="C549" s="13" t="s">
        <v>922</v>
      </c>
      <c r="D549" s="13">
        <v>0</v>
      </c>
      <c r="E549" s="13" t="s">
        <v>171</v>
      </c>
      <c r="F549" s="13" t="s">
        <v>172</v>
      </c>
      <c r="H549" s="13" t="s">
        <v>923</v>
      </c>
      <c r="I549" s="13">
        <v>251</v>
      </c>
      <c r="J549" s="13">
        <v>1</v>
      </c>
      <c r="K549" s="14">
        <v>46157</v>
      </c>
      <c r="L549" s="14">
        <v>46156</v>
      </c>
      <c r="N549" s="13">
        <v>609</v>
      </c>
      <c r="P549" s="58" t="str">
        <f t="shared" si="56"/>
        <v>Lamar Jackson</v>
      </c>
      <c r="Q549" s="58" t="str">
        <f>IFERROR(_xlfn.TEXTAFTER(_xlfn.XLOOKUP(A549,Collection!A:A,Collection!C:C,),"Cards "),C549)</f>
        <v>2025 Panini Phoenix</v>
      </c>
      <c r="R549" s="58" t="str">
        <f t="shared" si="57"/>
        <v>Green Hyper</v>
      </c>
      <c r="S549" s="58" t="str">
        <f>IFERROR(_xlfn.TEXTAFTER(_xlfn.XLOOKUP(A549,Collection!A:A,Collection!B:B,),"#"),"")</f>
        <v>144</v>
      </c>
      <c r="T549" s="60">
        <f t="shared" si="58"/>
        <v>0</v>
      </c>
      <c r="U549" s="54" t="s">
        <v>1674</v>
      </c>
      <c r="V549" s="58" t="str">
        <f>IF(ISNUMBER(MATCH(N549,Catalog!$B$4:$B$16, 0)), "Keep", "For Sale")</f>
        <v>For Sale</v>
      </c>
      <c r="W549" s="58">
        <f t="shared" si="59"/>
        <v>1</v>
      </c>
      <c r="X549" s="58">
        <f t="shared" si="60"/>
        <v>5</v>
      </c>
      <c r="Y549" s="60">
        <f t="shared" si="61"/>
        <v>3</v>
      </c>
      <c r="Z549" s="60">
        <f t="shared" si="62"/>
        <v>0.25</v>
      </c>
      <c r="AE549"/>
      <c r="AF549"/>
      <c r="AG549"/>
    </row>
    <row r="550" spans="1:33" ht="14.4" x14ac:dyDescent="0.3">
      <c r="A550" s="13">
        <v>13163237</v>
      </c>
      <c r="B550" s="13" t="s">
        <v>1205</v>
      </c>
      <c r="C550" s="13" t="s">
        <v>189</v>
      </c>
      <c r="D550" s="13">
        <v>0</v>
      </c>
      <c r="E550" s="13" t="s">
        <v>171</v>
      </c>
      <c r="F550" s="13" t="s">
        <v>172</v>
      </c>
      <c r="I550" s="13">
        <v>0</v>
      </c>
      <c r="J550" s="13">
        <v>1</v>
      </c>
      <c r="K550" s="14">
        <v>46173</v>
      </c>
      <c r="N550" s="13">
        <v>600</v>
      </c>
      <c r="P550" s="58" t="str">
        <f t="shared" si="56"/>
        <v>Michael Doleac</v>
      </c>
      <c r="Q550" s="58" t="str">
        <f>IFERROR(_xlfn.TEXTAFTER(_xlfn.XLOOKUP(A550,Collection!A:A,Collection!C:C,),"Cards "),C550)</f>
        <v>1998 Upper Deck Black Diamond</v>
      </c>
      <c r="R550" s="58" t="str">
        <f t="shared" si="57"/>
        <v>Double</v>
      </c>
      <c r="S550" s="58" t="str">
        <f>IFERROR(_xlfn.TEXTAFTER(_xlfn.XLOOKUP(A550,Collection!A:A,Collection!B:B,),"#"),"")</f>
        <v>114</v>
      </c>
      <c r="T550" s="60">
        <f t="shared" si="58"/>
        <v>0</v>
      </c>
      <c r="U550" s="54" t="s">
        <v>1624</v>
      </c>
      <c r="V550" s="58" t="str">
        <f>IF(ISNUMBER(MATCH(N550,Catalog!$B$4:$B$16, 0)), "Keep", "For Sale")</f>
        <v>For Sale</v>
      </c>
      <c r="W550" s="58">
        <f t="shared" si="59"/>
        <v>1</v>
      </c>
      <c r="X550" s="58">
        <f t="shared" si="60"/>
        <v>5</v>
      </c>
      <c r="Y550" s="60">
        <f t="shared" si="61"/>
        <v>0.25</v>
      </c>
      <c r="Z550" s="60">
        <f t="shared" si="62"/>
        <v>0.25</v>
      </c>
      <c r="AE550"/>
      <c r="AF550"/>
      <c r="AG550"/>
    </row>
    <row r="551" spans="1:33" ht="14.4" x14ac:dyDescent="0.3">
      <c r="A551" s="13">
        <v>8312191</v>
      </c>
      <c r="B551" s="13" t="s">
        <v>1168</v>
      </c>
      <c r="C551" s="13" t="s">
        <v>1169</v>
      </c>
      <c r="D551" s="13">
        <v>130</v>
      </c>
      <c r="E551" s="13" t="s">
        <v>171</v>
      </c>
      <c r="F551" s="13" t="s">
        <v>172</v>
      </c>
      <c r="I551" s="13">
        <v>0</v>
      </c>
      <c r="J551" s="13">
        <v>1</v>
      </c>
      <c r="K551" s="14">
        <v>46172</v>
      </c>
      <c r="N551" s="13">
        <v>470</v>
      </c>
      <c r="P551" s="58" t="str">
        <f t="shared" si="56"/>
        <v>Nolan Ryan</v>
      </c>
      <c r="Q551" s="58" t="str">
        <f>IFERROR(_xlfn.TEXTAFTER(_xlfn.XLOOKUP(A551,Collection!A:A,Collection!C:C,),"Cards "),C551)</f>
        <v>1992 Donruss Coca Cola Nolan Ryan</v>
      </c>
      <c r="R551" s="58" t="str">
        <f t="shared" si="57"/>
        <v>-</v>
      </c>
      <c r="S551" s="58" t="str">
        <f>IFERROR(_xlfn.TEXTAFTER(_xlfn.XLOOKUP(A551,Collection!A:A,Collection!B:B,),"#"),"")</f>
        <v>21</v>
      </c>
      <c r="T551" s="60">
        <f t="shared" si="58"/>
        <v>1.3</v>
      </c>
      <c r="U551" s="54" t="s">
        <v>1594</v>
      </c>
      <c r="V551" s="58" t="str">
        <f>IF(ISNUMBER(MATCH(N551,Catalog!$B$4:$B$16, 0)), "Keep", "For Sale")</f>
        <v>For Sale</v>
      </c>
      <c r="W551" s="58">
        <f t="shared" si="59"/>
        <v>1</v>
      </c>
      <c r="X551" s="58">
        <f t="shared" si="60"/>
        <v>5</v>
      </c>
      <c r="Y551" s="60">
        <f t="shared" si="61"/>
        <v>1.5</v>
      </c>
      <c r="Z551" s="60">
        <f t="shared" si="62"/>
        <v>1.25</v>
      </c>
      <c r="AE551"/>
      <c r="AF551"/>
      <c r="AG551"/>
    </row>
    <row r="552" spans="1:33" ht="14.4" x14ac:dyDescent="0.3">
      <c r="A552" s="13">
        <v>6329652</v>
      </c>
      <c r="B552" s="13" t="s">
        <v>1170</v>
      </c>
      <c r="C552" s="13" t="s">
        <v>1169</v>
      </c>
      <c r="D552" s="13">
        <v>25</v>
      </c>
      <c r="E552" s="13" t="s">
        <v>171</v>
      </c>
      <c r="F552" s="13" t="s">
        <v>172</v>
      </c>
      <c r="I552" s="13">
        <v>0</v>
      </c>
      <c r="J552" s="13">
        <v>1</v>
      </c>
      <c r="K552" s="14">
        <v>46172</v>
      </c>
      <c r="N552" s="13">
        <v>588</v>
      </c>
      <c r="P552" s="58" t="str">
        <f t="shared" si="56"/>
        <v>Nolan Ryan</v>
      </c>
      <c r="Q552" s="58" t="str">
        <f>IFERROR(_xlfn.TEXTAFTER(_xlfn.XLOOKUP(A552,Collection!A:A,Collection!C:C,),"Cards "),C552)</f>
        <v>1992 Donruss Coca Cola Nolan Ryan</v>
      </c>
      <c r="R552" s="58" t="str">
        <f t="shared" si="57"/>
        <v>Fitted for a Halo</v>
      </c>
      <c r="S552" s="58" t="str">
        <f>IFERROR(_xlfn.TEXTAFTER(_xlfn.XLOOKUP(A552,Collection!A:A,Collection!B:B,),"#"),"")</f>
        <v>6</v>
      </c>
      <c r="T552" s="60">
        <f t="shared" si="58"/>
        <v>0.25</v>
      </c>
      <c r="U552" s="54" t="s">
        <v>1594</v>
      </c>
      <c r="V552" s="58" t="str">
        <f>IF(ISNUMBER(MATCH(N552,Catalog!$B$4:$B$16, 0)), "Keep", "For Sale")</f>
        <v>For Sale</v>
      </c>
      <c r="W552" s="58">
        <f t="shared" si="59"/>
        <v>1</v>
      </c>
      <c r="X552" s="58">
        <f t="shared" si="60"/>
        <v>5</v>
      </c>
      <c r="Y552" s="60">
        <f t="shared" si="61"/>
        <v>0.25</v>
      </c>
      <c r="Z552" s="60">
        <f t="shared" si="62"/>
        <v>0.25</v>
      </c>
      <c r="AE552"/>
      <c r="AF552"/>
      <c r="AG552"/>
    </row>
    <row r="553" spans="1:33" ht="14.4" x14ac:dyDescent="0.3">
      <c r="A553" s="13">
        <v>11668414</v>
      </c>
      <c r="B553" s="13" t="s">
        <v>651</v>
      </c>
      <c r="C553" s="13" t="s">
        <v>549</v>
      </c>
      <c r="D553" s="13">
        <v>0</v>
      </c>
      <c r="E553" s="13" t="s">
        <v>171</v>
      </c>
      <c r="F553" s="13" t="s">
        <v>172</v>
      </c>
      <c r="I553" s="13">
        <v>0</v>
      </c>
      <c r="J553" s="13">
        <v>1</v>
      </c>
      <c r="K553" s="14">
        <v>46129</v>
      </c>
      <c r="N553" s="13">
        <v>611</v>
      </c>
      <c r="P553" s="58" t="str">
        <f t="shared" si="56"/>
        <v>Romario</v>
      </c>
      <c r="Q553" s="58" t="str">
        <f>IFERROR(_xlfn.TEXTAFTER(_xlfn.XLOOKUP(A553,Collection!A:A,Collection!C:C,),"Cards "),C553)</f>
        <v>1994 Upper Deck World Cup Soccer</v>
      </c>
      <c r="R553" s="58" t="str">
        <f t="shared" si="57"/>
        <v>-</v>
      </c>
      <c r="S553" s="58" t="str">
        <f>IFERROR(_xlfn.TEXTAFTER(_xlfn.XLOOKUP(A553,Collection!A:A,Collection!B:B,),"#"),"")</f>
        <v>326</v>
      </c>
      <c r="T553" s="60">
        <f t="shared" si="58"/>
        <v>0</v>
      </c>
      <c r="U553" s="54" t="s">
        <v>1676</v>
      </c>
      <c r="V553" s="58" t="str">
        <f>IF(ISNUMBER(MATCH(N553,Catalog!$B$4:$B$16, 0)), "Keep", "For Sale")</f>
        <v>For Sale</v>
      </c>
      <c r="W553" s="58">
        <f t="shared" si="59"/>
        <v>1</v>
      </c>
      <c r="X553" s="58">
        <f t="shared" si="60"/>
        <v>5</v>
      </c>
      <c r="Y553" s="60">
        <f t="shared" si="61"/>
        <v>0.25</v>
      </c>
      <c r="Z553" s="60">
        <f t="shared" si="62"/>
        <v>0.25</v>
      </c>
      <c r="AE553"/>
      <c r="AF553"/>
      <c r="AG553"/>
    </row>
    <row r="554" spans="1:33" ht="14.4" x14ac:dyDescent="0.3">
      <c r="A554" s="13">
        <v>11668389</v>
      </c>
      <c r="B554" s="13" t="s">
        <v>664</v>
      </c>
      <c r="C554" s="13" t="s">
        <v>549</v>
      </c>
      <c r="D554" s="13">
        <v>0</v>
      </c>
      <c r="E554" s="13" t="s">
        <v>171</v>
      </c>
      <c r="F554" s="13" t="s">
        <v>172</v>
      </c>
      <c r="I554" s="13">
        <v>0</v>
      </c>
      <c r="J554" s="13">
        <v>1</v>
      </c>
      <c r="K554" s="14">
        <v>46129</v>
      </c>
      <c r="N554" s="13">
        <v>613</v>
      </c>
      <c r="P554" s="58" t="str">
        <f t="shared" si="56"/>
        <v>Statistics Keycard</v>
      </c>
      <c r="Q554" s="58" t="str">
        <f>IFERROR(_xlfn.TEXTAFTER(_xlfn.XLOOKUP(A554,Collection!A:A,Collection!C:C,),"Cards "),C554)</f>
        <v>1994 Upper Deck World Cup Soccer</v>
      </c>
      <c r="R554" s="58" t="str">
        <f t="shared" si="57"/>
        <v>-</v>
      </c>
      <c r="S554" s="58" t="str">
        <f>IFERROR(_xlfn.TEXTAFTER(_xlfn.XLOOKUP(A554,Collection!A:A,Collection!B:B,),"#"),"")</f>
        <v>276</v>
      </c>
      <c r="T554" s="60">
        <f t="shared" si="58"/>
        <v>0</v>
      </c>
      <c r="U554" s="54" t="s">
        <v>1688</v>
      </c>
      <c r="V554" s="58" t="str">
        <f>IF(ISNUMBER(MATCH(N554,Catalog!$B$4:$B$16, 0)), "Keep", "For Sale")</f>
        <v>For Sale</v>
      </c>
      <c r="W554" s="58">
        <f t="shared" si="59"/>
        <v>1</v>
      </c>
      <c r="X554" s="58">
        <f t="shared" si="60"/>
        <v>5</v>
      </c>
      <c r="Y554" s="60">
        <f t="shared" si="61"/>
        <v>0.25</v>
      </c>
      <c r="Z554" s="60">
        <f t="shared" si="62"/>
        <v>0.25</v>
      </c>
      <c r="AE554"/>
      <c r="AF554"/>
      <c r="AG554"/>
    </row>
    <row r="555" spans="1:33" ht="14.4" x14ac:dyDescent="0.3">
      <c r="A555" s="13">
        <v>10818673</v>
      </c>
      <c r="B555" s="13" t="s">
        <v>917</v>
      </c>
      <c r="C555" s="13" t="s">
        <v>307</v>
      </c>
      <c r="D555" s="13">
        <v>99</v>
      </c>
      <c r="E555" s="13" t="s">
        <v>171</v>
      </c>
      <c r="F555" s="13" t="s">
        <v>172</v>
      </c>
      <c r="H555" s="13" t="s">
        <v>918</v>
      </c>
      <c r="I555" s="13">
        <v>0</v>
      </c>
      <c r="J555" s="13">
        <v>1</v>
      </c>
      <c r="K555" s="14">
        <v>46157</v>
      </c>
      <c r="L555" s="14">
        <v>46149</v>
      </c>
      <c r="N555" s="13">
        <v>567</v>
      </c>
      <c r="P555" s="58" t="str">
        <f t="shared" si="56"/>
        <v>Tidjane Salaun</v>
      </c>
      <c r="Q555" s="58" t="str">
        <f>IFERROR(_xlfn.TEXTAFTER(_xlfn.XLOOKUP(A555,Collection!A:A,Collection!C:C,),"Cards "),C555)</f>
        <v>2025 Topps</v>
      </c>
      <c r="R555" s="58" t="str">
        <f t="shared" si="57"/>
        <v>-</v>
      </c>
      <c r="S555" s="58" t="str">
        <f>IFERROR(_xlfn.TEXTAFTER(_xlfn.XLOOKUP(A555,Collection!A:A,Collection!B:B,),"#"),"")</f>
        <v>71</v>
      </c>
      <c r="T555" s="60">
        <f t="shared" si="58"/>
        <v>0.99</v>
      </c>
      <c r="U555" s="54" t="s">
        <v>1671</v>
      </c>
      <c r="V555" s="58" t="str">
        <f>IF(ISNUMBER(MATCH(N555,Catalog!$B$4:$B$16, 0)), "Keep", "For Sale")</f>
        <v>For Sale</v>
      </c>
      <c r="W555" s="58">
        <f t="shared" si="59"/>
        <v>1</v>
      </c>
      <c r="X555" s="58">
        <f t="shared" si="60"/>
        <v>5</v>
      </c>
      <c r="Y555" s="60">
        <f t="shared" si="61"/>
        <v>1</v>
      </c>
      <c r="Z555" s="60">
        <f t="shared" si="62"/>
        <v>0.75</v>
      </c>
      <c r="AE555"/>
      <c r="AF555"/>
      <c r="AG555"/>
    </row>
    <row r="556" spans="1:33" ht="14.4" x14ac:dyDescent="0.3">
      <c r="A556" s="13">
        <v>2245299</v>
      </c>
      <c r="B556" s="13" t="s">
        <v>1313</v>
      </c>
      <c r="C556" s="13" t="s">
        <v>1152</v>
      </c>
      <c r="D556" s="13">
        <v>25</v>
      </c>
      <c r="E556" s="13" t="s">
        <v>171</v>
      </c>
      <c r="F556" s="13" t="s">
        <v>172</v>
      </c>
      <c r="I556" s="13">
        <v>0</v>
      </c>
      <c r="J556" s="13">
        <v>1</v>
      </c>
      <c r="K556" s="14">
        <v>46172</v>
      </c>
      <c r="N556" s="13">
        <v>592</v>
      </c>
      <c r="P556" s="58" t="str">
        <f t="shared" si="56"/>
        <v>Tim Teufel</v>
      </c>
      <c r="Q556" s="58" t="str">
        <f>IFERROR(_xlfn.TEXTAFTER(_xlfn.XLOOKUP(A556,Collection!A:A,Collection!C:C,),"Cards "),C556)</f>
        <v>1992 Donruss</v>
      </c>
      <c r="R556" s="58" t="str">
        <f t="shared" si="57"/>
        <v>-</v>
      </c>
      <c r="S556" s="58" t="str">
        <f>IFERROR(_xlfn.TEXTAFTER(_xlfn.XLOOKUP(A556,Collection!A:A,Collection!B:B,),"#"),"")</f>
        <v>171</v>
      </c>
      <c r="T556" s="60">
        <f t="shared" si="58"/>
        <v>0.25</v>
      </c>
      <c r="U556" s="54" t="s">
        <v>1697</v>
      </c>
      <c r="V556" s="58" t="str">
        <f>IF(ISNUMBER(MATCH(N556,Catalog!$B$4:$B$16, 0)), "Keep", "For Sale")</f>
        <v>For Sale</v>
      </c>
      <c r="W556" s="58">
        <f t="shared" si="59"/>
        <v>1</v>
      </c>
      <c r="X556" s="58">
        <f t="shared" si="60"/>
        <v>5</v>
      </c>
      <c r="Y556" s="60">
        <f t="shared" si="61"/>
        <v>0.25</v>
      </c>
      <c r="Z556" s="60">
        <f t="shared" si="62"/>
        <v>0.25</v>
      </c>
      <c r="AE556"/>
      <c r="AF556"/>
      <c r="AG556"/>
    </row>
    <row r="557" spans="1:33" ht="14.4" x14ac:dyDescent="0.3">
      <c r="A557" s="13">
        <v>11105424</v>
      </c>
      <c r="B557" s="13" t="s">
        <v>1780</v>
      </c>
      <c r="C557" s="13" t="s">
        <v>549</v>
      </c>
      <c r="D557" s="13">
        <v>0</v>
      </c>
      <c r="E557" s="13" t="s">
        <v>171</v>
      </c>
      <c r="F557" s="13" t="s">
        <v>172</v>
      </c>
      <c r="I557" s="13">
        <v>0</v>
      </c>
      <c r="J557" s="13">
        <v>1</v>
      </c>
      <c r="K557" s="14">
        <v>46186</v>
      </c>
      <c r="N557" s="13">
        <v>607</v>
      </c>
      <c r="P557" s="58" t="str">
        <f t="shared" si="56"/>
        <v>Wim Jonk</v>
      </c>
      <c r="Q557" s="58" t="str">
        <f>IFERROR(_xlfn.TEXTAFTER(_xlfn.XLOOKUP(A557,Collection!A:A,Collection!C:C,),"Cards "),C557)</f>
        <v>1994 Upper Deck World Cup Soccer</v>
      </c>
      <c r="R557" s="58" t="str">
        <f t="shared" si="57"/>
        <v>-</v>
      </c>
      <c r="S557" s="58" t="str">
        <f>IFERROR(_xlfn.TEXTAFTER(_xlfn.XLOOKUP(A557,Collection!A:A,Collection!B:B,),"#"),"")</f>
        <v>181</v>
      </c>
      <c r="T557" s="60">
        <f t="shared" si="58"/>
        <v>0</v>
      </c>
      <c r="U557" s="54" t="s">
        <v>1808</v>
      </c>
      <c r="V557" s="58" t="str">
        <f>IF(ISNUMBER(MATCH(N557,Catalog!$B$4:$B$16, 0)), "Keep", "For Sale")</f>
        <v>For Sale</v>
      </c>
      <c r="W557" s="58">
        <f t="shared" si="59"/>
        <v>1</v>
      </c>
      <c r="X557" s="58">
        <f t="shared" si="60"/>
        <v>5</v>
      </c>
      <c r="Y557" s="60">
        <f t="shared" si="61"/>
        <v>0.25</v>
      </c>
      <c r="Z557" s="60">
        <f t="shared" si="62"/>
        <v>0.25</v>
      </c>
      <c r="AE557"/>
      <c r="AF557"/>
      <c r="AG557"/>
    </row>
    <row r="558" spans="1:33" ht="14.4" x14ac:dyDescent="0.3">
      <c r="A558" s="13">
        <v>10024601</v>
      </c>
      <c r="B558" s="13" t="s">
        <v>1766</v>
      </c>
      <c r="C558" s="13" t="s">
        <v>549</v>
      </c>
      <c r="D558" s="13">
        <v>25</v>
      </c>
      <c r="E558" s="13" t="s">
        <v>171</v>
      </c>
      <c r="F558" s="13" t="s">
        <v>172</v>
      </c>
      <c r="I558" s="13">
        <v>0</v>
      </c>
      <c r="J558" s="13">
        <v>1</v>
      </c>
      <c r="K558" s="14">
        <v>46186</v>
      </c>
      <c r="N558" s="13">
        <v>590</v>
      </c>
      <c r="P558" s="58" t="str">
        <f t="shared" si="56"/>
        <v>Zetti</v>
      </c>
      <c r="Q558" s="58" t="str">
        <f>IFERROR(_xlfn.TEXTAFTER(_xlfn.XLOOKUP(A558,Collection!A:A,Collection!C:C,),"Cards "),C558)</f>
        <v>1994 Upper Deck World Cup Soccer</v>
      </c>
      <c r="R558" s="58" t="str">
        <f t="shared" si="57"/>
        <v>-</v>
      </c>
      <c r="S558" s="58" t="str">
        <f>IFERROR(_xlfn.TEXTAFTER(_xlfn.XLOOKUP(A558,Collection!A:A,Collection!B:B,),"#"),"")</f>
        <v>83</v>
      </c>
      <c r="T558" s="60">
        <f t="shared" si="58"/>
        <v>0.25</v>
      </c>
      <c r="U558" s="54" t="s">
        <v>1800</v>
      </c>
      <c r="V558" s="58" t="str">
        <f>IF(ISNUMBER(MATCH(N558,Catalog!$B$4:$B$16, 0)), "Keep", "For Sale")</f>
        <v>For Sale</v>
      </c>
      <c r="W558" s="58">
        <f t="shared" si="59"/>
        <v>1</v>
      </c>
      <c r="X558" s="58">
        <f t="shared" si="60"/>
        <v>5</v>
      </c>
      <c r="Y558" s="60">
        <f t="shared" si="61"/>
        <v>0.25</v>
      </c>
      <c r="Z558" s="60">
        <f t="shared" si="62"/>
        <v>0.25</v>
      </c>
      <c r="AE558"/>
      <c r="AF558"/>
      <c r="AG558"/>
    </row>
    <row r="559" spans="1:33" ht="14.4" x14ac:dyDescent="0.3">
      <c r="V559" s="58"/>
      <c r="AE559"/>
      <c r="AF559"/>
      <c r="AG559"/>
    </row>
    <row r="560" spans="1:33" ht="14.4" x14ac:dyDescent="0.3">
      <c r="V560" s="58"/>
      <c r="AE560"/>
      <c r="AF560"/>
      <c r="AG560"/>
    </row>
    <row r="561" spans="22:33" ht="14.4" x14ac:dyDescent="0.3">
      <c r="V561" s="58"/>
      <c r="AE561"/>
      <c r="AF561"/>
      <c r="AG561"/>
    </row>
    <row r="562" spans="22:33" ht="14.4" x14ac:dyDescent="0.3">
      <c r="V562" s="58"/>
      <c r="AE562"/>
      <c r="AF562"/>
      <c r="AG562"/>
    </row>
    <row r="563" spans="22:33" ht="14.4" x14ac:dyDescent="0.3">
      <c r="V563" s="58"/>
      <c r="AE563"/>
      <c r="AF563"/>
      <c r="AG563"/>
    </row>
    <row r="564" spans="22:33" ht="14.4" x14ac:dyDescent="0.3">
      <c r="V564" s="58"/>
      <c r="AE564"/>
      <c r="AF564"/>
      <c r="AG564"/>
    </row>
    <row r="565" spans="22:33" ht="14.4" x14ac:dyDescent="0.3">
      <c r="V565" s="58"/>
      <c r="AE565"/>
      <c r="AF565"/>
      <c r="AG565"/>
    </row>
    <row r="566" spans="22:33" ht="14.4" x14ac:dyDescent="0.3">
      <c r="V566" s="58"/>
      <c r="AE566"/>
      <c r="AF566"/>
      <c r="AG566"/>
    </row>
    <row r="567" spans="22:33" ht="14.4" x14ac:dyDescent="0.3">
      <c r="V567" s="58"/>
      <c r="AE567"/>
      <c r="AF567"/>
      <c r="AG567"/>
    </row>
    <row r="568" spans="22:33" ht="14.4" x14ac:dyDescent="0.3">
      <c r="V568" s="58"/>
      <c r="AE568"/>
      <c r="AF568"/>
      <c r="AG568"/>
    </row>
    <row r="569" spans="22:33" ht="14.4" x14ac:dyDescent="0.3">
      <c r="V569" s="58"/>
      <c r="AE569"/>
      <c r="AF569"/>
      <c r="AG569"/>
    </row>
    <row r="570" spans="22:33" ht="14.4" x14ac:dyDescent="0.3">
      <c r="V570" s="58"/>
      <c r="AE570"/>
      <c r="AF570"/>
      <c r="AG570"/>
    </row>
    <row r="571" spans="22:33" ht="14.4" x14ac:dyDescent="0.3">
      <c r="V571" s="58"/>
      <c r="AE571"/>
      <c r="AF571"/>
      <c r="AG571"/>
    </row>
    <row r="572" spans="22:33" ht="14.4" x14ac:dyDescent="0.3">
      <c r="V572" s="58"/>
      <c r="AE572"/>
      <c r="AF572"/>
      <c r="AG572"/>
    </row>
    <row r="573" spans="22:33" ht="14.4" x14ac:dyDescent="0.3">
      <c r="V573" s="58"/>
      <c r="AE573"/>
      <c r="AF573"/>
      <c r="AG573"/>
    </row>
    <row r="574" spans="22:33" ht="14.4" x14ac:dyDescent="0.3">
      <c r="V574" s="58"/>
      <c r="AE574"/>
      <c r="AF574"/>
      <c r="AG574"/>
    </row>
    <row r="575" spans="22:33" ht="14.4" x14ac:dyDescent="0.3">
      <c r="V575" s="58"/>
      <c r="AE575"/>
      <c r="AF575"/>
      <c r="AG575"/>
    </row>
    <row r="576" spans="22:33" ht="14.4" x14ac:dyDescent="0.3">
      <c r="V576" s="58"/>
      <c r="AE576"/>
      <c r="AF576"/>
      <c r="AG576"/>
    </row>
    <row r="577" spans="22:33" ht="14.4" x14ac:dyDescent="0.3">
      <c r="V577" s="58"/>
      <c r="AE577"/>
      <c r="AF577"/>
      <c r="AG577"/>
    </row>
    <row r="578" spans="22:33" ht="14.4" x14ac:dyDescent="0.3">
      <c r="V578" s="58"/>
      <c r="AE578"/>
      <c r="AF578"/>
      <c r="AG578"/>
    </row>
    <row r="579" spans="22:33" ht="14.4" x14ac:dyDescent="0.3">
      <c r="V579" s="58"/>
      <c r="AE579"/>
      <c r="AF579"/>
      <c r="AG579"/>
    </row>
    <row r="580" spans="22:33" ht="14.4" x14ac:dyDescent="0.3">
      <c r="V580" s="58"/>
      <c r="AE580"/>
      <c r="AF580"/>
      <c r="AG580"/>
    </row>
    <row r="581" spans="22:33" ht="14.4" x14ac:dyDescent="0.3">
      <c r="V581" s="58"/>
      <c r="AE581"/>
      <c r="AF581"/>
      <c r="AG581"/>
    </row>
    <row r="582" spans="22:33" ht="14.4" x14ac:dyDescent="0.3">
      <c r="V582" s="58"/>
      <c r="AE582"/>
      <c r="AF582"/>
      <c r="AG582"/>
    </row>
    <row r="583" spans="22:33" ht="14.4" x14ac:dyDescent="0.3">
      <c r="V583" s="58"/>
      <c r="AE583"/>
      <c r="AF583"/>
      <c r="AG583"/>
    </row>
    <row r="584" spans="22:33" ht="14.4" x14ac:dyDescent="0.3">
      <c r="V584" s="58"/>
      <c r="AE584"/>
      <c r="AF584"/>
      <c r="AG584"/>
    </row>
    <row r="585" spans="22:33" ht="14.4" x14ac:dyDescent="0.3">
      <c r="V585" s="58"/>
      <c r="AE585"/>
      <c r="AF585"/>
      <c r="AG585"/>
    </row>
    <row r="586" spans="22:33" ht="14.4" x14ac:dyDescent="0.3">
      <c r="V586" s="58"/>
      <c r="AE586"/>
      <c r="AF586"/>
      <c r="AG586"/>
    </row>
    <row r="587" spans="22:33" ht="14.4" x14ac:dyDescent="0.3">
      <c r="V587" s="58"/>
      <c r="AE587"/>
      <c r="AF587"/>
      <c r="AG587"/>
    </row>
    <row r="588" spans="22:33" ht="14.4" x14ac:dyDescent="0.3">
      <c r="V588" s="58"/>
      <c r="AE588"/>
      <c r="AF588"/>
      <c r="AG588"/>
    </row>
    <row r="589" spans="22:33" ht="14.4" x14ac:dyDescent="0.3">
      <c r="V589" s="58"/>
      <c r="AE589"/>
      <c r="AF589"/>
      <c r="AG589"/>
    </row>
    <row r="590" spans="22:33" ht="14.4" x14ac:dyDescent="0.3">
      <c r="V590" s="58"/>
      <c r="AE590"/>
      <c r="AF590"/>
      <c r="AG590"/>
    </row>
    <row r="591" spans="22:33" ht="14.4" x14ac:dyDescent="0.3">
      <c r="V591" s="58"/>
      <c r="AE591"/>
      <c r="AF591"/>
      <c r="AG591"/>
    </row>
    <row r="592" spans="22:33" ht="14.4" x14ac:dyDescent="0.3">
      <c r="V592" s="58"/>
      <c r="AE592"/>
      <c r="AF592"/>
      <c r="AG592"/>
    </row>
    <row r="593" spans="22:33" ht="14.4" x14ac:dyDescent="0.3">
      <c r="V593" s="58"/>
      <c r="AE593"/>
      <c r="AF593"/>
      <c r="AG593"/>
    </row>
    <row r="594" spans="22:33" ht="14.4" x14ac:dyDescent="0.3">
      <c r="V594" s="58"/>
      <c r="AE594"/>
      <c r="AF594"/>
      <c r="AG594"/>
    </row>
    <row r="595" spans="22:33" ht="14.4" x14ac:dyDescent="0.3">
      <c r="V595" s="58"/>
      <c r="AE595"/>
      <c r="AF595"/>
      <c r="AG595"/>
    </row>
    <row r="596" spans="22:33" ht="14.4" x14ac:dyDescent="0.3">
      <c r="V596" s="58"/>
      <c r="AE596"/>
      <c r="AF596"/>
      <c r="AG596"/>
    </row>
    <row r="597" spans="22:33" ht="14.4" x14ac:dyDescent="0.3">
      <c r="V597" s="58"/>
      <c r="AE597"/>
      <c r="AF597"/>
      <c r="AG597"/>
    </row>
    <row r="598" spans="22:33" ht="14.4" x14ac:dyDescent="0.3">
      <c r="V598" s="58"/>
      <c r="AE598"/>
      <c r="AF598"/>
      <c r="AG598"/>
    </row>
    <row r="599" spans="22:33" ht="14.4" x14ac:dyDescent="0.3">
      <c r="V599" s="58"/>
      <c r="AE599"/>
      <c r="AF599"/>
      <c r="AG599"/>
    </row>
    <row r="600" spans="22:33" ht="14.4" x14ac:dyDescent="0.3">
      <c r="V600" s="58"/>
      <c r="AE600"/>
      <c r="AF600"/>
      <c r="AG600"/>
    </row>
    <row r="601" spans="22:33" ht="14.4" x14ac:dyDescent="0.3">
      <c r="V601" s="58"/>
      <c r="AE601"/>
      <c r="AF601"/>
      <c r="AG601"/>
    </row>
    <row r="602" spans="22:33" ht="14.4" x14ac:dyDescent="0.3">
      <c r="V602" s="58"/>
      <c r="AE602"/>
      <c r="AF602"/>
      <c r="AG602"/>
    </row>
    <row r="603" spans="22:33" ht="14.4" x14ac:dyDescent="0.3">
      <c r="V603" s="58"/>
      <c r="AE603"/>
      <c r="AF603"/>
      <c r="AG603"/>
    </row>
    <row r="604" spans="22:33" ht="14.4" x14ac:dyDescent="0.3">
      <c r="AE604"/>
      <c r="AF604"/>
      <c r="AG604"/>
    </row>
    <row r="605" spans="22:33" ht="14.4" x14ac:dyDescent="0.3">
      <c r="AE605"/>
      <c r="AF605"/>
      <c r="AG605"/>
    </row>
    <row r="606" spans="22:33" ht="14.4" x14ac:dyDescent="0.3">
      <c r="AE606"/>
      <c r="AF606"/>
      <c r="AG606"/>
    </row>
    <row r="607" spans="22:33" ht="14.4" x14ac:dyDescent="0.3">
      <c r="AE607"/>
      <c r="AF607"/>
      <c r="AG607"/>
    </row>
    <row r="608" spans="22:33" ht="14.4" x14ac:dyDescent="0.3">
      <c r="AE608"/>
      <c r="AF608"/>
      <c r="AG608"/>
    </row>
    <row r="609" spans="31:33" ht="14.4" x14ac:dyDescent="0.3">
      <c r="AE609"/>
      <c r="AF609"/>
      <c r="AG609"/>
    </row>
    <row r="610" spans="31:33" ht="14.4" x14ac:dyDescent="0.3">
      <c r="AE610"/>
      <c r="AF610"/>
      <c r="AG610"/>
    </row>
    <row r="611" spans="31:33" ht="14.4" x14ac:dyDescent="0.3">
      <c r="AE611"/>
      <c r="AF611"/>
      <c r="AG611"/>
    </row>
    <row r="612" spans="31:33" ht="14.4" x14ac:dyDescent="0.3">
      <c r="AE612"/>
      <c r="AF612"/>
      <c r="AG612"/>
    </row>
    <row r="613" spans="31:33" ht="14.4" x14ac:dyDescent="0.3">
      <c r="AE613"/>
      <c r="AF613"/>
      <c r="AG613"/>
    </row>
    <row r="614" spans="31:33" ht="14.4" x14ac:dyDescent="0.3">
      <c r="AE614"/>
      <c r="AF614"/>
      <c r="AG614"/>
    </row>
    <row r="615" spans="31:33" ht="14.4" x14ac:dyDescent="0.3">
      <c r="AE615"/>
      <c r="AF615"/>
      <c r="AG615"/>
    </row>
    <row r="616" spans="31:33" ht="14.4" x14ac:dyDescent="0.3">
      <c r="AE616"/>
      <c r="AF616"/>
      <c r="AG616"/>
    </row>
    <row r="617" spans="31:33" ht="14.4" x14ac:dyDescent="0.3">
      <c r="AE617"/>
      <c r="AF617"/>
      <c r="AG617"/>
    </row>
    <row r="618" spans="31:33" ht="14.4" x14ac:dyDescent="0.3">
      <c r="AE618"/>
      <c r="AF618"/>
      <c r="AG618"/>
    </row>
    <row r="619" spans="31:33" ht="14.4" x14ac:dyDescent="0.3">
      <c r="AE619"/>
      <c r="AF619"/>
      <c r="AG619"/>
    </row>
    <row r="620" spans="31:33" ht="14.4" x14ac:dyDescent="0.3">
      <c r="AE620"/>
      <c r="AF620"/>
      <c r="AG620"/>
    </row>
    <row r="621" spans="31:33" ht="14.4" x14ac:dyDescent="0.3">
      <c r="AE621"/>
      <c r="AF621"/>
      <c r="AG621"/>
    </row>
    <row r="622" spans="31:33" ht="14.4" x14ac:dyDescent="0.3">
      <c r="AE622"/>
      <c r="AF622"/>
      <c r="AG622"/>
    </row>
    <row r="623" spans="31:33" ht="14.4" x14ac:dyDescent="0.3">
      <c r="AE623"/>
      <c r="AF623"/>
      <c r="AG623"/>
    </row>
    <row r="624" spans="31:33" ht="14.4" x14ac:dyDescent="0.3">
      <c r="AE624"/>
      <c r="AF624"/>
      <c r="AG624"/>
    </row>
    <row r="625" spans="31:33" ht="14.4" x14ac:dyDescent="0.3">
      <c r="AE625"/>
      <c r="AF625"/>
      <c r="AG625"/>
    </row>
    <row r="626" spans="31:33" ht="14.4" x14ac:dyDescent="0.3">
      <c r="AE626"/>
      <c r="AF626"/>
      <c r="AG626"/>
    </row>
    <row r="627" spans="31:33" ht="14.4" x14ac:dyDescent="0.3">
      <c r="AE627"/>
      <c r="AF627"/>
      <c r="AG627"/>
    </row>
    <row r="628" spans="31:33" ht="14.4" x14ac:dyDescent="0.3">
      <c r="AE628"/>
      <c r="AF628"/>
      <c r="AG628"/>
    </row>
    <row r="629" spans="31:33" ht="14.4" x14ac:dyDescent="0.3">
      <c r="AE629"/>
      <c r="AF629"/>
      <c r="AG629"/>
    </row>
    <row r="630" spans="31:33" ht="14.4" x14ac:dyDescent="0.3">
      <c r="AE630"/>
      <c r="AF630"/>
      <c r="AG630"/>
    </row>
    <row r="631" spans="31:33" ht="14.4" x14ac:dyDescent="0.3">
      <c r="AE631"/>
      <c r="AF631"/>
      <c r="AG631"/>
    </row>
    <row r="632" spans="31:33" ht="14.4" x14ac:dyDescent="0.3">
      <c r="AE632"/>
      <c r="AF632"/>
      <c r="AG632"/>
    </row>
    <row r="633" spans="31:33" ht="14.4" x14ac:dyDescent="0.3">
      <c r="AE633"/>
      <c r="AF633"/>
      <c r="AG633"/>
    </row>
    <row r="634" spans="31:33" ht="14.4" x14ac:dyDescent="0.3">
      <c r="AE634"/>
      <c r="AF634"/>
      <c r="AG634"/>
    </row>
    <row r="635" spans="31:33" ht="14.4" x14ac:dyDescent="0.3">
      <c r="AE635"/>
      <c r="AF635"/>
      <c r="AG635"/>
    </row>
    <row r="636" spans="31:33" ht="14.4" x14ac:dyDescent="0.3">
      <c r="AE636"/>
      <c r="AF636"/>
      <c r="AG636"/>
    </row>
    <row r="637" spans="31:33" ht="14.4" x14ac:dyDescent="0.3">
      <c r="AE637"/>
      <c r="AF637"/>
      <c r="AG637"/>
    </row>
    <row r="638" spans="31:33" ht="14.4" x14ac:dyDescent="0.3">
      <c r="AE638"/>
      <c r="AF638"/>
      <c r="AG638"/>
    </row>
    <row r="639" spans="31:33" ht="14.4" x14ac:dyDescent="0.3">
      <c r="AE639"/>
      <c r="AF639"/>
      <c r="AG639"/>
    </row>
    <row r="640" spans="31:33" ht="14.4" x14ac:dyDescent="0.3">
      <c r="AE640"/>
      <c r="AF640"/>
      <c r="AG640"/>
    </row>
    <row r="641" spans="31:33" ht="14.4" x14ac:dyDescent="0.3">
      <c r="AE641"/>
      <c r="AF641"/>
      <c r="AG641"/>
    </row>
    <row r="642" spans="31:33" ht="14.4" x14ac:dyDescent="0.3">
      <c r="AE642"/>
      <c r="AF642"/>
      <c r="AG642"/>
    </row>
    <row r="643" spans="31:33" ht="14.4" x14ac:dyDescent="0.3">
      <c r="AE643"/>
      <c r="AF643"/>
      <c r="AG643"/>
    </row>
    <row r="644" spans="31:33" ht="14.4" x14ac:dyDescent="0.3">
      <c r="AE644"/>
      <c r="AF644"/>
      <c r="AG644"/>
    </row>
    <row r="645" spans="31:33" ht="14.4" x14ac:dyDescent="0.3">
      <c r="AE645"/>
      <c r="AF645"/>
      <c r="AG645"/>
    </row>
    <row r="646" spans="31:33" ht="14.4" x14ac:dyDescent="0.3">
      <c r="AE646"/>
      <c r="AF646"/>
      <c r="AG646"/>
    </row>
    <row r="647" spans="31:33" ht="14.4" x14ac:dyDescent="0.3">
      <c r="AE647"/>
      <c r="AF647"/>
      <c r="AG647"/>
    </row>
    <row r="648" spans="31:33" ht="14.4" x14ac:dyDescent="0.3">
      <c r="AE648"/>
      <c r="AF648"/>
      <c r="AG648"/>
    </row>
    <row r="649" spans="31:33" ht="14.4" x14ac:dyDescent="0.3">
      <c r="AE649"/>
      <c r="AF649"/>
      <c r="AG649"/>
    </row>
    <row r="650" spans="31:33" ht="14.4" x14ac:dyDescent="0.3">
      <c r="AE650"/>
      <c r="AF650"/>
      <c r="AG650"/>
    </row>
    <row r="651" spans="31:33" ht="14.4" x14ac:dyDescent="0.3">
      <c r="AE651"/>
      <c r="AF651"/>
      <c r="AG651"/>
    </row>
  </sheetData>
  <autoFilter ref="A1:AA651" xr:uid="{EE694D23-09A8-4A56-8027-D38FDA17A543}"/>
  <sortState xmlns:xlrd2="http://schemas.microsoft.com/office/spreadsheetml/2017/richdata2" ref="A2:Z558">
    <sortCondition ref="X2:X558"/>
    <sortCondition ref="U2:U558"/>
    <sortCondition descending="1" ref="T2:T558"/>
    <sortCondition ref="A2:A558"/>
  </sortState>
  <conditionalFormatting sqref="N1:N1048576">
    <cfRule type="duplicateValues" dxfId="47" priority="1"/>
    <cfRule type="duplicateValues" dxfId="46" priority="2"/>
    <cfRule type="duplicateValues" dxfId="45" priority="3"/>
    <cfRule type="duplicateValues" dxfId="44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B086-EBBA-48E7-A8D6-7BB8B37DEB52}">
  <dimension ref="A1:Z64"/>
  <sheetViews>
    <sheetView zoomScale="85" zoomScaleNormal="85" workbookViewId="0">
      <pane ySplit="1" topLeftCell="A8" activePane="bottomLeft" state="frozen"/>
      <selection pane="bottomLeft" activeCell="M65" sqref="M65"/>
    </sheetView>
  </sheetViews>
  <sheetFormatPr defaultColWidth="17.33203125" defaultRowHeight="14.4" x14ac:dyDescent="0.3"/>
  <cols>
    <col min="1" max="1" width="9.33203125" bestFit="1" customWidth="1"/>
    <col min="2" max="2" width="47" bestFit="1" customWidth="1"/>
    <col min="3" max="3" width="45.109375" customWidth="1"/>
    <col min="4" max="4" width="18.44140625" bestFit="1" customWidth="1"/>
    <col min="5" max="5" width="16" bestFit="1" customWidth="1"/>
    <col min="6" max="6" width="17.88671875" bestFit="1" customWidth="1"/>
    <col min="7" max="7" width="6.88671875" bestFit="1" customWidth="1"/>
    <col min="8" max="8" width="9.6640625" style="18" customWidth="1"/>
    <col min="9" max="9" width="23.33203125" style="18" bestFit="1" customWidth="1"/>
    <col min="10" max="10" width="10.6640625" style="18" bestFit="1" customWidth="1"/>
    <col min="11" max="11" width="15.109375" style="3" bestFit="1" customWidth="1"/>
    <col min="12" max="12" width="17.5546875" style="3" bestFit="1" customWidth="1"/>
    <col min="13" max="13" width="18.88671875" style="18" bestFit="1" customWidth="1"/>
    <col min="14" max="14" width="16.6640625" style="18" bestFit="1" customWidth="1"/>
    <col min="15" max="15" width="8.6640625" style="18" bestFit="1" customWidth="1"/>
    <col min="16" max="16" width="20.88671875" style="1" bestFit="1" customWidth="1"/>
    <col min="17" max="17" width="12" style="1" bestFit="1" customWidth="1"/>
    <col min="18" max="18" width="19.44140625" bestFit="1" customWidth="1"/>
    <col min="19" max="19" width="16.5546875" bestFit="1" customWidth="1"/>
    <col min="20" max="20" width="25.109375" bestFit="1" customWidth="1"/>
    <col min="21" max="21" width="14.109375" bestFit="1" customWidth="1"/>
    <col min="22" max="22" width="17.44140625" bestFit="1" customWidth="1"/>
    <col min="23" max="23" width="12.33203125" bestFit="1" customWidth="1"/>
    <col min="24" max="24" width="16" bestFit="1" customWidth="1"/>
  </cols>
  <sheetData>
    <row r="1" spans="1:26" x14ac:dyDescent="0.3">
      <c r="A1" s="7" t="s">
        <v>459</v>
      </c>
      <c r="B1" s="7" t="s">
        <v>155</v>
      </c>
      <c r="C1" s="7" t="s">
        <v>156</v>
      </c>
      <c r="D1" s="7" t="s">
        <v>157</v>
      </c>
      <c r="E1" s="7" t="s">
        <v>158</v>
      </c>
      <c r="F1" s="7" t="s">
        <v>159</v>
      </c>
      <c r="G1" s="7" t="s">
        <v>160</v>
      </c>
      <c r="H1" s="68" t="s">
        <v>161</v>
      </c>
      <c r="I1" s="68" t="s">
        <v>162</v>
      </c>
      <c r="J1" s="68" t="s">
        <v>163</v>
      </c>
      <c r="K1" s="69" t="s">
        <v>164</v>
      </c>
      <c r="L1" s="69" t="s">
        <v>165</v>
      </c>
      <c r="M1" s="68" t="s">
        <v>166</v>
      </c>
      <c r="N1" s="68" t="s">
        <v>167</v>
      </c>
      <c r="O1" s="68" t="s">
        <v>168</v>
      </c>
      <c r="P1" s="22" t="s">
        <v>1721</v>
      </c>
      <c r="Q1" s="22" t="s">
        <v>1720</v>
      </c>
      <c r="R1" s="11" t="s">
        <v>1718</v>
      </c>
      <c r="S1" s="7" t="s">
        <v>1754</v>
      </c>
      <c r="T1" s="11" t="s">
        <v>1717</v>
      </c>
      <c r="U1" s="11" t="s">
        <v>1728</v>
      </c>
      <c r="V1" s="11" t="s">
        <v>1757</v>
      </c>
      <c r="W1" s="11" t="s">
        <v>1719</v>
      </c>
      <c r="X1" s="11" t="s">
        <v>1722</v>
      </c>
      <c r="Z1" s="11"/>
    </row>
    <row r="2" spans="1:26" x14ac:dyDescent="0.3">
      <c r="A2" s="22">
        <v>7094582</v>
      </c>
      <c r="B2" s="22" t="s">
        <v>957</v>
      </c>
      <c r="C2" s="22" t="s">
        <v>958</v>
      </c>
      <c r="D2" s="22">
        <v>188</v>
      </c>
      <c r="E2" s="22" t="s">
        <v>171</v>
      </c>
      <c r="F2" s="22" t="s">
        <v>172</v>
      </c>
      <c r="G2" s="22">
        <v>0</v>
      </c>
      <c r="H2" s="22" t="s">
        <v>959</v>
      </c>
      <c r="I2" s="22">
        <v>0</v>
      </c>
      <c r="J2" s="22">
        <v>1</v>
      </c>
      <c r="K2" s="5">
        <v>46157</v>
      </c>
      <c r="L2" s="5">
        <v>46150</v>
      </c>
      <c r="M2" s="22">
        <v>0</v>
      </c>
      <c r="N2" s="22">
        <v>105</v>
      </c>
      <c r="O2" s="22">
        <v>0</v>
      </c>
      <c r="P2" s="22" t="s">
        <v>1732</v>
      </c>
      <c r="Q2" s="5">
        <v>46173</v>
      </c>
      <c r="R2" s="4">
        <v>1</v>
      </c>
      <c r="S2" s="62">
        <v>0.68</v>
      </c>
      <c r="T2" s="1">
        <f t="shared" ref="T2:T33" si="0">ROUND(R2*S2,0)</f>
        <v>1</v>
      </c>
      <c r="U2" s="1">
        <f t="shared" ref="U2:U33" si="1">D2/100</f>
        <v>1.88</v>
      </c>
      <c r="V2" s="1">
        <f t="shared" ref="V2:V13" si="2">T2-U2</f>
        <v>-0.87999999999999989</v>
      </c>
      <c r="W2" s="1">
        <f t="shared" ref="W2:W33" si="3">T2-I2/100</f>
        <v>1</v>
      </c>
      <c r="X2" s="63" t="s">
        <v>61</v>
      </c>
    </row>
    <row r="3" spans="1:26" x14ac:dyDescent="0.3">
      <c r="A3" s="22">
        <v>11909415</v>
      </c>
      <c r="B3" s="22" t="s">
        <v>1008</v>
      </c>
      <c r="C3" s="22" t="s">
        <v>1009</v>
      </c>
      <c r="D3" s="22">
        <v>700</v>
      </c>
      <c r="E3" s="22" t="s">
        <v>171</v>
      </c>
      <c r="F3" s="22" t="s">
        <v>172</v>
      </c>
      <c r="G3" s="22">
        <v>0</v>
      </c>
      <c r="H3" s="22" t="s">
        <v>1533</v>
      </c>
      <c r="I3" s="22">
        <v>480</v>
      </c>
      <c r="J3" s="22">
        <v>1</v>
      </c>
      <c r="K3" s="5">
        <v>46164</v>
      </c>
      <c r="L3" s="5">
        <v>46161</v>
      </c>
      <c r="M3" s="22">
        <v>0</v>
      </c>
      <c r="N3" s="22">
        <v>103</v>
      </c>
      <c r="O3" s="22">
        <v>0</v>
      </c>
      <c r="P3" s="22" t="s">
        <v>1732</v>
      </c>
      <c r="Q3" s="5">
        <v>46173</v>
      </c>
      <c r="R3" s="4">
        <v>3</v>
      </c>
      <c r="S3" s="62">
        <f t="shared" ref="S3:S10" si="4">$S$2</f>
        <v>0.68</v>
      </c>
      <c r="T3" s="1">
        <f t="shared" si="0"/>
        <v>2</v>
      </c>
      <c r="U3" s="1">
        <f t="shared" si="1"/>
        <v>7</v>
      </c>
      <c r="V3" s="1">
        <f t="shared" si="2"/>
        <v>-5</v>
      </c>
      <c r="W3" s="1">
        <f t="shared" si="3"/>
        <v>-2.8</v>
      </c>
      <c r="X3" s="63" t="s">
        <v>61</v>
      </c>
    </row>
    <row r="4" spans="1:26" x14ac:dyDescent="0.3">
      <c r="A4" s="22">
        <v>11909415</v>
      </c>
      <c r="B4" s="22" t="s">
        <v>1008</v>
      </c>
      <c r="C4" s="22" t="s">
        <v>1009</v>
      </c>
      <c r="D4" s="22">
        <v>700</v>
      </c>
      <c r="E4" s="22" t="s">
        <v>171</v>
      </c>
      <c r="F4" s="22" t="s">
        <v>172</v>
      </c>
      <c r="G4" s="22">
        <v>0</v>
      </c>
      <c r="H4" s="22" t="s">
        <v>1514</v>
      </c>
      <c r="I4" s="22">
        <v>590</v>
      </c>
      <c r="J4" s="22">
        <v>1</v>
      </c>
      <c r="K4" s="5">
        <v>46183</v>
      </c>
      <c r="L4" s="5">
        <v>46161</v>
      </c>
      <c r="M4" s="22">
        <v>0</v>
      </c>
      <c r="N4" s="22">
        <v>100</v>
      </c>
      <c r="O4" s="22">
        <v>0</v>
      </c>
      <c r="P4" s="22" t="s">
        <v>1732</v>
      </c>
      <c r="Q4" s="5">
        <v>46173</v>
      </c>
      <c r="R4" s="4">
        <v>3</v>
      </c>
      <c r="S4" s="62">
        <f t="shared" si="4"/>
        <v>0.68</v>
      </c>
      <c r="T4" s="1">
        <f t="shared" si="0"/>
        <v>2</v>
      </c>
      <c r="U4" s="1">
        <f t="shared" si="1"/>
        <v>7</v>
      </c>
      <c r="V4" s="1">
        <f t="shared" si="2"/>
        <v>-5</v>
      </c>
      <c r="W4" s="1">
        <f t="shared" si="3"/>
        <v>-3.9000000000000004</v>
      </c>
      <c r="X4" s="63" t="s">
        <v>61</v>
      </c>
    </row>
    <row r="5" spans="1:26" x14ac:dyDescent="0.3">
      <c r="A5" s="22">
        <v>11830213</v>
      </c>
      <c r="B5" s="22" t="s">
        <v>983</v>
      </c>
      <c r="C5" s="22" t="s">
        <v>930</v>
      </c>
      <c r="D5" s="22">
        <v>600</v>
      </c>
      <c r="E5" s="22" t="s">
        <v>171</v>
      </c>
      <c r="F5" s="22" t="s">
        <v>172</v>
      </c>
      <c r="G5" s="22">
        <v>0</v>
      </c>
      <c r="H5" s="22" t="s">
        <v>1527</v>
      </c>
      <c r="I5" s="22">
        <v>149</v>
      </c>
      <c r="J5" s="22">
        <v>1</v>
      </c>
      <c r="K5" s="5">
        <v>46183</v>
      </c>
      <c r="L5" s="5">
        <v>46161</v>
      </c>
      <c r="M5" s="22">
        <v>0</v>
      </c>
      <c r="N5" s="22">
        <v>101</v>
      </c>
      <c r="O5" s="22">
        <v>0</v>
      </c>
      <c r="P5" s="22" t="s">
        <v>1732</v>
      </c>
      <c r="Q5" s="5">
        <v>46173</v>
      </c>
      <c r="R5" s="4">
        <v>3</v>
      </c>
      <c r="S5" s="62">
        <f t="shared" si="4"/>
        <v>0.68</v>
      </c>
      <c r="T5" s="1">
        <f t="shared" si="0"/>
        <v>2</v>
      </c>
      <c r="U5" s="1">
        <f t="shared" si="1"/>
        <v>6</v>
      </c>
      <c r="V5" s="1">
        <f t="shared" si="2"/>
        <v>-4</v>
      </c>
      <c r="W5" s="1">
        <f t="shared" si="3"/>
        <v>0.51</v>
      </c>
      <c r="X5" s="63" t="s">
        <v>61</v>
      </c>
    </row>
    <row r="6" spans="1:26" x14ac:dyDescent="0.3">
      <c r="A6" s="22">
        <v>6857907</v>
      </c>
      <c r="B6" s="22" t="s">
        <v>1112</v>
      </c>
      <c r="C6" s="22" t="s">
        <v>1113</v>
      </c>
      <c r="D6" s="22">
        <v>1672</v>
      </c>
      <c r="E6" s="22" t="s">
        <v>171</v>
      </c>
      <c r="F6" s="22" t="s">
        <v>172</v>
      </c>
      <c r="G6" s="22">
        <v>0</v>
      </c>
      <c r="H6" s="22" t="s">
        <v>1114</v>
      </c>
      <c r="I6" s="22">
        <v>2413</v>
      </c>
      <c r="J6" s="22">
        <v>1</v>
      </c>
      <c r="K6" s="5">
        <v>46171</v>
      </c>
      <c r="L6" s="5">
        <v>46168</v>
      </c>
      <c r="M6" s="22">
        <v>0</v>
      </c>
      <c r="N6" s="22">
        <v>104</v>
      </c>
      <c r="O6" s="22">
        <v>0</v>
      </c>
      <c r="P6" s="22" t="s">
        <v>1732</v>
      </c>
      <c r="Q6" s="5">
        <v>46173</v>
      </c>
      <c r="R6" s="4">
        <v>19</v>
      </c>
      <c r="S6" s="62">
        <f t="shared" si="4"/>
        <v>0.68</v>
      </c>
      <c r="T6" s="1">
        <f t="shared" si="0"/>
        <v>13</v>
      </c>
      <c r="U6" s="1">
        <f t="shared" si="1"/>
        <v>16.72</v>
      </c>
      <c r="V6" s="1">
        <f t="shared" si="2"/>
        <v>-3.7199999999999989</v>
      </c>
      <c r="W6" s="1">
        <f t="shared" si="3"/>
        <v>-11.129999999999999</v>
      </c>
      <c r="X6" s="63" t="s">
        <v>61</v>
      </c>
    </row>
    <row r="7" spans="1:26" x14ac:dyDescent="0.3">
      <c r="A7" s="22">
        <v>6422089</v>
      </c>
      <c r="B7" s="22" t="s">
        <v>1082</v>
      </c>
      <c r="C7" s="22" t="s">
        <v>576</v>
      </c>
      <c r="D7" s="22">
        <v>2162</v>
      </c>
      <c r="E7" s="22" t="s">
        <v>171</v>
      </c>
      <c r="F7" s="22" t="s">
        <v>172</v>
      </c>
      <c r="G7" s="22">
        <v>0</v>
      </c>
      <c r="H7" s="22" t="s">
        <v>1083</v>
      </c>
      <c r="I7" s="22">
        <v>912</v>
      </c>
      <c r="J7" s="22">
        <v>1</v>
      </c>
      <c r="K7" s="5">
        <v>46166</v>
      </c>
      <c r="L7" s="5">
        <v>46164</v>
      </c>
      <c r="M7" s="22">
        <v>0</v>
      </c>
      <c r="N7" s="22">
        <v>102</v>
      </c>
      <c r="O7" s="22">
        <v>0</v>
      </c>
      <c r="P7" s="22" t="s">
        <v>1732</v>
      </c>
      <c r="Q7" s="5">
        <v>46173</v>
      </c>
      <c r="R7" s="4">
        <v>14</v>
      </c>
      <c r="S7" s="62">
        <f t="shared" si="4"/>
        <v>0.68</v>
      </c>
      <c r="T7" s="1">
        <f t="shared" si="0"/>
        <v>10</v>
      </c>
      <c r="U7" s="1">
        <f t="shared" si="1"/>
        <v>21.62</v>
      </c>
      <c r="V7" s="1">
        <f t="shared" si="2"/>
        <v>-11.620000000000001</v>
      </c>
      <c r="W7" s="1">
        <f t="shared" si="3"/>
        <v>0.88000000000000078</v>
      </c>
      <c r="X7" s="63" t="s">
        <v>61</v>
      </c>
    </row>
    <row r="8" spans="1:26" x14ac:dyDescent="0.3">
      <c r="A8" s="22">
        <v>6059255</v>
      </c>
      <c r="B8" s="22" t="s">
        <v>422</v>
      </c>
      <c r="C8" s="22" t="s">
        <v>423</v>
      </c>
      <c r="D8" s="22">
        <v>647</v>
      </c>
      <c r="E8" s="22" t="s">
        <v>171</v>
      </c>
      <c r="F8" s="22" t="s">
        <v>172</v>
      </c>
      <c r="G8" s="22">
        <v>0</v>
      </c>
      <c r="H8" s="22" t="s">
        <v>424</v>
      </c>
      <c r="I8" s="22">
        <v>897</v>
      </c>
      <c r="J8" s="22">
        <v>1</v>
      </c>
      <c r="K8" s="5">
        <v>46149</v>
      </c>
      <c r="L8" s="5">
        <v>46145</v>
      </c>
      <c r="M8" s="22">
        <v>0</v>
      </c>
      <c r="N8" s="22">
        <v>108</v>
      </c>
      <c r="O8" s="22">
        <v>0</v>
      </c>
      <c r="P8" s="22" t="s">
        <v>1732</v>
      </c>
      <c r="Q8" s="5">
        <v>46173</v>
      </c>
      <c r="R8" s="4">
        <v>8</v>
      </c>
      <c r="S8" s="62">
        <f t="shared" si="4"/>
        <v>0.68</v>
      </c>
      <c r="T8" s="1">
        <f t="shared" si="0"/>
        <v>5</v>
      </c>
      <c r="U8" s="1">
        <f t="shared" si="1"/>
        <v>6.47</v>
      </c>
      <c r="V8" s="1">
        <f t="shared" si="2"/>
        <v>-1.4699999999999998</v>
      </c>
      <c r="W8" s="1">
        <f t="shared" si="3"/>
        <v>-3.9700000000000006</v>
      </c>
      <c r="X8" s="63" t="s">
        <v>61</v>
      </c>
    </row>
    <row r="9" spans="1:26" x14ac:dyDescent="0.3">
      <c r="A9" s="22">
        <v>6059234</v>
      </c>
      <c r="B9" s="22" t="s">
        <v>943</v>
      </c>
      <c r="C9" s="22" t="s">
        <v>423</v>
      </c>
      <c r="D9" s="22">
        <v>696</v>
      </c>
      <c r="E9" s="22" t="s">
        <v>171</v>
      </c>
      <c r="F9" s="22" t="s">
        <v>172</v>
      </c>
      <c r="G9" s="22">
        <v>0</v>
      </c>
      <c r="H9" s="22" t="s">
        <v>944</v>
      </c>
      <c r="I9" s="22">
        <v>620</v>
      </c>
      <c r="J9" s="22">
        <v>1</v>
      </c>
      <c r="K9" s="5">
        <v>46156</v>
      </c>
      <c r="L9" s="5">
        <v>46155</v>
      </c>
      <c r="M9" s="22">
        <v>0</v>
      </c>
      <c r="N9" s="22">
        <v>107</v>
      </c>
      <c r="O9" s="22">
        <v>0</v>
      </c>
      <c r="P9" s="22" t="s">
        <v>1732</v>
      </c>
      <c r="Q9" s="5">
        <v>46173</v>
      </c>
      <c r="R9" s="4">
        <v>8</v>
      </c>
      <c r="S9" s="62">
        <f t="shared" si="4"/>
        <v>0.68</v>
      </c>
      <c r="T9" s="1">
        <f t="shared" si="0"/>
        <v>5</v>
      </c>
      <c r="U9" s="1">
        <f t="shared" si="1"/>
        <v>6.96</v>
      </c>
      <c r="V9" s="1">
        <f t="shared" si="2"/>
        <v>-1.96</v>
      </c>
      <c r="W9" s="1">
        <f t="shared" si="3"/>
        <v>-1.2000000000000002</v>
      </c>
      <c r="X9" s="63" t="s">
        <v>61</v>
      </c>
    </row>
    <row r="10" spans="1:26" x14ac:dyDescent="0.3">
      <c r="A10" s="22">
        <v>2755758</v>
      </c>
      <c r="B10" s="22" t="s">
        <v>277</v>
      </c>
      <c r="C10" s="22" t="s">
        <v>269</v>
      </c>
      <c r="D10" s="22">
        <v>319</v>
      </c>
      <c r="E10" s="22" t="s">
        <v>171</v>
      </c>
      <c r="F10" s="22" t="s">
        <v>172</v>
      </c>
      <c r="G10" s="22">
        <v>0</v>
      </c>
      <c r="H10" s="22">
        <v>0</v>
      </c>
      <c r="I10" s="22">
        <v>125</v>
      </c>
      <c r="J10" s="22">
        <v>1</v>
      </c>
      <c r="K10" s="5">
        <v>46183</v>
      </c>
      <c r="L10" s="5">
        <v>0</v>
      </c>
      <c r="M10" s="22">
        <v>0</v>
      </c>
      <c r="N10" s="22">
        <v>56</v>
      </c>
      <c r="O10" s="22">
        <v>0</v>
      </c>
      <c r="P10" s="22" t="s">
        <v>1732</v>
      </c>
      <c r="Q10" s="5">
        <v>46173</v>
      </c>
      <c r="R10" s="4">
        <v>2</v>
      </c>
      <c r="S10" s="62">
        <f t="shared" si="4"/>
        <v>0.68</v>
      </c>
      <c r="T10" s="1">
        <f t="shared" si="0"/>
        <v>1</v>
      </c>
      <c r="U10" s="1">
        <f t="shared" si="1"/>
        <v>3.19</v>
      </c>
      <c r="V10" s="1">
        <f t="shared" si="2"/>
        <v>-2.19</v>
      </c>
      <c r="W10" s="1">
        <f t="shared" si="3"/>
        <v>-0.25</v>
      </c>
      <c r="X10" s="63" t="s">
        <v>61</v>
      </c>
    </row>
    <row r="11" spans="1:26" x14ac:dyDescent="0.3">
      <c r="A11" s="22">
        <v>113596</v>
      </c>
      <c r="B11" s="22" t="s">
        <v>1755</v>
      </c>
      <c r="C11" s="22" t="s">
        <v>948</v>
      </c>
      <c r="D11" s="22">
        <v>5000</v>
      </c>
      <c r="E11" s="22" t="s">
        <v>445</v>
      </c>
      <c r="F11" s="22" t="s">
        <v>172</v>
      </c>
      <c r="G11" s="22">
        <v>0</v>
      </c>
      <c r="H11" s="22">
        <v>0</v>
      </c>
      <c r="I11" s="22">
        <v>5500</v>
      </c>
      <c r="J11" s="22">
        <v>1</v>
      </c>
      <c r="K11" s="5">
        <v>46173</v>
      </c>
      <c r="L11" s="5">
        <v>46173</v>
      </c>
      <c r="M11" s="22" t="s">
        <v>446</v>
      </c>
      <c r="N11" s="22">
        <v>45837587</v>
      </c>
      <c r="O11" s="22">
        <v>0</v>
      </c>
      <c r="P11" s="22" t="s">
        <v>1723</v>
      </c>
      <c r="Q11" s="5">
        <v>46186</v>
      </c>
      <c r="R11" s="4">
        <v>55</v>
      </c>
      <c r="S11" s="62">
        <v>0.77110000000000001</v>
      </c>
      <c r="T11" s="1">
        <f t="shared" si="0"/>
        <v>42</v>
      </c>
      <c r="U11" s="1">
        <f t="shared" si="1"/>
        <v>50</v>
      </c>
      <c r="V11" s="1">
        <f t="shared" si="2"/>
        <v>-8</v>
      </c>
      <c r="W11" s="1">
        <f t="shared" si="3"/>
        <v>-13</v>
      </c>
      <c r="X11" s="63" t="s">
        <v>61</v>
      </c>
      <c r="Z11" s="2"/>
    </row>
    <row r="12" spans="1:26" x14ac:dyDescent="0.3">
      <c r="A12" s="22">
        <v>85449</v>
      </c>
      <c r="B12" s="22" t="s">
        <v>419</v>
      </c>
      <c r="C12" s="22" t="s">
        <v>216</v>
      </c>
      <c r="D12" s="22">
        <v>3073</v>
      </c>
      <c r="E12" s="22" t="s">
        <v>171</v>
      </c>
      <c r="F12" s="22" t="s">
        <v>172</v>
      </c>
      <c r="G12" s="22">
        <v>0</v>
      </c>
      <c r="H12" s="22">
        <v>0</v>
      </c>
      <c r="I12" s="22">
        <v>250</v>
      </c>
      <c r="J12" s="22">
        <v>1</v>
      </c>
      <c r="K12" s="5">
        <v>46183</v>
      </c>
      <c r="L12" s="5">
        <v>0</v>
      </c>
      <c r="M12" s="22">
        <v>0</v>
      </c>
      <c r="N12" s="22">
        <v>88</v>
      </c>
      <c r="O12" s="22">
        <v>0</v>
      </c>
      <c r="P12" s="22" t="s">
        <v>1723</v>
      </c>
      <c r="Q12" s="5">
        <v>46186</v>
      </c>
      <c r="R12" s="4">
        <v>30</v>
      </c>
      <c r="S12" s="62">
        <v>0.77110000000000001</v>
      </c>
      <c r="T12" s="1">
        <f t="shared" si="0"/>
        <v>23</v>
      </c>
      <c r="U12" s="1">
        <f t="shared" si="1"/>
        <v>30.73</v>
      </c>
      <c r="V12" s="1">
        <f t="shared" si="2"/>
        <v>-7.73</v>
      </c>
      <c r="W12" s="1">
        <f t="shared" si="3"/>
        <v>20.5</v>
      </c>
      <c r="X12" s="63" t="s">
        <v>61</v>
      </c>
    </row>
    <row r="13" spans="1:26" x14ac:dyDescent="0.3">
      <c r="A13" s="22">
        <v>87381</v>
      </c>
      <c r="B13" s="22" t="s">
        <v>364</v>
      </c>
      <c r="C13" s="22" t="s">
        <v>174</v>
      </c>
      <c r="D13" s="22">
        <v>2446</v>
      </c>
      <c r="E13" s="22" t="s">
        <v>171</v>
      </c>
      <c r="F13" s="22" t="s">
        <v>172</v>
      </c>
      <c r="G13" s="22">
        <v>0</v>
      </c>
      <c r="H13" s="22">
        <v>0</v>
      </c>
      <c r="I13" s="22">
        <v>800</v>
      </c>
      <c r="J13" s="22">
        <v>1</v>
      </c>
      <c r="K13" s="5">
        <v>46127</v>
      </c>
      <c r="L13" s="5">
        <v>0</v>
      </c>
      <c r="M13" s="22">
        <v>0</v>
      </c>
      <c r="N13" s="22">
        <v>89</v>
      </c>
      <c r="O13" s="22">
        <v>0</v>
      </c>
      <c r="P13" s="22" t="s">
        <v>1723</v>
      </c>
      <c r="Q13" s="5">
        <v>46186</v>
      </c>
      <c r="R13" s="4">
        <v>30</v>
      </c>
      <c r="S13" s="62">
        <v>0.77110000000000001</v>
      </c>
      <c r="T13" s="1">
        <f t="shared" si="0"/>
        <v>23</v>
      </c>
      <c r="U13" s="1">
        <f t="shared" si="1"/>
        <v>24.46</v>
      </c>
      <c r="V13" s="1">
        <f t="shared" si="2"/>
        <v>-1.4600000000000009</v>
      </c>
      <c r="W13" s="1">
        <f t="shared" si="3"/>
        <v>15</v>
      </c>
      <c r="X13" s="63" t="s">
        <v>61</v>
      </c>
    </row>
    <row r="14" spans="1:26" x14ac:dyDescent="0.3">
      <c r="A14" s="22">
        <v>85372</v>
      </c>
      <c r="B14" s="22" t="s">
        <v>223</v>
      </c>
      <c r="C14" s="22" t="s">
        <v>216</v>
      </c>
      <c r="D14" s="22">
        <v>4276</v>
      </c>
      <c r="E14" s="22" t="s">
        <v>171</v>
      </c>
      <c r="F14" s="22" t="s">
        <v>172</v>
      </c>
      <c r="G14" s="22">
        <v>0</v>
      </c>
      <c r="H14" s="22">
        <v>0</v>
      </c>
      <c r="I14" s="22">
        <v>500</v>
      </c>
      <c r="J14" s="22">
        <v>1</v>
      </c>
      <c r="K14" s="5">
        <v>46183</v>
      </c>
      <c r="L14" s="5">
        <v>0</v>
      </c>
      <c r="M14" s="22">
        <v>0</v>
      </c>
      <c r="N14" s="22">
        <v>97</v>
      </c>
      <c r="O14" s="22">
        <v>0</v>
      </c>
      <c r="P14" s="22" t="s">
        <v>1723</v>
      </c>
      <c r="Q14" s="5">
        <v>46186</v>
      </c>
      <c r="R14" s="4">
        <v>50</v>
      </c>
      <c r="S14" s="62">
        <v>0.77110000000000001</v>
      </c>
      <c r="T14" s="1">
        <f t="shared" si="0"/>
        <v>39</v>
      </c>
      <c r="U14" s="1">
        <f t="shared" si="1"/>
        <v>42.76</v>
      </c>
      <c r="V14" s="1">
        <f>T14-U14-U14</f>
        <v>-46.519999999999996</v>
      </c>
      <c r="W14" s="1">
        <f t="shared" si="3"/>
        <v>34</v>
      </c>
      <c r="X14" s="63" t="s">
        <v>61</v>
      </c>
    </row>
    <row r="15" spans="1:26" x14ac:dyDescent="0.3">
      <c r="A15" s="22">
        <v>85372</v>
      </c>
      <c r="B15" s="22" t="s">
        <v>223</v>
      </c>
      <c r="C15" s="22" t="s">
        <v>216</v>
      </c>
      <c r="D15" s="22">
        <v>4276</v>
      </c>
      <c r="E15" s="22" t="s">
        <v>171</v>
      </c>
      <c r="F15" s="22" t="s">
        <v>172</v>
      </c>
      <c r="G15" s="22">
        <v>0</v>
      </c>
      <c r="H15" s="22">
        <v>0</v>
      </c>
      <c r="I15" s="22">
        <v>500</v>
      </c>
      <c r="J15" s="22">
        <v>1</v>
      </c>
      <c r="K15" s="5">
        <v>46183</v>
      </c>
      <c r="L15" s="5">
        <v>0</v>
      </c>
      <c r="M15" s="22">
        <v>0</v>
      </c>
      <c r="N15" s="22">
        <v>87</v>
      </c>
      <c r="O15" s="22">
        <v>0</v>
      </c>
      <c r="P15" s="22" t="s">
        <v>1723</v>
      </c>
      <c r="Q15" s="5">
        <v>46186</v>
      </c>
      <c r="R15" s="4">
        <v>50</v>
      </c>
      <c r="S15" s="62">
        <v>0.77110000000000001</v>
      </c>
      <c r="T15" s="1">
        <f t="shared" si="0"/>
        <v>39</v>
      </c>
      <c r="U15" s="1">
        <f t="shared" si="1"/>
        <v>42.76</v>
      </c>
      <c r="V15" s="1">
        <f>T15-U15-U15</f>
        <v>-46.519999999999996</v>
      </c>
      <c r="W15" s="1">
        <f t="shared" si="3"/>
        <v>34</v>
      </c>
      <c r="X15" s="63" t="s">
        <v>61</v>
      </c>
    </row>
    <row r="16" spans="1:26" x14ac:dyDescent="0.3">
      <c r="A16" s="22">
        <v>85401</v>
      </c>
      <c r="B16" s="22" t="s">
        <v>415</v>
      </c>
      <c r="C16" s="22" t="s">
        <v>216</v>
      </c>
      <c r="D16" s="22">
        <v>3500</v>
      </c>
      <c r="E16" s="22" t="s">
        <v>171</v>
      </c>
      <c r="F16" s="22" t="s">
        <v>172</v>
      </c>
      <c r="G16" s="22">
        <v>0</v>
      </c>
      <c r="H16" s="22">
        <v>0</v>
      </c>
      <c r="I16" s="22">
        <v>800</v>
      </c>
      <c r="J16" s="22">
        <v>1</v>
      </c>
      <c r="K16" s="5">
        <v>46183</v>
      </c>
      <c r="L16" s="5">
        <v>0</v>
      </c>
      <c r="M16" s="22">
        <v>0</v>
      </c>
      <c r="N16" s="22">
        <v>85</v>
      </c>
      <c r="O16" s="22">
        <v>0</v>
      </c>
      <c r="P16" s="22" t="s">
        <v>1723</v>
      </c>
      <c r="Q16" s="5">
        <v>46186</v>
      </c>
      <c r="R16" s="4">
        <v>30</v>
      </c>
      <c r="S16" s="62">
        <v>0.77110000000000001</v>
      </c>
      <c r="T16" s="1">
        <f t="shared" si="0"/>
        <v>23</v>
      </c>
      <c r="U16" s="1">
        <f t="shared" si="1"/>
        <v>35</v>
      </c>
      <c r="V16" s="1">
        <f>T16-U16-U16-U16</f>
        <v>-82</v>
      </c>
      <c r="W16" s="1">
        <f t="shared" si="3"/>
        <v>15</v>
      </c>
      <c r="X16" s="63" t="s">
        <v>61</v>
      </c>
    </row>
    <row r="17" spans="1:24" x14ac:dyDescent="0.3">
      <c r="A17" s="22">
        <v>85401</v>
      </c>
      <c r="B17" s="22" t="s">
        <v>415</v>
      </c>
      <c r="C17" s="22" t="s">
        <v>216</v>
      </c>
      <c r="D17" s="22">
        <v>3500</v>
      </c>
      <c r="E17" s="22" t="s">
        <v>171</v>
      </c>
      <c r="F17" s="22" t="s">
        <v>172</v>
      </c>
      <c r="G17" s="22">
        <v>0</v>
      </c>
      <c r="H17" s="22">
        <v>0</v>
      </c>
      <c r="I17" s="22">
        <v>800</v>
      </c>
      <c r="J17" s="22">
        <v>1</v>
      </c>
      <c r="K17" s="5">
        <v>46127</v>
      </c>
      <c r="L17" s="5">
        <v>0</v>
      </c>
      <c r="M17" s="22">
        <v>0</v>
      </c>
      <c r="N17" s="22">
        <v>94</v>
      </c>
      <c r="O17" s="22">
        <v>0</v>
      </c>
      <c r="P17" s="22" t="s">
        <v>1723</v>
      </c>
      <c r="Q17" s="5">
        <v>46186</v>
      </c>
      <c r="R17" s="4">
        <v>30</v>
      </c>
      <c r="S17" s="62">
        <v>0.77110000000000001</v>
      </c>
      <c r="T17" s="1">
        <f t="shared" si="0"/>
        <v>23</v>
      </c>
      <c r="U17" s="1">
        <f t="shared" si="1"/>
        <v>35</v>
      </c>
      <c r="V17" s="1">
        <f>T17-U17-U17-U17</f>
        <v>-82</v>
      </c>
      <c r="W17" s="1">
        <f t="shared" si="3"/>
        <v>15</v>
      </c>
      <c r="X17" s="63" t="s">
        <v>61</v>
      </c>
    </row>
    <row r="18" spans="1:24" x14ac:dyDescent="0.3">
      <c r="A18" s="22">
        <v>85401</v>
      </c>
      <c r="B18" s="22" t="s">
        <v>415</v>
      </c>
      <c r="C18" s="22" t="s">
        <v>216</v>
      </c>
      <c r="D18" s="22">
        <v>3500</v>
      </c>
      <c r="E18" s="22" t="s">
        <v>171</v>
      </c>
      <c r="F18" s="22" t="s">
        <v>172</v>
      </c>
      <c r="G18" s="22">
        <v>0</v>
      </c>
      <c r="H18" s="22">
        <v>0</v>
      </c>
      <c r="I18" s="22">
        <v>800</v>
      </c>
      <c r="J18" s="22">
        <v>1</v>
      </c>
      <c r="K18" s="5">
        <v>46183</v>
      </c>
      <c r="L18" s="5">
        <v>0</v>
      </c>
      <c r="M18" s="22">
        <v>0</v>
      </c>
      <c r="N18" s="22">
        <v>95</v>
      </c>
      <c r="O18" s="22">
        <v>0</v>
      </c>
      <c r="P18" s="22" t="s">
        <v>1723</v>
      </c>
      <c r="Q18" s="5">
        <v>46186</v>
      </c>
      <c r="R18" s="4">
        <v>30</v>
      </c>
      <c r="S18" s="62">
        <v>0.77110000000000001</v>
      </c>
      <c r="T18" s="1">
        <f t="shared" si="0"/>
        <v>23</v>
      </c>
      <c r="U18" s="1">
        <f t="shared" si="1"/>
        <v>35</v>
      </c>
      <c r="V18" s="1">
        <f>T18-U18-U18-U18</f>
        <v>-82</v>
      </c>
      <c r="W18" s="1">
        <f t="shared" si="3"/>
        <v>15</v>
      </c>
      <c r="X18" s="63" t="s">
        <v>61</v>
      </c>
    </row>
    <row r="19" spans="1:24" x14ac:dyDescent="0.3">
      <c r="A19" s="22">
        <v>89006</v>
      </c>
      <c r="B19" s="22" t="s">
        <v>192</v>
      </c>
      <c r="C19" s="22" t="s">
        <v>193</v>
      </c>
      <c r="D19" s="22">
        <v>30169</v>
      </c>
      <c r="E19" s="22" t="s">
        <v>171</v>
      </c>
      <c r="F19" s="22" t="s">
        <v>172</v>
      </c>
      <c r="G19" s="22">
        <v>0</v>
      </c>
      <c r="H19" s="22">
        <v>0</v>
      </c>
      <c r="I19" s="22">
        <v>500</v>
      </c>
      <c r="J19" s="22">
        <v>1</v>
      </c>
      <c r="K19" s="5">
        <v>46183</v>
      </c>
      <c r="L19" s="5">
        <v>0</v>
      </c>
      <c r="M19" s="22">
        <v>0</v>
      </c>
      <c r="N19" s="22">
        <v>81</v>
      </c>
      <c r="O19" s="22">
        <v>0</v>
      </c>
      <c r="P19" s="22" t="s">
        <v>1723</v>
      </c>
      <c r="Q19" s="5">
        <v>46186</v>
      </c>
      <c r="R19" s="4">
        <v>225</v>
      </c>
      <c r="S19" s="62">
        <v>0.77110000000000001</v>
      </c>
      <c r="T19" s="1">
        <f t="shared" si="0"/>
        <v>173</v>
      </c>
      <c r="U19" s="1">
        <f t="shared" si="1"/>
        <v>301.69</v>
      </c>
      <c r="V19" s="1">
        <f>T19-U19-U19</f>
        <v>-430.38</v>
      </c>
      <c r="W19" s="1">
        <f t="shared" si="3"/>
        <v>168</v>
      </c>
      <c r="X19" s="63" t="s">
        <v>61</v>
      </c>
    </row>
    <row r="20" spans="1:24" x14ac:dyDescent="0.3">
      <c r="A20" s="22">
        <v>89006</v>
      </c>
      <c r="B20" s="22" t="s">
        <v>192</v>
      </c>
      <c r="C20" s="22" t="s">
        <v>193</v>
      </c>
      <c r="D20" s="22">
        <v>30169</v>
      </c>
      <c r="E20" s="22" t="s">
        <v>171</v>
      </c>
      <c r="F20" s="22" t="s">
        <v>172</v>
      </c>
      <c r="G20" s="22">
        <v>0</v>
      </c>
      <c r="H20" s="22">
        <v>0</v>
      </c>
      <c r="I20" s="22">
        <v>500</v>
      </c>
      <c r="J20" s="22">
        <v>1</v>
      </c>
      <c r="K20" s="5">
        <v>46183</v>
      </c>
      <c r="L20" s="5">
        <v>0</v>
      </c>
      <c r="M20" s="22">
        <v>0</v>
      </c>
      <c r="N20" s="22">
        <v>96</v>
      </c>
      <c r="O20" s="22">
        <v>0</v>
      </c>
      <c r="P20" s="22" t="s">
        <v>1723</v>
      </c>
      <c r="Q20" s="5">
        <v>46186</v>
      </c>
      <c r="R20" s="4">
        <v>225</v>
      </c>
      <c r="S20" s="62">
        <v>0.77110000000000001</v>
      </c>
      <c r="T20" s="1">
        <f t="shared" si="0"/>
        <v>173</v>
      </c>
      <c r="U20" s="1">
        <f t="shared" si="1"/>
        <v>301.69</v>
      </c>
      <c r="V20" s="1">
        <f>T20-U20-U20</f>
        <v>-430.38</v>
      </c>
      <c r="W20" s="1">
        <f t="shared" si="3"/>
        <v>168</v>
      </c>
      <c r="X20" s="63" t="s">
        <v>61</v>
      </c>
    </row>
    <row r="21" spans="1:24" x14ac:dyDescent="0.3">
      <c r="A21" s="22">
        <v>84113</v>
      </c>
      <c r="B21" s="22" t="s">
        <v>411</v>
      </c>
      <c r="C21" s="22" t="s">
        <v>412</v>
      </c>
      <c r="D21" s="22">
        <v>1912</v>
      </c>
      <c r="E21" s="22" t="s">
        <v>171</v>
      </c>
      <c r="F21" s="22" t="s">
        <v>172</v>
      </c>
      <c r="G21" s="22">
        <v>0</v>
      </c>
      <c r="H21" s="22">
        <v>0</v>
      </c>
      <c r="I21" s="22">
        <v>200</v>
      </c>
      <c r="J21" s="22">
        <v>1</v>
      </c>
      <c r="K21" s="5">
        <v>46127</v>
      </c>
      <c r="L21" s="5">
        <v>0</v>
      </c>
      <c r="M21" s="22">
        <v>0</v>
      </c>
      <c r="N21" s="22">
        <v>93</v>
      </c>
      <c r="O21" s="22">
        <v>0</v>
      </c>
      <c r="P21" s="22" t="s">
        <v>1723</v>
      </c>
      <c r="Q21" s="5">
        <v>46186</v>
      </c>
      <c r="R21" s="4">
        <v>20</v>
      </c>
      <c r="S21" s="62">
        <v>0.77110000000000001</v>
      </c>
      <c r="T21" s="1">
        <f t="shared" si="0"/>
        <v>15</v>
      </c>
      <c r="U21" s="1">
        <f t="shared" si="1"/>
        <v>19.12</v>
      </c>
      <c r="V21" s="1">
        <f t="shared" ref="V21:V63" si="5">T21-U21</f>
        <v>-4.120000000000001</v>
      </c>
      <c r="W21" s="1">
        <f t="shared" si="3"/>
        <v>13</v>
      </c>
      <c r="X21" s="63" t="s">
        <v>61</v>
      </c>
    </row>
    <row r="22" spans="1:24" x14ac:dyDescent="0.3">
      <c r="A22" s="22">
        <v>7148998</v>
      </c>
      <c r="B22" s="22" t="s">
        <v>314</v>
      </c>
      <c r="C22" s="22" t="s">
        <v>315</v>
      </c>
      <c r="D22" s="22">
        <v>4600</v>
      </c>
      <c r="E22" s="22" t="s">
        <v>171</v>
      </c>
      <c r="F22" s="22" t="s">
        <v>172</v>
      </c>
      <c r="G22" s="22">
        <v>0</v>
      </c>
      <c r="H22" s="22">
        <v>0</v>
      </c>
      <c r="I22" s="22">
        <v>3000</v>
      </c>
      <c r="J22" s="22">
        <v>1</v>
      </c>
      <c r="K22" s="5">
        <v>46127</v>
      </c>
      <c r="L22" s="5">
        <v>0</v>
      </c>
      <c r="M22" s="22">
        <v>0</v>
      </c>
      <c r="N22" s="22">
        <v>99</v>
      </c>
      <c r="O22" s="22">
        <v>0</v>
      </c>
      <c r="P22" s="22" t="s">
        <v>1723</v>
      </c>
      <c r="Q22" s="5">
        <v>46186</v>
      </c>
      <c r="R22" s="4">
        <v>50</v>
      </c>
      <c r="S22" s="62">
        <v>0.77110000000000001</v>
      </c>
      <c r="T22" s="1">
        <f t="shared" si="0"/>
        <v>39</v>
      </c>
      <c r="U22" s="1">
        <f t="shared" si="1"/>
        <v>46</v>
      </c>
      <c r="V22" s="1">
        <f t="shared" si="5"/>
        <v>-7</v>
      </c>
      <c r="W22" s="1">
        <f t="shared" si="3"/>
        <v>9</v>
      </c>
      <c r="X22" s="63" t="s">
        <v>61</v>
      </c>
    </row>
    <row r="23" spans="1:24" x14ac:dyDescent="0.3">
      <c r="A23" s="22">
        <v>85396</v>
      </c>
      <c r="B23" s="22" t="s">
        <v>311</v>
      </c>
      <c r="C23" s="22" t="s">
        <v>216</v>
      </c>
      <c r="D23" s="22">
        <v>2500</v>
      </c>
      <c r="E23" s="22" t="s">
        <v>171</v>
      </c>
      <c r="F23" s="22" t="s">
        <v>172</v>
      </c>
      <c r="G23" s="22">
        <v>0</v>
      </c>
      <c r="H23" s="22">
        <v>0</v>
      </c>
      <c r="I23" s="22">
        <v>250</v>
      </c>
      <c r="J23" s="22">
        <v>1</v>
      </c>
      <c r="K23" s="5">
        <v>46183</v>
      </c>
      <c r="L23" s="5">
        <v>0</v>
      </c>
      <c r="M23" s="22">
        <v>0</v>
      </c>
      <c r="N23" s="22">
        <v>82</v>
      </c>
      <c r="O23" s="22">
        <v>0</v>
      </c>
      <c r="P23" s="22" t="s">
        <v>1723</v>
      </c>
      <c r="Q23" s="5">
        <v>46186</v>
      </c>
      <c r="R23" s="4">
        <v>20</v>
      </c>
      <c r="S23" s="62">
        <v>0.77110000000000001</v>
      </c>
      <c r="T23" s="1">
        <f t="shared" si="0"/>
        <v>15</v>
      </c>
      <c r="U23" s="1">
        <f t="shared" si="1"/>
        <v>25</v>
      </c>
      <c r="V23" s="1">
        <f t="shared" si="5"/>
        <v>-10</v>
      </c>
      <c r="W23" s="1">
        <f t="shared" si="3"/>
        <v>12.5</v>
      </c>
      <c r="X23" s="63" t="s">
        <v>61</v>
      </c>
    </row>
    <row r="24" spans="1:24" x14ac:dyDescent="0.3">
      <c r="A24" s="22">
        <v>85396</v>
      </c>
      <c r="B24" s="22" t="s">
        <v>311</v>
      </c>
      <c r="C24" s="22" t="s">
        <v>216</v>
      </c>
      <c r="D24" s="22">
        <v>2500</v>
      </c>
      <c r="E24" s="22" t="s">
        <v>171</v>
      </c>
      <c r="F24" s="22" t="s">
        <v>172</v>
      </c>
      <c r="G24" s="22">
        <v>0</v>
      </c>
      <c r="H24" s="22">
        <v>0</v>
      </c>
      <c r="I24" s="22">
        <v>250</v>
      </c>
      <c r="J24" s="22">
        <v>1</v>
      </c>
      <c r="K24" s="5">
        <v>46129</v>
      </c>
      <c r="L24" s="5">
        <v>0</v>
      </c>
      <c r="M24" s="22">
        <v>0</v>
      </c>
      <c r="N24" s="22">
        <v>86</v>
      </c>
      <c r="O24" s="22">
        <v>0</v>
      </c>
      <c r="P24" s="22" t="s">
        <v>1723</v>
      </c>
      <c r="Q24" s="5">
        <v>46186</v>
      </c>
      <c r="R24" s="4">
        <v>20</v>
      </c>
      <c r="S24" s="62">
        <v>0.77110000000000001</v>
      </c>
      <c r="T24" s="1">
        <f t="shared" si="0"/>
        <v>15</v>
      </c>
      <c r="U24" s="1">
        <f t="shared" si="1"/>
        <v>25</v>
      </c>
      <c r="V24" s="1">
        <f t="shared" si="5"/>
        <v>-10</v>
      </c>
      <c r="W24" s="1">
        <f t="shared" si="3"/>
        <v>12.5</v>
      </c>
      <c r="X24" s="63" t="s">
        <v>61</v>
      </c>
    </row>
    <row r="25" spans="1:24" x14ac:dyDescent="0.3">
      <c r="A25" s="22">
        <v>4732090</v>
      </c>
      <c r="B25" s="22" t="s">
        <v>368</v>
      </c>
      <c r="C25" s="22" t="s">
        <v>369</v>
      </c>
      <c r="D25" s="22">
        <v>4000</v>
      </c>
      <c r="E25" s="22" t="s">
        <v>171</v>
      </c>
      <c r="F25" s="22" t="s">
        <v>172</v>
      </c>
      <c r="G25" s="22">
        <v>0</v>
      </c>
      <c r="H25" s="22">
        <v>0</v>
      </c>
      <c r="I25" s="22">
        <v>2000</v>
      </c>
      <c r="J25" s="22">
        <v>1</v>
      </c>
      <c r="K25" s="5">
        <v>46127</v>
      </c>
      <c r="L25" s="5">
        <v>0</v>
      </c>
      <c r="M25" s="22">
        <v>0</v>
      </c>
      <c r="N25" s="22">
        <v>91</v>
      </c>
      <c r="O25" s="22">
        <v>0</v>
      </c>
      <c r="P25" s="22" t="s">
        <v>1723</v>
      </c>
      <c r="Q25" s="5">
        <v>46186</v>
      </c>
      <c r="R25" s="4">
        <v>40</v>
      </c>
      <c r="S25" s="62">
        <v>0.77110000000000001</v>
      </c>
      <c r="T25" s="1">
        <f t="shared" si="0"/>
        <v>31</v>
      </c>
      <c r="U25" s="1">
        <f t="shared" si="1"/>
        <v>40</v>
      </c>
      <c r="V25" s="1">
        <f t="shared" si="5"/>
        <v>-9</v>
      </c>
      <c r="W25" s="1">
        <f t="shared" si="3"/>
        <v>11</v>
      </c>
      <c r="X25" s="63" t="s">
        <v>61</v>
      </c>
    </row>
    <row r="26" spans="1:24" x14ac:dyDescent="0.3">
      <c r="A26" s="22">
        <v>108730</v>
      </c>
      <c r="B26" s="22" t="s">
        <v>261</v>
      </c>
      <c r="C26" s="22" t="s">
        <v>262</v>
      </c>
      <c r="D26" s="22">
        <v>5727</v>
      </c>
      <c r="E26" s="22" t="s">
        <v>445</v>
      </c>
      <c r="F26" s="22" t="s">
        <v>172</v>
      </c>
      <c r="G26" s="22">
        <v>0</v>
      </c>
      <c r="H26" s="22">
        <v>0</v>
      </c>
      <c r="I26" s="22">
        <v>8372</v>
      </c>
      <c r="J26" s="22">
        <v>1</v>
      </c>
      <c r="K26" s="5">
        <v>46133</v>
      </c>
      <c r="L26" s="5">
        <v>46132</v>
      </c>
      <c r="M26" s="22" t="s">
        <v>446</v>
      </c>
      <c r="N26" s="22">
        <v>45718822</v>
      </c>
      <c r="O26" s="22">
        <v>0</v>
      </c>
      <c r="P26" s="22" t="s">
        <v>1723</v>
      </c>
      <c r="Q26" s="5">
        <v>46186</v>
      </c>
      <c r="R26" s="4">
        <v>40</v>
      </c>
      <c r="S26" s="62">
        <v>0.77110000000000001</v>
      </c>
      <c r="T26" s="1">
        <f t="shared" si="0"/>
        <v>31</v>
      </c>
      <c r="U26" s="1">
        <f t="shared" si="1"/>
        <v>57.27</v>
      </c>
      <c r="V26" s="1">
        <f t="shared" si="5"/>
        <v>-26.270000000000003</v>
      </c>
      <c r="W26" s="1">
        <f t="shared" si="3"/>
        <v>-52.72</v>
      </c>
      <c r="X26" s="63" t="s">
        <v>61</v>
      </c>
    </row>
    <row r="27" spans="1:24" x14ac:dyDescent="0.3">
      <c r="A27" s="22">
        <v>83402</v>
      </c>
      <c r="B27" s="22" t="s">
        <v>390</v>
      </c>
      <c r="C27" s="22" t="s">
        <v>251</v>
      </c>
      <c r="D27" s="22">
        <v>2890</v>
      </c>
      <c r="E27" s="22" t="s">
        <v>171</v>
      </c>
      <c r="F27" s="22" t="s">
        <v>172</v>
      </c>
      <c r="G27" s="22">
        <v>0</v>
      </c>
      <c r="H27" s="22">
        <v>0</v>
      </c>
      <c r="I27" s="22">
        <v>250</v>
      </c>
      <c r="J27" s="22">
        <v>1</v>
      </c>
      <c r="K27" s="5">
        <v>46129</v>
      </c>
      <c r="L27" s="5">
        <v>0</v>
      </c>
      <c r="M27" s="22">
        <v>0</v>
      </c>
      <c r="N27" s="22">
        <v>92</v>
      </c>
      <c r="O27" s="22">
        <v>0</v>
      </c>
      <c r="P27" s="22" t="s">
        <v>1723</v>
      </c>
      <c r="Q27" s="5">
        <v>46186</v>
      </c>
      <c r="R27" s="4">
        <v>30</v>
      </c>
      <c r="S27" s="62">
        <v>0.77110000000000001</v>
      </c>
      <c r="T27" s="1">
        <f t="shared" si="0"/>
        <v>23</v>
      </c>
      <c r="U27" s="1">
        <f t="shared" si="1"/>
        <v>28.9</v>
      </c>
      <c r="V27" s="1">
        <f t="shared" si="5"/>
        <v>-5.8999999999999986</v>
      </c>
      <c r="W27" s="1">
        <f t="shared" si="3"/>
        <v>20.5</v>
      </c>
      <c r="X27" s="63" t="s">
        <v>61</v>
      </c>
    </row>
    <row r="28" spans="1:24" x14ac:dyDescent="0.3">
      <c r="A28" s="22">
        <v>108730</v>
      </c>
      <c r="B28" s="22" t="s">
        <v>261</v>
      </c>
      <c r="C28" s="22" t="s">
        <v>262</v>
      </c>
      <c r="D28" s="22">
        <v>4450</v>
      </c>
      <c r="E28" s="22" t="s">
        <v>171</v>
      </c>
      <c r="F28" s="22" t="s">
        <v>172</v>
      </c>
      <c r="G28" s="22">
        <v>0</v>
      </c>
      <c r="H28" s="22">
        <v>0</v>
      </c>
      <c r="I28" s="22">
        <v>5513</v>
      </c>
      <c r="J28" s="22">
        <v>1</v>
      </c>
      <c r="K28" s="5">
        <v>46148</v>
      </c>
      <c r="L28" s="5">
        <v>46130</v>
      </c>
      <c r="M28" s="22">
        <v>0</v>
      </c>
      <c r="N28" s="22">
        <v>98</v>
      </c>
      <c r="O28" s="22">
        <v>0</v>
      </c>
      <c r="P28" s="22" t="s">
        <v>1723</v>
      </c>
      <c r="Q28" s="5">
        <v>46186</v>
      </c>
      <c r="R28" s="4">
        <v>50</v>
      </c>
      <c r="S28" s="62">
        <v>0.77110000000000001</v>
      </c>
      <c r="T28" s="1">
        <f t="shared" si="0"/>
        <v>39</v>
      </c>
      <c r="U28" s="1">
        <f t="shared" si="1"/>
        <v>44.5</v>
      </c>
      <c r="V28" s="1">
        <f t="shared" si="5"/>
        <v>-5.5</v>
      </c>
      <c r="W28" s="1">
        <f t="shared" si="3"/>
        <v>-16.130000000000003</v>
      </c>
      <c r="X28" s="63" t="s">
        <v>61</v>
      </c>
    </row>
    <row r="29" spans="1:24" x14ac:dyDescent="0.3">
      <c r="A29" s="22">
        <v>93958</v>
      </c>
      <c r="B29" s="22" t="s">
        <v>306</v>
      </c>
      <c r="C29" s="22" t="s">
        <v>189</v>
      </c>
      <c r="D29" s="22">
        <v>1606</v>
      </c>
      <c r="E29" s="22" t="s">
        <v>171</v>
      </c>
      <c r="F29" s="22" t="s">
        <v>172</v>
      </c>
      <c r="G29" s="22">
        <v>0</v>
      </c>
      <c r="H29" s="22">
        <v>0</v>
      </c>
      <c r="I29" s="22">
        <v>600</v>
      </c>
      <c r="J29" s="22">
        <v>1</v>
      </c>
      <c r="K29" s="5">
        <v>46127</v>
      </c>
      <c r="L29" s="5">
        <v>0</v>
      </c>
      <c r="M29" s="22">
        <v>0</v>
      </c>
      <c r="N29" s="22">
        <v>84</v>
      </c>
      <c r="O29" s="22">
        <v>0</v>
      </c>
      <c r="P29" s="22" t="s">
        <v>1723</v>
      </c>
      <c r="Q29" s="5">
        <v>46186</v>
      </c>
      <c r="R29" s="4">
        <v>20</v>
      </c>
      <c r="S29" s="62">
        <v>0.77110000000000001</v>
      </c>
      <c r="T29" s="1">
        <f t="shared" si="0"/>
        <v>15</v>
      </c>
      <c r="U29" s="1">
        <f t="shared" si="1"/>
        <v>16.059999999999999</v>
      </c>
      <c r="V29" s="1">
        <f t="shared" si="5"/>
        <v>-1.0599999999999987</v>
      </c>
      <c r="W29" s="1">
        <f t="shared" si="3"/>
        <v>9</v>
      </c>
      <c r="X29" s="63" t="s">
        <v>61</v>
      </c>
    </row>
    <row r="30" spans="1:24" x14ac:dyDescent="0.3">
      <c r="A30" s="22">
        <v>94017</v>
      </c>
      <c r="B30" s="22" t="s">
        <v>247</v>
      </c>
      <c r="C30" s="22" t="s">
        <v>189</v>
      </c>
      <c r="D30" s="22">
        <v>1150</v>
      </c>
      <c r="E30" s="22" t="s">
        <v>171</v>
      </c>
      <c r="F30" s="22" t="s">
        <v>172</v>
      </c>
      <c r="G30" s="22">
        <v>0</v>
      </c>
      <c r="H30" s="22">
        <v>0</v>
      </c>
      <c r="I30" s="22">
        <v>200</v>
      </c>
      <c r="J30" s="22">
        <v>1</v>
      </c>
      <c r="K30" s="5">
        <v>46127</v>
      </c>
      <c r="L30" s="5">
        <v>0</v>
      </c>
      <c r="M30" s="22">
        <v>0</v>
      </c>
      <c r="N30" s="22">
        <v>80</v>
      </c>
      <c r="O30" s="22">
        <v>0</v>
      </c>
      <c r="P30" s="22" t="s">
        <v>1723</v>
      </c>
      <c r="Q30" s="5">
        <v>46186</v>
      </c>
      <c r="R30" s="4">
        <v>21</v>
      </c>
      <c r="S30" s="62">
        <v>0.77110000000000001</v>
      </c>
      <c r="T30" s="1">
        <f t="shared" si="0"/>
        <v>16</v>
      </c>
      <c r="U30" s="1">
        <f t="shared" si="1"/>
        <v>11.5</v>
      </c>
      <c r="V30" s="1">
        <f t="shared" si="5"/>
        <v>4.5</v>
      </c>
      <c r="W30" s="1">
        <f t="shared" si="3"/>
        <v>14</v>
      </c>
      <c r="X30" s="63" t="s">
        <v>61</v>
      </c>
    </row>
    <row r="31" spans="1:24" x14ac:dyDescent="0.3">
      <c r="A31" s="22">
        <v>9778816</v>
      </c>
      <c r="B31" s="22" t="s">
        <v>596</v>
      </c>
      <c r="C31" s="22" t="s">
        <v>585</v>
      </c>
      <c r="D31" s="22">
        <v>4254</v>
      </c>
      <c r="E31" s="22" t="s">
        <v>171</v>
      </c>
      <c r="F31" s="22" t="s">
        <v>172</v>
      </c>
      <c r="G31" s="22">
        <v>0</v>
      </c>
      <c r="H31" s="22" t="s">
        <v>556</v>
      </c>
      <c r="I31" s="22">
        <v>297</v>
      </c>
      <c r="J31" s="22">
        <v>1</v>
      </c>
      <c r="K31" s="5">
        <v>46154</v>
      </c>
      <c r="L31" s="5">
        <v>46150</v>
      </c>
      <c r="M31" s="22">
        <v>0</v>
      </c>
      <c r="N31" s="22">
        <v>83</v>
      </c>
      <c r="O31" s="22">
        <v>0</v>
      </c>
      <c r="P31" s="22" t="s">
        <v>1724</v>
      </c>
      <c r="Q31" s="5">
        <v>46186</v>
      </c>
      <c r="R31" s="4">
        <v>50</v>
      </c>
      <c r="S31" s="62">
        <v>1</v>
      </c>
      <c r="T31" s="1">
        <f t="shared" si="0"/>
        <v>50</v>
      </c>
      <c r="U31" s="1">
        <f t="shared" si="1"/>
        <v>42.54</v>
      </c>
      <c r="V31" s="1">
        <f t="shared" si="5"/>
        <v>7.4600000000000009</v>
      </c>
      <c r="W31" s="1">
        <f t="shared" si="3"/>
        <v>47.03</v>
      </c>
      <c r="X31" s="63" t="s">
        <v>61</v>
      </c>
    </row>
    <row r="32" spans="1:24" x14ac:dyDescent="0.3">
      <c r="A32" s="22">
        <v>12415755</v>
      </c>
      <c r="B32" s="22" t="s">
        <v>639</v>
      </c>
      <c r="C32" s="22" t="s">
        <v>366</v>
      </c>
      <c r="D32" s="22">
        <v>949</v>
      </c>
      <c r="E32" s="22" t="s">
        <v>171</v>
      </c>
      <c r="F32" s="22" t="s">
        <v>172</v>
      </c>
      <c r="G32" s="22">
        <v>0</v>
      </c>
      <c r="H32" s="22" t="s">
        <v>367</v>
      </c>
      <c r="I32" s="22">
        <v>1009</v>
      </c>
      <c r="J32" s="22">
        <v>1</v>
      </c>
      <c r="K32" s="5">
        <v>46149</v>
      </c>
      <c r="L32" s="5">
        <v>46145</v>
      </c>
      <c r="M32" s="22">
        <v>0</v>
      </c>
      <c r="N32" s="22">
        <v>90</v>
      </c>
      <c r="O32" s="22">
        <v>0</v>
      </c>
      <c r="P32" s="22" t="s">
        <v>1724</v>
      </c>
      <c r="Q32" s="5">
        <v>46186</v>
      </c>
      <c r="R32" s="4">
        <v>15</v>
      </c>
      <c r="S32" s="62">
        <v>1</v>
      </c>
      <c r="T32" s="1">
        <f t="shared" si="0"/>
        <v>15</v>
      </c>
      <c r="U32" s="1">
        <f t="shared" si="1"/>
        <v>9.49</v>
      </c>
      <c r="V32" s="1">
        <f t="shared" si="5"/>
        <v>5.51</v>
      </c>
      <c r="W32" s="1">
        <f t="shared" si="3"/>
        <v>4.91</v>
      </c>
      <c r="X32" s="63" t="s">
        <v>61</v>
      </c>
    </row>
    <row r="33" spans="1:24" x14ac:dyDescent="0.3">
      <c r="A33" s="22">
        <v>12613839</v>
      </c>
      <c r="B33" s="22" t="s">
        <v>559</v>
      </c>
      <c r="C33" s="22" t="s">
        <v>560</v>
      </c>
      <c r="D33" s="22">
        <v>370</v>
      </c>
      <c r="E33" s="22" t="s">
        <v>171</v>
      </c>
      <c r="F33" s="22" t="s">
        <v>172</v>
      </c>
      <c r="G33" s="22">
        <v>0</v>
      </c>
      <c r="H33" s="22" t="s">
        <v>561</v>
      </c>
      <c r="I33" s="22">
        <v>331</v>
      </c>
      <c r="J33" s="22">
        <v>1</v>
      </c>
      <c r="K33" s="5">
        <v>46154</v>
      </c>
      <c r="L33" s="5">
        <v>46150</v>
      </c>
      <c r="M33" s="22">
        <v>0</v>
      </c>
      <c r="N33" s="22">
        <v>79</v>
      </c>
      <c r="O33" s="22">
        <v>0</v>
      </c>
      <c r="P33" s="22" t="s">
        <v>1724</v>
      </c>
      <c r="Q33" s="5">
        <v>46186</v>
      </c>
      <c r="R33" s="4">
        <v>5</v>
      </c>
      <c r="S33" s="62">
        <v>1</v>
      </c>
      <c r="T33" s="1">
        <f t="shared" si="0"/>
        <v>5</v>
      </c>
      <c r="U33" s="1">
        <f t="shared" si="1"/>
        <v>3.7</v>
      </c>
      <c r="V33" s="1">
        <f t="shared" si="5"/>
        <v>1.2999999999999998</v>
      </c>
      <c r="W33" s="1">
        <f t="shared" si="3"/>
        <v>1.69</v>
      </c>
      <c r="X33" s="63" t="s">
        <v>61</v>
      </c>
    </row>
    <row r="34" spans="1:24" x14ac:dyDescent="0.3">
      <c r="A34" s="22">
        <v>94023</v>
      </c>
      <c r="B34" s="22" t="s">
        <v>228</v>
      </c>
      <c r="C34" s="22" t="s">
        <v>189</v>
      </c>
      <c r="D34" s="22">
        <v>981</v>
      </c>
      <c r="E34" s="22" t="s">
        <v>171</v>
      </c>
      <c r="F34" s="22" t="s">
        <v>172</v>
      </c>
      <c r="G34" s="22">
        <v>0</v>
      </c>
      <c r="H34" s="22">
        <v>0</v>
      </c>
      <c r="I34" s="22">
        <v>300</v>
      </c>
      <c r="J34" s="22">
        <v>1</v>
      </c>
      <c r="K34" s="5">
        <v>46127</v>
      </c>
      <c r="L34" s="5">
        <v>0</v>
      </c>
      <c r="M34" s="22">
        <v>0</v>
      </c>
      <c r="N34" s="22">
        <v>106</v>
      </c>
      <c r="O34" s="22">
        <v>0</v>
      </c>
      <c r="P34" s="22" t="s">
        <v>1725</v>
      </c>
      <c r="Q34" s="5">
        <v>46186</v>
      </c>
      <c r="R34" s="4">
        <v>12</v>
      </c>
      <c r="S34" s="62">
        <v>1</v>
      </c>
      <c r="T34" s="1">
        <f t="shared" ref="T34:T63" si="6">ROUND(R34*S34,0)</f>
        <v>12</v>
      </c>
      <c r="U34" s="1">
        <f t="shared" ref="U34:U63" si="7">D34/100</f>
        <v>9.81</v>
      </c>
      <c r="V34" s="1">
        <f t="shared" si="5"/>
        <v>2.1899999999999995</v>
      </c>
      <c r="W34" s="1">
        <f t="shared" ref="W34:W63" si="8">T34-I34/100</f>
        <v>9</v>
      </c>
      <c r="X34" s="63" t="s">
        <v>61</v>
      </c>
    </row>
    <row r="35" spans="1:24" x14ac:dyDescent="0.3">
      <c r="A35" s="22">
        <v>145531</v>
      </c>
      <c r="B35" s="22" t="s">
        <v>648</v>
      </c>
      <c r="C35" s="22" t="s">
        <v>649</v>
      </c>
      <c r="D35" s="22">
        <v>520</v>
      </c>
      <c r="E35" s="22" t="s">
        <v>171</v>
      </c>
      <c r="F35" s="22" t="s">
        <v>172</v>
      </c>
      <c r="G35" s="22">
        <v>0</v>
      </c>
      <c r="H35" s="22" t="s">
        <v>650</v>
      </c>
      <c r="I35" s="22">
        <v>0</v>
      </c>
      <c r="J35" s="22">
        <v>1</v>
      </c>
      <c r="K35" s="5">
        <v>46154</v>
      </c>
      <c r="L35" s="5">
        <v>46149</v>
      </c>
      <c r="M35" s="22">
        <v>0</v>
      </c>
      <c r="N35" s="22">
        <v>66</v>
      </c>
      <c r="O35" s="22">
        <v>0</v>
      </c>
      <c r="P35" s="22" t="s">
        <v>1725</v>
      </c>
      <c r="Q35" s="5">
        <v>46186</v>
      </c>
      <c r="R35" s="4">
        <v>12</v>
      </c>
      <c r="S35" s="62">
        <v>1</v>
      </c>
      <c r="T35" s="1">
        <f t="shared" si="6"/>
        <v>12</v>
      </c>
      <c r="U35" s="1">
        <f t="shared" si="7"/>
        <v>5.2</v>
      </c>
      <c r="V35" s="1">
        <f t="shared" si="5"/>
        <v>6.8</v>
      </c>
      <c r="W35" s="1">
        <f t="shared" si="8"/>
        <v>12</v>
      </c>
      <c r="X35" s="63" t="s">
        <v>61</v>
      </c>
    </row>
    <row r="36" spans="1:24" x14ac:dyDescent="0.3">
      <c r="A36" s="22">
        <v>11830197</v>
      </c>
      <c r="B36" s="22" t="s">
        <v>929</v>
      </c>
      <c r="C36" s="22" t="s">
        <v>930</v>
      </c>
      <c r="D36" s="22">
        <v>1099</v>
      </c>
      <c r="E36" s="22" t="s">
        <v>171</v>
      </c>
      <c r="F36" s="22" t="s">
        <v>172</v>
      </c>
      <c r="G36" s="22">
        <v>0</v>
      </c>
      <c r="H36" s="22" t="s">
        <v>1538</v>
      </c>
      <c r="I36" s="22">
        <v>919.99999999999989</v>
      </c>
      <c r="J36" s="22">
        <v>1</v>
      </c>
      <c r="K36" s="5">
        <v>46161</v>
      </c>
      <c r="L36" s="5">
        <v>46157</v>
      </c>
      <c r="M36" s="22">
        <v>0</v>
      </c>
      <c r="N36" s="22">
        <v>67</v>
      </c>
      <c r="O36" s="22">
        <v>0</v>
      </c>
      <c r="P36" s="22" t="s">
        <v>1725</v>
      </c>
      <c r="Q36" s="5">
        <v>46186</v>
      </c>
      <c r="R36" s="4">
        <v>8</v>
      </c>
      <c r="S36" s="62">
        <v>1</v>
      </c>
      <c r="T36" s="1">
        <f t="shared" si="6"/>
        <v>8</v>
      </c>
      <c r="U36" s="1">
        <f t="shared" si="7"/>
        <v>10.99</v>
      </c>
      <c r="V36" s="1">
        <f t="shared" si="5"/>
        <v>-2.99</v>
      </c>
      <c r="W36" s="1">
        <f t="shared" si="8"/>
        <v>-1.1999999999999993</v>
      </c>
      <c r="X36" s="63" t="s">
        <v>61</v>
      </c>
    </row>
    <row r="37" spans="1:24" x14ac:dyDescent="0.3">
      <c r="A37" s="22">
        <v>11830197</v>
      </c>
      <c r="B37" s="22" t="s">
        <v>929</v>
      </c>
      <c r="C37" s="22" t="s">
        <v>930</v>
      </c>
      <c r="D37" s="22">
        <v>1099</v>
      </c>
      <c r="E37" s="22" t="s">
        <v>171</v>
      </c>
      <c r="F37" s="22" t="s">
        <v>172</v>
      </c>
      <c r="G37" s="22">
        <v>0</v>
      </c>
      <c r="H37" s="22" t="s">
        <v>1543</v>
      </c>
      <c r="I37" s="22">
        <v>968</v>
      </c>
      <c r="J37" s="22">
        <v>1</v>
      </c>
      <c r="K37" s="5">
        <v>46183</v>
      </c>
      <c r="L37" s="5">
        <v>46160</v>
      </c>
      <c r="M37" s="22">
        <v>0</v>
      </c>
      <c r="N37" s="22">
        <v>68</v>
      </c>
      <c r="O37" s="22">
        <v>0</v>
      </c>
      <c r="P37" s="22" t="s">
        <v>1725</v>
      </c>
      <c r="Q37" s="5">
        <v>46186</v>
      </c>
      <c r="R37" s="4">
        <v>8</v>
      </c>
      <c r="S37" s="62">
        <v>1</v>
      </c>
      <c r="T37" s="1">
        <f t="shared" si="6"/>
        <v>8</v>
      </c>
      <c r="U37" s="1">
        <f t="shared" si="7"/>
        <v>10.99</v>
      </c>
      <c r="V37" s="1">
        <f t="shared" si="5"/>
        <v>-2.99</v>
      </c>
      <c r="W37" s="1">
        <f t="shared" si="8"/>
        <v>-1.6799999999999997</v>
      </c>
      <c r="X37" s="63" t="s">
        <v>61</v>
      </c>
    </row>
    <row r="38" spans="1:24" x14ac:dyDescent="0.3">
      <c r="A38" s="22">
        <v>87406</v>
      </c>
      <c r="B38" s="22" t="s">
        <v>352</v>
      </c>
      <c r="C38" s="22" t="s">
        <v>174</v>
      </c>
      <c r="D38" s="22">
        <v>332</v>
      </c>
      <c r="E38" s="22" t="s">
        <v>171</v>
      </c>
      <c r="F38" s="22" t="s">
        <v>172</v>
      </c>
      <c r="G38" s="22">
        <v>0</v>
      </c>
      <c r="H38" s="22">
        <v>0</v>
      </c>
      <c r="I38" s="22">
        <v>300</v>
      </c>
      <c r="J38" s="22">
        <v>1</v>
      </c>
      <c r="K38" s="5">
        <v>46183</v>
      </c>
      <c r="L38" s="5">
        <v>0</v>
      </c>
      <c r="M38" s="22">
        <v>0</v>
      </c>
      <c r="N38" s="22">
        <v>60</v>
      </c>
      <c r="O38" s="22">
        <v>0</v>
      </c>
      <c r="P38" s="22" t="s">
        <v>1725</v>
      </c>
      <c r="Q38" s="5">
        <v>46186</v>
      </c>
      <c r="R38" s="4">
        <v>4</v>
      </c>
      <c r="S38" s="62">
        <v>1</v>
      </c>
      <c r="T38" s="1">
        <f t="shared" si="6"/>
        <v>4</v>
      </c>
      <c r="U38" s="1">
        <f t="shared" si="7"/>
        <v>3.32</v>
      </c>
      <c r="V38" s="1">
        <f t="shared" si="5"/>
        <v>0.68000000000000016</v>
      </c>
      <c r="W38" s="1">
        <f t="shared" si="8"/>
        <v>1</v>
      </c>
      <c r="X38" s="63" t="s">
        <v>61</v>
      </c>
    </row>
    <row r="39" spans="1:24" x14ac:dyDescent="0.3">
      <c r="A39" s="22">
        <v>87406</v>
      </c>
      <c r="B39" s="22" t="s">
        <v>352</v>
      </c>
      <c r="C39" s="22" t="s">
        <v>174</v>
      </c>
      <c r="D39" s="22">
        <v>332</v>
      </c>
      <c r="E39" s="22" t="s">
        <v>171</v>
      </c>
      <c r="F39" s="22" t="s">
        <v>172</v>
      </c>
      <c r="G39" s="22">
        <v>0</v>
      </c>
      <c r="H39" s="22">
        <v>0</v>
      </c>
      <c r="I39" s="22">
        <v>300</v>
      </c>
      <c r="J39" s="22">
        <v>1</v>
      </c>
      <c r="K39" s="5">
        <v>46127</v>
      </c>
      <c r="L39" s="5">
        <v>0</v>
      </c>
      <c r="M39" s="22">
        <v>0</v>
      </c>
      <c r="N39" s="22">
        <v>63</v>
      </c>
      <c r="O39" s="22">
        <v>0</v>
      </c>
      <c r="P39" s="22" t="s">
        <v>1725</v>
      </c>
      <c r="Q39" s="5">
        <v>46186</v>
      </c>
      <c r="R39" s="4">
        <v>4</v>
      </c>
      <c r="S39" s="62">
        <v>1</v>
      </c>
      <c r="T39" s="1">
        <f t="shared" si="6"/>
        <v>4</v>
      </c>
      <c r="U39" s="1">
        <f t="shared" si="7"/>
        <v>3.32</v>
      </c>
      <c r="V39" s="1">
        <f t="shared" si="5"/>
        <v>0.68000000000000016</v>
      </c>
      <c r="W39" s="1">
        <f t="shared" si="8"/>
        <v>1</v>
      </c>
      <c r="X39" s="63" t="s">
        <v>61</v>
      </c>
    </row>
    <row r="40" spans="1:24" x14ac:dyDescent="0.3">
      <c r="A40" s="22">
        <v>87406</v>
      </c>
      <c r="B40" s="22" t="s">
        <v>352</v>
      </c>
      <c r="C40" s="22" t="s">
        <v>174</v>
      </c>
      <c r="D40" s="22">
        <v>332</v>
      </c>
      <c r="E40" s="22" t="s">
        <v>171</v>
      </c>
      <c r="F40" s="22" t="s">
        <v>172</v>
      </c>
      <c r="G40" s="22">
        <v>0</v>
      </c>
      <c r="H40" s="22">
        <v>0</v>
      </c>
      <c r="I40" s="22">
        <v>300</v>
      </c>
      <c r="J40" s="22">
        <v>1</v>
      </c>
      <c r="K40" s="5">
        <v>46183</v>
      </c>
      <c r="L40" s="5">
        <v>0</v>
      </c>
      <c r="M40" s="22">
        <v>0</v>
      </c>
      <c r="N40" s="22">
        <v>77</v>
      </c>
      <c r="O40" s="22">
        <v>0</v>
      </c>
      <c r="P40" s="22" t="s">
        <v>1725</v>
      </c>
      <c r="Q40" s="5">
        <v>46186</v>
      </c>
      <c r="R40" s="4">
        <v>4</v>
      </c>
      <c r="S40" s="62">
        <v>1</v>
      </c>
      <c r="T40" s="1">
        <f t="shared" si="6"/>
        <v>4</v>
      </c>
      <c r="U40" s="1">
        <f t="shared" si="7"/>
        <v>3.32</v>
      </c>
      <c r="V40" s="1">
        <f t="shared" si="5"/>
        <v>0.68000000000000016</v>
      </c>
      <c r="W40" s="1">
        <f t="shared" si="8"/>
        <v>1</v>
      </c>
      <c r="X40" s="63" t="s">
        <v>61</v>
      </c>
    </row>
    <row r="41" spans="1:24" x14ac:dyDescent="0.3">
      <c r="A41" s="22">
        <v>10826665</v>
      </c>
      <c r="B41" s="22" t="s">
        <v>465</v>
      </c>
      <c r="C41" s="22" t="s">
        <v>307</v>
      </c>
      <c r="D41" s="22">
        <v>325</v>
      </c>
      <c r="E41" s="22" t="s">
        <v>171</v>
      </c>
      <c r="F41" s="22" t="s">
        <v>172</v>
      </c>
      <c r="G41" s="22">
        <v>0</v>
      </c>
      <c r="H41" s="22" t="s">
        <v>308</v>
      </c>
      <c r="I41" s="22">
        <v>455.99999999999994</v>
      </c>
      <c r="J41" s="22">
        <v>1</v>
      </c>
      <c r="K41" s="5">
        <v>46152</v>
      </c>
      <c r="L41" s="5">
        <v>46145</v>
      </c>
      <c r="M41" s="22">
        <v>0</v>
      </c>
      <c r="N41" s="22">
        <v>55</v>
      </c>
      <c r="O41" s="22">
        <v>0</v>
      </c>
      <c r="P41" s="22" t="s">
        <v>1725</v>
      </c>
      <c r="Q41" s="5">
        <v>46186</v>
      </c>
      <c r="R41" s="4">
        <v>2</v>
      </c>
      <c r="S41" s="62">
        <v>1</v>
      </c>
      <c r="T41" s="1">
        <f t="shared" si="6"/>
        <v>2</v>
      </c>
      <c r="U41" s="1">
        <f t="shared" si="7"/>
        <v>3.25</v>
      </c>
      <c r="V41" s="1">
        <f t="shared" si="5"/>
        <v>-1.25</v>
      </c>
      <c r="W41" s="1">
        <f t="shared" si="8"/>
        <v>-2.5599999999999996</v>
      </c>
      <c r="X41" s="63" t="s">
        <v>61</v>
      </c>
    </row>
    <row r="42" spans="1:24" x14ac:dyDescent="0.3">
      <c r="A42" s="22">
        <v>93981</v>
      </c>
      <c r="B42" s="22" t="s">
        <v>223</v>
      </c>
      <c r="C42" s="22" t="s">
        <v>189</v>
      </c>
      <c r="D42" s="22">
        <v>1129</v>
      </c>
      <c r="E42" s="22" t="s">
        <v>171</v>
      </c>
      <c r="F42" s="22" t="s">
        <v>172</v>
      </c>
      <c r="G42" s="22">
        <v>0</v>
      </c>
      <c r="H42" s="22">
        <v>0</v>
      </c>
      <c r="I42" s="22">
        <v>300</v>
      </c>
      <c r="J42" s="22">
        <v>1</v>
      </c>
      <c r="K42" s="5">
        <v>46129</v>
      </c>
      <c r="L42" s="5">
        <v>0</v>
      </c>
      <c r="M42" s="22">
        <v>0</v>
      </c>
      <c r="N42" s="22">
        <v>54</v>
      </c>
      <c r="O42" s="22">
        <v>0</v>
      </c>
      <c r="P42" s="22" t="s">
        <v>1725</v>
      </c>
      <c r="Q42" s="5">
        <v>46186</v>
      </c>
      <c r="R42" s="4">
        <v>5</v>
      </c>
      <c r="S42" s="62">
        <v>1</v>
      </c>
      <c r="T42" s="1">
        <f t="shared" si="6"/>
        <v>5</v>
      </c>
      <c r="U42" s="1">
        <f t="shared" si="7"/>
        <v>11.29</v>
      </c>
      <c r="V42" s="1">
        <f t="shared" si="5"/>
        <v>-6.2899999999999991</v>
      </c>
      <c r="W42" s="1">
        <f t="shared" si="8"/>
        <v>2</v>
      </c>
      <c r="X42" s="63" t="s">
        <v>61</v>
      </c>
    </row>
    <row r="43" spans="1:24" x14ac:dyDescent="0.3">
      <c r="A43" s="22">
        <v>93989</v>
      </c>
      <c r="B43" s="22" t="s">
        <v>196</v>
      </c>
      <c r="C43" s="22" t="s">
        <v>189</v>
      </c>
      <c r="D43" s="22">
        <v>797</v>
      </c>
      <c r="E43" s="22" t="s">
        <v>171</v>
      </c>
      <c r="F43" s="22" t="s">
        <v>172</v>
      </c>
      <c r="G43" s="22">
        <v>0</v>
      </c>
      <c r="H43" s="22">
        <v>0</v>
      </c>
      <c r="I43" s="22">
        <v>300</v>
      </c>
      <c r="J43" s="22">
        <v>1</v>
      </c>
      <c r="K43" s="5">
        <v>46129</v>
      </c>
      <c r="L43" s="5">
        <v>0</v>
      </c>
      <c r="M43" s="22">
        <v>0</v>
      </c>
      <c r="N43" s="22">
        <v>53</v>
      </c>
      <c r="O43" s="22">
        <v>0</v>
      </c>
      <c r="P43" s="22" t="s">
        <v>1725</v>
      </c>
      <c r="Q43" s="5">
        <v>46186</v>
      </c>
      <c r="R43" s="4">
        <v>5</v>
      </c>
      <c r="S43" s="62">
        <v>1</v>
      </c>
      <c r="T43" s="1">
        <f t="shared" si="6"/>
        <v>5</v>
      </c>
      <c r="U43" s="1">
        <f t="shared" si="7"/>
        <v>7.97</v>
      </c>
      <c r="V43" s="1">
        <f t="shared" si="5"/>
        <v>-2.9699999999999998</v>
      </c>
      <c r="W43" s="1">
        <f t="shared" si="8"/>
        <v>2</v>
      </c>
      <c r="X43" s="63" t="s">
        <v>61</v>
      </c>
    </row>
    <row r="44" spans="1:24" x14ac:dyDescent="0.3">
      <c r="A44" s="22">
        <v>93985</v>
      </c>
      <c r="B44" s="22" t="s">
        <v>434</v>
      </c>
      <c r="C44" s="22" t="s">
        <v>189</v>
      </c>
      <c r="D44" s="22">
        <v>743</v>
      </c>
      <c r="E44" s="22" t="s">
        <v>171</v>
      </c>
      <c r="F44" s="22" t="s">
        <v>172</v>
      </c>
      <c r="G44" s="22">
        <v>0</v>
      </c>
      <c r="H44" s="22">
        <v>0</v>
      </c>
      <c r="I44" s="22">
        <v>300</v>
      </c>
      <c r="J44" s="22">
        <v>1</v>
      </c>
      <c r="K44" s="5">
        <v>46129</v>
      </c>
      <c r="L44" s="5">
        <v>0</v>
      </c>
      <c r="M44" s="22">
        <v>0</v>
      </c>
      <c r="N44" s="22">
        <v>74</v>
      </c>
      <c r="O44" s="22">
        <v>0</v>
      </c>
      <c r="P44" s="22" t="s">
        <v>1725</v>
      </c>
      <c r="Q44" s="5">
        <v>46186</v>
      </c>
      <c r="R44" s="4">
        <v>5</v>
      </c>
      <c r="S44" s="62">
        <v>1</v>
      </c>
      <c r="T44" s="1">
        <f t="shared" si="6"/>
        <v>5</v>
      </c>
      <c r="U44" s="1">
        <f t="shared" si="7"/>
        <v>7.43</v>
      </c>
      <c r="V44" s="1">
        <f t="shared" si="5"/>
        <v>-2.4299999999999997</v>
      </c>
      <c r="W44" s="1">
        <f t="shared" si="8"/>
        <v>2</v>
      </c>
      <c r="X44" s="63" t="s">
        <v>61</v>
      </c>
    </row>
    <row r="45" spans="1:24" x14ac:dyDescent="0.3">
      <c r="A45" s="22">
        <v>93964</v>
      </c>
      <c r="B45" s="22" t="s">
        <v>452</v>
      </c>
      <c r="C45" s="22" t="s">
        <v>189</v>
      </c>
      <c r="D45" s="22">
        <v>650</v>
      </c>
      <c r="E45" s="22" t="s">
        <v>171</v>
      </c>
      <c r="F45" s="22" t="s">
        <v>172</v>
      </c>
      <c r="G45" s="22">
        <v>0</v>
      </c>
      <c r="H45" s="22">
        <v>0</v>
      </c>
      <c r="I45" s="22">
        <v>300</v>
      </c>
      <c r="J45" s="22">
        <v>1</v>
      </c>
      <c r="K45" s="5">
        <v>46129</v>
      </c>
      <c r="L45" s="5">
        <v>46128</v>
      </c>
      <c r="M45" s="22">
        <v>0</v>
      </c>
      <c r="N45" s="22">
        <v>78</v>
      </c>
      <c r="O45" s="22">
        <v>0</v>
      </c>
      <c r="P45" s="22" t="s">
        <v>1725</v>
      </c>
      <c r="Q45" s="5">
        <v>46186</v>
      </c>
      <c r="R45" s="4">
        <v>5</v>
      </c>
      <c r="S45" s="62">
        <v>1</v>
      </c>
      <c r="T45" s="1">
        <f t="shared" si="6"/>
        <v>5</v>
      </c>
      <c r="U45" s="1">
        <f t="shared" si="7"/>
        <v>6.5</v>
      </c>
      <c r="V45" s="1">
        <f t="shared" si="5"/>
        <v>-1.5</v>
      </c>
      <c r="W45" s="1">
        <f t="shared" si="8"/>
        <v>2</v>
      </c>
      <c r="X45" s="63" t="s">
        <v>61</v>
      </c>
    </row>
    <row r="46" spans="1:24" x14ac:dyDescent="0.3">
      <c r="A46" s="22">
        <v>93952</v>
      </c>
      <c r="B46" s="22" t="s">
        <v>397</v>
      </c>
      <c r="C46" s="22" t="s">
        <v>189</v>
      </c>
      <c r="D46" s="22">
        <v>634</v>
      </c>
      <c r="E46" s="22" t="s">
        <v>171</v>
      </c>
      <c r="F46" s="22" t="s">
        <v>172</v>
      </c>
      <c r="G46" s="22">
        <v>0</v>
      </c>
      <c r="H46" s="22">
        <v>0</v>
      </c>
      <c r="I46" s="22">
        <v>300</v>
      </c>
      <c r="J46" s="22">
        <v>1</v>
      </c>
      <c r="K46" s="5">
        <v>46129</v>
      </c>
      <c r="L46" s="5">
        <v>0</v>
      </c>
      <c r="M46" s="22">
        <v>0</v>
      </c>
      <c r="N46" s="22">
        <v>70</v>
      </c>
      <c r="O46" s="22">
        <v>0</v>
      </c>
      <c r="P46" s="22" t="s">
        <v>1725</v>
      </c>
      <c r="Q46" s="5">
        <v>46186</v>
      </c>
      <c r="R46" s="4">
        <v>5</v>
      </c>
      <c r="S46" s="62">
        <v>1</v>
      </c>
      <c r="T46" s="1">
        <f t="shared" si="6"/>
        <v>5</v>
      </c>
      <c r="U46" s="1">
        <f t="shared" si="7"/>
        <v>6.34</v>
      </c>
      <c r="V46" s="1">
        <f t="shared" si="5"/>
        <v>-1.3399999999999999</v>
      </c>
      <c r="W46" s="1">
        <f t="shared" si="8"/>
        <v>2</v>
      </c>
      <c r="X46" s="63" t="s">
        <v>61</v>
      </c>
    </row>
    <row r="47" spans="1:24" x14ac:dyDescent="0.3">
      <c r="A47" s="22">
        <v>93968</v>
      </c>
      <c r="B47" s="22" t="s">
        <v>358</v>
      </c>
      <c r="C47" s="22" t="s">
        <v>189</v>
      </c>
      <c r="D47" s="22">
        <v>600</v>
      </c>
      <c r="E47" s="22" t="s">
        <v>171</v>
      </c>
      <c r="F47" s="22" t="s">
        <v>172</v>
      </c>
      <c r="G47" s="22">
        <v>0</v>
      </c>
      <c r="H47" s="22">
        <v>0</v>
      </c>
      <c r="I47" s="22">
        <v>300</v>
      </c>
      <c r="J47" s="22">
        <v>1</v>
      </c>
      <c r="K47" s="5">
        <v>46129</v>
      </c>
      <c r="L47" s="5">
        <v>46128</v>
      </c>
      <c r="M47" s="22">
        <v>0</v>
      </c>
      <c r="N47" s="22">
        <v>65</v>
      </c>
      <c r="O47" s="22">
        <v>0</v>
      </c>
      <c r="P47" s="22" t="s">
        <v>1725</v>
      </c>
      <c r="Q47" s="5">
        <v>46186</v>
      </c>
      <c r="R47" s="4">
        <v>5</v>
      </c>
      <c r="S47" s="62">
        <v>1</v>
      </c>
      <c r="T47" s="1">
        <f t="shared" si="6"/>
        <v>5</v>
      </c>
      <c r="U47" s="1">
        <f t="shared" si="7"/>
        <v>6</v>
      </c>
      <c r="V47" s="1">
        <f t="shared" si="5"/>
        <v>-1</v>
      </c>
      <c r="W47" s="1">
        <f t="shared" si="8"/>
        <v>2</v>
      </c>
      <c r="X47" s="63" t="s">
        <v>61</v>
      </c>
    </row>
    <row r="48" spans="1:24" x14ac:dyDescent="0.3">
      <c r="A48" s="22">
        <v>93972</v>
      </c>
      <c r="B48" s="22" t="s">
        <v>393</v>
      </c>
      <c r="C48" s="22" t="s">
        <v>189</v>
      </c>
      <c r="D48" s="22">
        <v>568</v>
      </c>
      <c r="E48" s="22" t="s">
        <v>171</v>
      </c>
      <c r="F48" s="22" t="s">
        <v>172</v>
      </c>
      <c r="G48" s="22">
        <v>0</v>
      </c>
      <c r="H48" s="22">
        <v>0</v>
      </c>
      <c r="I48" s="22">
        <v>300</v>
      </c>
      <c r="J48" s="22">
        <v>1</v>
      </c>
      <c r="K48" s="5">
        <v>46129</v>
      </c>
      <c r="L48" s="5">
        <v>0</v>
      </c>
      <c r="M48" s="22">
        <v>0</v>
      </c>
      <c r="N48" s="22">
        <v>69</v>
      </c>
      <c r="O48" s="22">
        <v>0</v>
      </c>
      <c r="P48" s="22" t="s">
        <v>1725</v>
      </c>
      <c r="Q48" s="5">
        <v>46186</v>
      </c>
      <c r="R48" s="4">
        <v>5</v>
      </c>
      <c r="S48" s="62">
        <v>1</v>
      </c>
      <c r="T48" s="1">
        <f t="shared" si="6"/>
        <v>5</v>
      </c>
      <c r="U48" s="1">
        <f t="shared" si="7"/>
        <v>5.68</v>
      </c>
      <c r="V48" s="1">
        <f t="shared" si="5"/>
        <v>-0.67999999999999972</v>
      </c>
      <c r="W48" s="1">
        <f t="shared" si="8"/>
        <v>2</v>
      </c>
      <c r="X48" s="63" t="s">
        <v>61</v>
      </c>
    </row>
    <row r="49" spans="1:24" x14ac:dyDescent="0.3">
      <c r="A49" s="22">
        <v>5134024</v>
      </c>
      <c r="B49" s="22" t="s">
        <v>309</v>
      </c>
      <c r="C49" s="22" t="s">
        <v>189</v>
      </c>
      <c r="D49" s="22">
        <v>550</v>
      </c>
      <c r="E49" s="22" t="s">
        <v>171</v>
      </c>
      <c r="F49" s="22" t="s">
        <v>172</v>
      </c>
      <c r="G49" s="22">
        <v>0</v>
      </c>
      <c r="H49" s="22">
        <v>0</v>
      </c>
      <c r="I49" s="22">
        <v>300</v>
      </c>
      <c r="J49" s="22">
        <v>1</v>
      </c>
      <c r="K49" s="5">
        <v>46129</v>
      </c>
      <c r="L49" s="5">
        <v>0</v>
      </c>
      <c r="M49" s="22">
        <v>0</v>
      </c>
      <c r="N49" s="22">
        <v>61</v>
      </c>
      <c r="O49" s="22">
        <v>0</v>
      </c>
      <c r="P49" s="22" t="s">
        <v>1725</v>
      </c>
      <c r="Q49" s="5">
        <v>46186</v>
      </c>
      <c r="R49" s="4">
        <v>5</v>
      </c>
      <c r="S49" s="62">
        <v>1</v>
      </c>
      <c r="T49" s="1">
        <f t="shared" si="6"/>
        <v>5</v>
      </c>
      <c r="U49" s="1">
        <f t="shared" si="7"/>
        <v>5.5</v>
      </c>
      <c r="V49" s="1">
        <f t="shared" si="5"/>
        <v>-0.5</v>
      </c>
      <c r="W49" s="1">
        <f t="shared" si="8"/>
        <v>2</v>
      </c>
      <c r="X49" s="63" t="s">
        <v>61</v>
      </c>
    </row>
    <row r="50" spans="1:24" x14ac:dyDescent="0.3">
      <c r="A50" s="22">
        <v>93956</v>
      </c>
      <c r="B50" s="22" t="s">
        <v>272</v>
      </c>
      <c r="C50" s="22" t="s">
        <v>189</v>
      </c>
      <c r="D50" s="22">
        <v>548</v>
      </c>
      <c r="E50" s="22" t="s">
        <v>171</v>
      </c>
      <c r="F50" s="22" t="s">
        <v>172</v>
      </c>
      <c r="G50" s="22">
        <v>0</v>
      </c>
      <c r="H50" s="22">
        <v>0</v>
      </c>
      <c r="I50" s="22">
        <v>300</v>
      </c>
      <c r="J50" s="22">
        <v>1</v>
      </c>
      <c r="K50" s="5">
        <v>46129</v>
      </c>
      <c r="L50" s="5">
        <v>46128</v>
      </c>
      <c r="M50" s="22">
        <v>0</v>
      </c>
      <c r="N50" s="22">
        <v>57</v>
      </c>
      <c r="O50" s="22">
        <v>0</v>
      </c>
      <c r="P50" s="22" t="s">
        <v>1725</v>
      </c>
      <c r="Q50" s="5">
        <v>46186</v>
      </c>
      <c r="R50" s="4">
        <v>5</v>
      </c>
      <c r="S50" s="62">
        <v>1</v>
      </c>
      <c r="T50" s="1">
        <f t="shared" si="6"/>
        <v>5</v>
      </c>
      <c r="U50" s="1">
        <f t="shared" si="7"/>
        <v>5.48</v>
      </c>
      <c r="V50" s="1">
        <f t="shared" si="5"/>
        <v>-0.48000000000000043</v>
      </c>
      <c r="W50" s="1">
        <f t="shared" si="8"/>
        <v>2</v>
      </c>
      <c r="X50" s="63" t="s">
        <v>61</v>
      </c>
    </row>
    <row r="51" spans="1:24" x14ac:dyDescent="0.3">
      <c r="A51" s="22">
        <v>93960</v>
      </c>
      <c r="B51" s="22" t="s">
        <v>286</v>
      </c>
      <c r="C51" s="22" t="s">
        <v>189</v>
      </c>
      <c r="D51" s="22">
        <v>520</v>
      </c>
      <c r="E51" s="22" t="s">
        <v>171</v>
      </c>
      <c r="F51" s="22" t="s">
        <v>172</v>
      </c>
      <c r="G51" s="22">
        <v>0</v>
      </c>
      <c r="H51" s="22">
        <v>0</v>
      </c>
      <c r="I51" s="22">
        <v>300</v>
      </c>
      <c r="J51" s="22">
        <v>1</v>
      </c>
      <c r="K51" s="5">
        <v>46129</v>
      </c>
      <c r="L51" s="5">
        <v>46128</v>
      </c>
      <c r="M51" s="22">
        <v>0</v>
      </c>
      <c r="N51" s="22">
        <v>59</v>
      </c>
      <c r="O51" s="22">
        <v>0</v>
      </c>
      <c r="P51" s="22" t="s">
        <v>1725</v>
      </c>
      <c r="Q51" s="5">
        <v>46186</v>
      </c>
      <c r="R51" s="4">
        <v>5</v>
      </c>
      <c r="S51" s="62">
        <v>1</v>
      </c>
      <c r="T51" s="1">
        <f t="shared" si="6"/>
        <v>5</v>
      </c>
      <c r="U51" s="1">
        <f t="shared" si="7"/>
        <v>5.2</v>
      </c>
      <c r="V51" s="1">
        <f t="shared" si="5"/>
        <v>-0.20000000000000018</v>
      </c>
      <c r="W51" s="1">
        <f t="shared" si="8"/>
        <v>2</v>
      </c>
      <c r="X51" s="63" t="s">
        <v>61</v>
      </c>
    </row>
    <row r="52" spans="1:24" x14ac:dyDescent="0.3">
      <c r="A52" s="22">
        <v>93948</v>
      </c>
      <c r="B52" s="22" t="s">
        <v>436</v>
      </c>
      <c r="C52" s="22" t="s">
        <v>189</v>
      </c>
      <c r="D52" s="22">
        <v>500</v>
      </c>
      <c r="E52" s="22" t="s">
        <v>171</v>
      </c>
      <c r="F52" s="22" t="s">
        <v>172</v>
      </c>
      <c r="G52" s="22">
        <v>0</v>
      </c>
      <c r="H52" s="22">
        <v>0</v>
      </c>
      <c r="I52" s="22">
        <v>300</v>
      </c>
      <c r="J52" s="22">
        <v>1</v>
      </c>
      <c r="K52" s="5">
        <v>46183</v>
      </c>
      <c r="L52" s="5">
        <v>0</v>
      </c>
      <c r="M52" s="22">
        <v>0</v>
      </c>
      <c r="N52" s="22">
        <v>71</v>
      </c>
      <c r="O52" s="22">
        <v>0</v>
      </c>
      <c r="P52" s="22" t="s">
        <v>1725</v>
      </c>
      <c r="Q52" s="5">
        <v>46186</v>
      </c>
      <c r="R52" s="4">
        <v>5</v>
      </c>
      <c r="S52" s="62">
        <v>1</v>
      </c>
      <c r="T52" s="1">
        <f t="shared" si="6"/>
        <v>5</v>
      </c>
      <c r="U52" s="1">
        <f t="shared" si="7"/>
        <v>5</v>
      </c>
      <c r="V52" s="1">
        <f t="shared" si="5"/>
        <v>0</v>
      </c>
      <c r="W52" s="1">
        <f t="shared" si="8"/>
        <v>2</v>
      </c>
      <c r="X52" s="63" t="s">
        <v>61</v>
      </c>
    </row>
    <row r="53" spans="1:24" x14ac:dyDescent="0.3">
      <c r="A53" s="22">
        <v>93948</v>
      </c>
      <c r="B53" s="22" t="s">
        <v>436</v>
      </c>
      <c r="C53" s="22" t="s">
        <v>189</v>
      </c>
      <c r="D53" s="22">
        <v>500</v>
      </c>
      <c r="E53" s="22" t="s">
        <v>171</v>
      </c>
      <c r="F53" s="22" t="s">
        <v>172</v>
      </c>
      <c r="G53" s="22">
        <v>0</v>
      </c>
      <c r="H53" s="22">
        <v>0</v>
      </c>
      <c r="I53" s="22">
        <v>300</v>
      </c>
      <c r="J53" s="22">
        <v>1</v>
      </c>
      <c r="K53" s="5">
        <v>46129</v>
      </c>
      <c r="L53" s="5">
        <v>0</v>
      </c>
      <c r="M53" s="22">
        <v>0</v>
      </c>
      <c r="N53" s="22">
        <v>75</v>
      </c>
      <c r="O53" s="22">
        <v>0</v>
      </c>
      <c r="P53" s="22" t="s">
        <v>1725</v>
      </c>
      <c r="Q53" s="5">
        <v>46186</v>
      </c>
      <c r="R53" s="4">
        <v>5</v>
      </c>
      <c r="S53" s="62">
        <v>1</v>
      </c>
      <c r="T53" s="1">
        <f t="shared" si="6"/>
        <v>5</v>
      </c>
      <c r="U53" s="1">
        <f t="shared" si="7"/>
        <v>5</v>
      </c>
      <c r="V53" s="1">
        <f t="shared" si="5"/>
        <v>0</v>
      </c>
      <c r="W53" s="1">
        <f t="shared" si="8"/>
        <v>2</v>
      </c>
      <c r="X53" s="63" t="s">
        <v>61</v>
      </c>
    </row>
    <row r="54" spans="1:24" x14ac:dyDescent="0.3">
      <c r="A54" s="22">
        <v>5885939</v>
      </c>
      <c r="B54" s="22" t="s">
        <v>356</v>
      </c>
      <c r="C54" s="22" t="s">
        <v>357</v>
      </c>
      <c r="D54" s="22">
        <v>214</v>
      </c>
      <c r="E54" s="22" t="s">
        <v>171</v>
      </c>
      <c r="F54" s="22" t="s">
        <v>172</v>
      </c>
      <c r="G54" s="22">
        <v>0</v>
      </c>
      <c r="H54" s="22">
        <v>0</v>
      </c>
      <c r="I54" s="22">
        <v>250</v>
      </c>
      <c r="J54" s="22">
        <v>1</v>
      </c>
      <c r="K54" s="5">
        <v>46127</v>
      </c>
      <c r="L54" s="5">
        <v>0</v>
      </c>
      <c r="M54" s="22">
        <v>0</v>
      </c>
      <c r="N54" s="22">
        <v>64</v>
      </c>
      <c r="O54" s="22">
        <v>0</v>
      </c>
      <c r="P54" s="22" t="s">
        <v>1725</v>
      </c>
      <c r="Q54" s="5">
        <v>46186</v>
      </c>
      <c r="R54" s="4">
        <v>5</v>
      </c>
      <c r="S54" s="62">
        <v>1</v>
      </c>
      <c r="T54" s="1">
        <f t="shared" si="6"/>
        <v>5</v>
      </c>
      <c r="U54" s="1">
        <f t="shared" si="7"/>
        <v>2.14</v>
      </c>
      <c r="V54" s="1">
        <f t="shared" si="5"/>
        <v>2.86</v>
      </c>
      <c r="W54" s="1">
        <f t="shared" si="8"/>
        <v>2.5</v>
      </c>
      <c r="X54" s="63" t="s">
        <v>61</v>
      </c>
    </row>
    <row r="55" spans="1:24" x14ac:dyDescent="0.3">
      <c r="A55" s="22">
        <v>2263350</v>
      </c>
      <c r="B55" s="22" t="s">
        <v>335</v>
      </c>
      <c r="C55" s="22" t="s">
        <v>184</v>
      </c>
      <c r="D55" s="22">
        <v>300</v>
      </c>
      <c r="E55" s="22" t="s">
        <v>171</v>
      </c>
      <c r="F55" s="22" t="s">
        <v>172</v>
      </c>
      <c r="G55" s="22">
        <v>0</v>
      </c>
      <c r="H55" s="22">
        <v>0</v>
      </c>
      <c r="I55" s="22">
        <v>600</v>
      </c>
      <c r="J55" s="22">
        <v>1</v>
      </c>
      <c r="K55" s="5">
        <v>46127</v>
      </c>
      <c r="L55" s="5">
        <v>0</v>
      </c>
      <c r="M55" s="22">
        <v>0</v>
      </c>
      <c r="N55" s="22">
        <v>62</v>
      </c>
      <c r="O55" s="22">
        <v>0</v>
      </c>
      <c r="P55" s="22" t="s">
        <v>1725</v>
      </c>
      <c r="Q55" s="5">
        <v>46186</v>
      </c>
      <c r="R55" s="4">
        <v>12</v>
      </c>
      <c r="S55" s="62">
        <v>1</v>
      </c>
      <c r="T55" s="1">
        <f t="shared" si="6"/>
        <v>12</v>
      </c>
      <c r="U55" s="1">
        <f t="shared" si="7"/>
        <v>3</v>
      </c>
      <c r="V55" s="1">
        <f t="shared" si="5"/>
        <v>9</v>
      </c>
      <c r="W55" s="1">
        <f t="shared" si="8"/>
        <v>6</v>
      </c>
      <c r="X55" s="63" t="s">
        <v>61</v>
      </c>
    </row>
    <row r="56" spans="1:24" x14ac:dyDescent="0.3">
      <c r="A56" s="22">
        <v>87401</v>
      </c>
      <c r="B56" s="22" t="s">
        <v>1229</v>
      </c>
      <c r="C56" s="22" t="s">
        <v>174</v>
      </c>
      <c r="D56" s="22">
        <v>399</v>
      </c>
      <c r="E56" s="22" t="s">
        <v>171</v>
      </c>
      <c r="F56" s="22" t="s">
        <v>172</v>
      </c>
      <c r="G56" s="22">
        <v>0</v>
      </c>
      <c r="H56" s="22">
        <v>0</v>
      </c>
      <c r="I56" s="22">
        <v>250</v>
      </c>
      <c r="J56" s="22">
        <v>1</v>
      </c>
      <c r="K56" s="5">
        <v>46172</v>
      </c>
      <c r="L56" s="5">
        <v>0</v>
      </c>
      <c r="M56" s="22">
        <v>0</v>
      </c>
      <c r="N56" s="22">
        <v>76</v>
      </c>
      <c r="O56" s="22">
        <v>0</v>
      </c>
      <c r="P56" s="22" t="s">
        <v>1725</v>
      </c>
      <c r="Q56" s="5">
        <v>46186</v>
      </c>
      <c r="R56" s="4">
        <v>5</v>
      </c>
      <c r="S56" s="62">
        <v>1</v>
      </c>
      <c r="T56" s="1">
        <f t="shared" si="6"/>
        <v>5</v>
      </c>
      <c r="U56" s="1">
        <f t="shared" si="7"/>
        <v>3.99</v>
      </c>
      <c r="V56" s="1">
        <f t="shared" si="5"/>
        <v>1.0099999999999998</v>
      </c>
      <c r="W56" s="1">
        <f t="shared" si="8"/>
        <v>2.5</v>
      </c>
      <c r="X56" s="63" t="s">
        <v>61</v>
      </c>
    </row>
    <row r="57" spans="1:24" x14ac:dyDescent="0.3">
      <c r="A57" s="22">
        <v>85723</v>
      </c>
      <c r="B57" s="22" t="s">
        <v>410</v>
      </c>
      <c r="C57" s="22" t="s">
        <v>195</v>
      </c>
      <c r="D57" s="22">
        <v>499</v>
      </c>
      <c r="E57" s="22" t="s">
        <v>171</v>
      </c>
      <c r="F57" s="22" t="s">
        <v>172</v>
      </c>
      <c r="G57" s="22">
        <v>0</v>
      </c>
      <c r="H57" s="22">
        <v>0</v>
      </c>
      <c r="I57" s="22">
        <v>200</v>
      </c>
      <c r="J57" s="22">
        <v>1</v>
      </c>
      <c r="K57" s="5">
        <v>46149</v>
      </c>
      <c r="L57" s="5">
        <v>46149</v>
      </c>
      <c r="M57" s="22">
        <v>0</v>
      </c>
      <c r="N57" s="22">
        <v>72</v>
      </c>
      <c r="O57" s="22">
        <v>0</v>
      </c>
      <c r="P57" s="22" t="s">
        <v>1725</v>
      </c>
      <c r="Q57" s="5">
        <v>46186</v>
      </c>
      <c r="R57" s="4">
        <v>5</v>
      </c>
      <c r="S57" s="62">
        <v>1</v>
      </c>
      <c r="T57" s="1">
        <f t="shared" si="6"/>
        <v>5</v>
      </c>
      <c r="U57" s="1">
        <f t="shared" si="7"/>
        <v>4.99</v>
      </c>
      <c r="V57" s="1">
        <f t="shared" si="5"/>
        <v>9.9999999999997868E-3</v>
      </c>
      <c r="W57" s="1">
        <f t="shared" si="8"/>
        <v>3</v>
      </c>
      <c r="X57" s="63" t="s">
        <v>61</v>
      </c>
    </row>
    <row r="58" spans="1:24" x14ac:dyDescent="0.3">
      <c r="A58" s="22">
        <v>8800692</v>
      </c>
      <c r="B58" s="22" t="s">
        <v>417</v>
      </c>
      <c r="C58" s="22" t="s">
        <v>418</v>
      </c>
      <c r="D58" s="22">
        <v>877</v>
      </c>
      <c r="E58" s="22" t="s">
        <v>171</v>
      </c>
      <c r="F58" s="22" t="s">
        <v>172</v>
      </c>
      <c r="G58" s="22">
        <v>0</v>
      </c>
      <c r="H58" s="22">
        <v>0</v>
      </c>
      <c r="I58" s="22">
        <v>400</v>
      </c>
      <c r="J58" s="22">
        <v>1</v>
      </c>
      <c r="K58" s="5">
        <v>46127</v>
      </c>
      <c r="L58" s="5">
        <v>0</v>
      </c>
      <c r="M58" s="22">
        <v>0</v>
      </c>
      <c r="N58" s="22">
        <v>73</v>
      </c>
      <c r="O58" s="22">
        <v>0</v>
      </c>
      <c r="P58" s="22" t="s">
        <v>1725</v>
      </c>
      <c r="Q58" s="5">
        <v>46186</v>
      </c>
      <c r="R58" s="4">
        <v>5</v>
      </c>
      <c r="S58" s="62">
        <v>1</v>
      </c>
      <c r="T58" s="1">
        <f t="shared" si="6"/>
        <v>5</v>
      </c>
      <c r="U58" s="1">
        <f t="shared" si="7"/>
        <v>8.77</v>
      </c>
      <c r="V58" s="1">
        <f t="shared" si="5"/>
        <v>-3.7699999999999996</v>
      </c>
      <c r="W58" s="1">
        <f t="shared" si="8"/>
        <v>1</v>
      </c>
      <c r="X58" s="63" t="s">
        <v>61</v>
      </c>
    </row>
    <row r="59" spans="1:24" x14ac:dyDescent="0.3">
      <c r="A59" s="22">
        <v>11909462</v>
      </c>
      <c r="B59" s="22" t="s">
        <v>992</v>
      </c>
      <c r="C59" s="22" t="s">
        <v>993</v>
      </c>
      <c r="D59" s="22">
        <v>202</v>
      </c>
      <c r="E59" s="22" t="s">
        <v>171</v>
      </c>
      <c r="F59" s="22" t="s">
        <v>172</v>
      </c>
      <c r="G59" s="22">
        <v>0</v>
      </c>
      <c r="H59" s="22" t="s">
        <v>1525</v>
      </c>
      <c r="I59" s="22">
        <v>148</v>
      </c>
      <c r="J59" s="22">
        <v>1</v>
      </c>
      <c r="K59" s="5">
        <v>46164</v>
      </c>
      <c r="L59" s="5">
        <v>46157</v>
      </c>
      <c r="M59" s="22">
        <v>0</v>
      </c>
      <c r="N59" s="22">
        <v>58</v>
      </c>
      <c r="O59" s="22">
        <v>0</v>
      </c>
      <c r="P59" s="22" t="s">
        <v>1725</v>
      </c>
      <c r="Q59" s="5">
        <v>46186</v>
      </c>
      <c r="R59" s="4">
        <v>4</v>
      </c>
      <c r="S59" s="62">
        <v>1</v>
      </c>
      <c r="T59" s="1">
        <f t="shared" si="6"/>
        <v>4</v>
      </c>
      <c r="U59" s="1">
        <f t="shared" si="7"/>
        <v>2.02</v>
      </c>
      <c r="V59" s="1">
        <f t="shared" si="5"/>
        <v>1.98</v>
      </c>
      <c r="W59" s="1">
        <f t="shared" si="8"/>
        <v>2.52</v>
      </c>
      <c r="X59" s="63" t="s">
        <v>61</v>
      </c>
    </row>
    <row r="60" spans="1:24" x14ac:dyDescent="0.3">
      <c r="A60" s="22">
        <v>11484449</v>
      </c>
      <c r="B60" s="22" t="s">
        <v>185</v>
      </c>
      <c r="C60" s="22" t="s">
        <v>186</v>
      </c>
      <c r="D60" s="22">
        <v>2085</v>
      </c>
      <c r="E60" s="22" t="s">
        <v>171</v>
      </c>
      <c r="F60" s="22" t="s">
        <v>172</v>
      </c>
      <c r="G60" s="22">
        <v>0</v>
      </c>
      <c r="H60" s="22" t="s">
        <v>1157</v>
      </c>
      <c r="I60" s="22">
        <v>1423</v>
      </c>
      <c r="J60" s="22">
        <v>1</v>
      </c>
      <c r="K60" s="5">
        <v>46174</v>
      </c>
      <c r="L60" s="5">
        <v>46173</v>
      </c>
      <c r="M60" s="22">
        <v>0</v>
      </c>
      <c r="N60" s="22">
        <v>51</v>
      </c>
      <c r="O60" s="22">
        <v>0</v>
      </c>
      <c r="P60" s="22" t="s">
        <v>1725</v>
      </c>
      <c r="Q60" s="5">
        <v>46186</v>
      </c>
      <c r="R60" s="4">
        <v>20</v>
      </c>
      <c r="S60" s="62">
        <v>1</v>
      </c>
      <c r="T60" s="1">
        <f t="shared" si="6"/>
        <v>20</v>
      </c>
      <c r="U60" s="1">
        <f t="shared" si="7"/>
        <v>20.85</v>
      </c>
      <c r="V60" s="1">
        <f t="shared" si="5"/>
        <v>-0.85000000000000142</v>
      </c>
      <c r="W60" s="1">
        <f t="shared" si="8"/>
        <v>5.77</v>
      </c>
      <c r="X60" s="63" t="s">
        <v>61</v>
      </c>
    </row>
    <row r="61" spans="1:24" x14ac:dyDescent="0.3">
      <c r="A61" s="22">
        <v>11909415</v>
      </c>
      <c r="B61" s="22" t="s">
        <v>1008</v>
      </c>
      <c r="C61" s="22" t="s">
        <v>1009</v>
      </c>
      <c r="D61" s="22">
        <v>700</v>
      </c>
      <c r="E61" s="22" t="s">
        <v>171</v>
      </c>
      <c r="F61" s="22" t="s">
        <v>172</v>
      </c>
      <c r="G61" s="22">
        <v>0</v>
      </c>
      <c r="H61" s="22" t="s">
        <v>1513</v>
      </c>
      <c r="I61" s="22">
        <v>479</v>
      </c>
      <c r="J61" s="22">
        <v>1</v>
      </c>
      <c r="K61" s="5">
        <v>46183</v>
      </c>
      <c r="L61" s="5">
        <v>46157</v>
      </c>
      <c r="M61" s="22">
        <v>0</v>
      </c>
      <c r="N61" s="22">
        <v>52</v>
      </c>
      <c r="O61" s="22">
        <v>0</v>
      </c>
      <c r="P61" s="22" t="s">
        <v>1726</v>
      </c>
      <c r="Q61" s="5">
        <v>46186</v>
      </c>
      <c r="R61" s="4">
        <v>10</v>
      </c>
      <c r="S61" s="62">
        <v>1</v>
      </c>
      <c r="T61" s="1">
        <f t="shared" si="6"/>
        <v>10</v>
      </c>
      <c r="U61" s="1">
        <f t="shared" si="7"/>
        <v>7</v>
      </c>
      <c r="V61" s="1">
        <f t="shared" si="5"/>
        <v>3</v>
      </c>
      <c r="W61" s="1">
        <f t="shared" si="8"/>
        <v>5.21</v>
      </c>
      <c r="X61" s="63" t="s">
        <v>61</v>
      </c>
    </row>
    <row r="62" spans="1:24" x14ac:dyDescent="0.3">
      <c r="A62" s="22">
        <v>11909415</v>
      </c>
      <c r="B62" s="22" t="s">
        <v>1008</v>
      </c>
      <c r="C62" s="22" t="s">
        <v>1009</v>
      </c>
      <c r="D62" s="22">
        <v>700</v>
      </c>
      <c r="E62" s="22" t="s">
        <v>171</v>
      </c>
      <c r="F62" s="22" t="s">
        <v>172</v>
      </c>
      <c r="G62" s="22">
        <v>0</v>
      </c>
      <c r="H62" s="22" t="s">
        <v>1544</v>
      </c>
      <c r="I62" s="22">
        <v>639</v>
      </c>
      <c r="J62" s="22">
        <v>1</v>
      </c>
      <c r="K62" s="5">
        <v>46183</v>
      </c>
      <c r="L62" s="5">
        <v>46161</v>
      </c>
      <c r="M62" s="22">
        <v>0</v>
      </c>
      <c r="N62" s="22">
        <v>39</v>
      </c>
      <c r="O62" s="22">
        <v>0</v>
      </c>
      <c r="P62" s="22" t="s">
        <v>1753</v>
      </c>
      <c r="Q62" s="5">
        <v>46186</v>
      </c>
      <c r="R62" s="4">
        <v>0.01</v>
      </c>
      <c r="S62" s="62">
        <v>1</v>
      </c>
      <c r="T62" s="1">
        <f t="shared" si="6"/>
        <v>0</v>
      </c>
      <c r="U62" s="1">
        <f t="shared" si="7"/>
        <v>7</v>
      </c>
      <c r="V62" s="1">
        <f t="shared" si="5"/>
        <v>-7</v>
      </c>
      <c r="W62" s="1">
        <f t="shared" si="8"/>
        <v>-6.39</v>
      </c>
      <c r="X62" s="63" t="s">
        <v>61</v>
      </c>
    </row>
    <row r="63" spans="1:24" x14ac:dyDescent="0.3">
      <c r="A63" s="22">
        <v>11484449</v>
      </c>
      <c r="B63" s="22" t="s">
        <v>185</v>
      </c>
      <c r="C63" s="22" t="s">
        <v>186</v>
      </c>
      <c r="D63" s="22">
        <v>2085</v>
      </c>
      <c r="E63" s="22" t="s">
        <v>171</v>
      </c>
      <c r="F63" s="22" t="s">
        <v>172</v>
      </c>
      <c r="G63" s="22">
        <v>0</v>
      </c>
      <c r="H63" s="22" t="s">
        <v>1303</v>
      </c>
      <c r="I63" s="22">
        <v>1644</v>
      </c>
      <c r="J63" s="22">
        <v>1</v>
      </c>
      <c r="K63" s="5">
        <v>46174</v>
      </c>
      <c r="L63" s="5">
        <v>46173</v>
      </c>
      <c r="M63" s="22">
        <v>0</v>
      </c>
      <c r="N63" s="22">
        <v>15</v>
      </c>
      <c r="O63" s="22">
        <v>0</v>
      </c>
      <c r="P63" s="22" t="s">
        <v>1753</v>
      </c>
      <c r="Q63" s="5">
        <v>46186</v>
      </c>
      <c r="R63" s="4">
        <v>0.01</v>
      </c>
      <c r="S63" s="62">
        <v>1</v>
      </c>
      <c r="T63" s="1">
        <f t="shared" si="6"/>
        <v>0</v>
      </c>
      <c r="U63" s="1">
        <f t="shared" si="7"/>
        <v>20.85</v>
      </c>
      <c r="V63" s="1">
        <f t="shared" si="5"/>
        <v>-20.85</v>
      </c>
      <c r="W63" s="1">
        <f t="shared" si="8"/>
        <v>-16.440000000000001</v>
      </c>
      <c r="X63" s="63" t="s">
        <v>61</v>
      </c>
    </row>
    <row r="64" spans="1:24" x14ac:dyDescent="0.3">
      <c r="A64" s="22">
        <v>8771795</v>
      </c>
      <c r="B64" s="22" t="s">
        <v>984</v>
      </c>
      <c r="C64" s="22" t="s">
        <v>568</v>
      </c>
      <c r="D64" s="22">
        <v>140</v>
      </c>
      <c r="E64" s="22" t="s">
        <v>171</v>
      </c>
      <c r="F64" s="22" t="s">
        <v>172</v>
      </c>
      <c r="G64" s="22"/>
      <c r="H64" s="22" t="s">
        <v>1522</v>
      </c>
      <c r="I64" s="22">
        <v>34</v>
      </c>
      <c r="J64" s="22">
        <v>1</v>
      </c>
      <c r="K64" s="5">
        <v>46163</v>
      </c>
      <c r="L64" s="5">
        <v>46156</v>
      </c>
      <c r="M64" s="22">
        <v>0</v>
      </c>
      <c r="N64" s="22">
        <v>415</v>
      </c>
      <c r="O64" s="22">
        <v>0</v>
      </c>
      <c r="P64" s="22" t="s">
        <v>1726</v>
      </c>
      <c r="Q64" s="5">
        <v>46186</v>
      </c>
      <c r="R64" s="4">
        <v>0.01</v>
      </c>
      <c r="S64" s="62">
        <v>1</v>
      </c>
      <c r="T64" s="1">
        <f t="shared" ref="T64" si="9">ROUND(R64*S64,0)</f>
        <v>0</v>
      </c>
      <c r="U64" s="1">
        <f t="shared" ref="U64" si="10">D64/100</f>
        <v>1.4</v>
      </c>
      <c r="V64" s="1">
        <f t="shared" ref="V64" si="11">T64-U64</f>
        <v>-1.4</v>
      </c>
      <c r="W64" s="1">
        <f t="shared" ref="W64" si="12">T64-I64/100</f>
        <v>-0.34</v>
      </c>
      <c r="X64" s="63" t="s">
        <v>61</v>
      </c>
    </row>
  </sheetData>
  <autoFilter ref="A1:X64" xr:uid="{6175B086-EBBA-48E7-A8D6-7BB8B37DEB52}"/>
  <conditionalFormatting sqref="N1:N1048576">
    <cfRule type="duplicateValues" dxfId="4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F5F99-6685-4E8C-BF34-33C9A84DEE49}">
  <dimension ref="B2:K51"/>
  <sheetViews>
    <sheetView zoomScale="85" zoomScaleNormal="85" workbookViewId="0">
      <selection activeCell="F1" sqref="F1"/>
    </sheetView>
  </sheetViews>
  <sheetFormatPr defaultRowHeight="14.4" x14ac:dyDescent="0.3"/>
  <cols>
    <col min="1" max="1" width="3.5546875" customWidth="1"/>
    <col min="2" max="2" width="9.33203125" bestFit="1" customWidth="1"/>
    <col min="3" max="3" width="32" bestFit="1" customWidth="1"/>
    <col min="4" max="4" width="25" bestFit="1" customWidth="1"/>
    <col min="5" max="5" width="3.5546875" customWidth="1"/>
    <col min="6" max="6" width="43.109375" bestFit="1" customWidth="1"/>
    <col min="7" max="7" width="21.6640625" bestFit="1" customWidth="1"/>
    <col min="8" max="8" width="23.6640625" bestFit="1" customWidth="1"/>
    <col min="9" max="9" width="8.33203125" bestFit="1" customWidth="1"/>
    <col min="10" max="10" width="6" bestFit="1" customWidth="1"/>
    <col min="11" max="11" width="9" style="1" bestFit="1" customWidth="1"/>
  </cols>
  <sheetData>
    <row r="2" spans="2:11" x14ac:dyDescent="0.3">
      <c r="B2" s="7" t="s">
        <v>1716</v>
      </c>
      <c r="F2" s="7" t="s">
        <v>1814</v>
      </c>
    </row>
    <row r="3" spans="2:11" x14ac:dyDescent="0.3">
      <c r="B3" s="7" t="s">
        <v>1756</v>
      </c>
      <c r="C3" s="7" t="s">
        <v>711</v>
      </c>
      <c r="D3" s="7" t="s">
        <v>1710</v>
      </c>
      <c r="F3" s="71" t="str" cm="1">
        <f t="array" ref="F3:K51">_xlfn.LET(
    _xlpm.data, Collection!$A$1:$Z$558,
    _xlpm.KeepList,Table1[Item '#],
    _xlpm.filtered, _xlfn._xlws.FILTER(_xlpm.data, ISNA(_xlfn.XMATCH(Collection!$N$1:$N$558, _xlpm.KeepList))*(Collection!$T$1:$T$558&gt;=5)),
    _xlpm.sorted, _xlfn._xlws.SORT(_xlpm.filtered, 4, -1),
    _xlfn.CHOOSECOLS(_xlpm.sorted, 17,16,18,19,23,20)
)</f>
        <v>Set Name</v>
      </c>
      <c r="G3" s="71" t="str">
        <v>Player Label</v>
      </c>
      <c r="H3" s="71" t="str">
        <v>Variant</v>
      </c>
      <c r="I3" s="71" t="str">
        <v>Number</v>
      </c>
      <c r="J3" s="71" t="str">
        <v>Count</v>
      </c>
      <c r="K3" s="72" t="str">
        <v>Value</v>
      </c>
    </row>
    <row r="4" spans="2:11" x14ac:dyDescent="0.3">
      <c r="B4" s="66">
        <v>44578691</v>
      </c>
      <c r="C4" s="44" t="str">
        <f>IF(B4="","",_xlfn.TEXTAFTER(_xlfn.XLOOKUP(B4,Collection!N:N,Collection!C:C,),"Cards "))</f>
        <v>2018 Panini Prizm</v>
      </c>
      <c r="D4" s="45" t="str">
        <f>IF(B4="","",_xlfn.XLOOKUP($B4,Collection!$N:$N,Collection!B:B,))</f>
        <v>Luka Doncic #280</v>
      </c>
      <c r="F4" t="str">
        <v>2018 Panini Status</v>
      </c>
      <c r="G4" t="str">
        <v>Luka Doncic</v>
      </c>
      <c r="H4" t="str">
        <v>-</v>
      </c>
      <c r="I4" t="str">
        <v>122</v>
      </c>
      <c r="J4">
        <v>1</v>
      </c>
      <c r="K4" s="1">
        <v>120</v>
      </c>
    </row>
    <row r="5" spans="2:11" x14ac:dyDescent="0.3">
      <c r="B5" s="67">
        <v>2</v>
      </c>
      <c r="C5" t="str">
        <f>IF(B5="","",_xlfn.TEXTAFTER(_xlfn.XLOOKUP(B5,Collection!N:N,Collection!C:C,),"Cards "))</f>
        <v>1996 Upper Deck Rookie Exclusives</v>
      </c>
      <c r="D5" s="47" t="str">
        <f>IF(B5="","",_xlfn.XLOOKUP($B5,Collection!$N:$N,Collection!B:B,))</f>
        <v>Kobe Bryant #R10</v>
      </c>
      <c r="F5" t="str">
        <v>1996 Fleer Metal</v>
      </c>
      <c r="G5" t="str">
        <v>Michael Jordan</v>
      </c>
      <c r="H5" t="str">
        <v>-</v>
      </c>
      <c r="I5" t="str">
        <v>11</v>
      </c>
      <c r="J5">
        <v>1</v>
      </c>
      <c r="K5" s="1">
        <v>50</v>
      </c>
    </row>
    <row r="6" spans="2:11" x14ac:dyDescent="0.3">
      <c r="B6" s="67">
        <v>1</v>
      </c>
      <c r="C6" t="str">
        <f>IF(B6="","",_xlfn.TEXTAFTER(_xlfn.XLOOKUP(B6,Collection!N:N,Collection!C:C,),"Cards "))</f>
        <v>1997 Metal Universe</v>
      </c>
      <c r="D6" s="47" t="str">
        <f>IF(B6="","",_xlfn.XLOOKUP($B6,Collection!$N:$N,Collection!B:B,))</f>
        <v>Michael Jordan #23</v>
      </c>
      <c r="F6" t="str">
        <v>1996 Ultra</v>
      </c>
      <c r="G6" t="str">
        <v>Kobe Bryant</v>
      </c>
      <c r="H6" t="str">
        <v>-</v>
      </c>
      <c r="I6" t="str">
        <v>52</v>
      </c>
      <c r="J6">
        <v>1</v>
      </c>
      <c r="K6" s="1">
        <v>44.75</v>
      </c>
    </row>
    <row r="7" spans="2:11" x14ac:dyDescent="0.3">
      <c r="B7" s="67">
        <v>6</v>
      </c>
      <c r="C7" t="str">
        <f>IF(B7="","",_xlfn.TEXTAFTER(_xlfn.XLOOKUP(B7,Collection!N:N,Collection!C:C,),"Cards "))</f>
        <v>2023 Topps Chrome</v>
      </c>
      <c r="D7" s="47" t="str">
        <f>IF(B7="","",_xlfn.XLOOKUP($B7,Collection!$N:$N,Collection!B:B,))</f>
        <v>Victor Wembanyama #1</v>
      </c>
      <c r="F7" t="str">
        <v>1996 Skybox Premium</v>
      </c>
      <c r="G7" t="str">
        <v>Kobe Bryant</v>
      </c>
      <c r="H7" t="str">
        <v>-</v>
      </c>
      <c r="I7" t="str">
        <v>55</v>
      </c>
      <c r="J7">
        <v>1</v>
      </c>
      <c r="K7" s="1">
        <v>36.97</v>
      </c>
    </row>
    <row r="8" spans="2:11" x14ac:dyDescent="0.3">
      <c r="B8" s="67">
        <v>29</v>
      </c>
      <c r="C8" t="str">
        <f>IF(B8="","",_xlfn.TEXTAFTER(_xlfn.XLOOKUP(B8,Collection!N:N,Collection!C:C,),"Cards "))</f>
        <v>2020 Panini Hoops SLAM</v>
      </c>
      <c r="D8" s="47" t="str">
        <f>IF(B8="","",_xlfn.XLOOKUP($B8,Collection!$N:$N,Collection!B:B,))</f>
        <v>Luka Doncic #5</v>
      </c>
      <c r="F8" t="str">
        <v>1996 Fleer Metal</v>
      </c>
      <c r="G8" t="str">
        <v>Michael Jordan</v>
      </c>
      <c r="H8" t="str">
        <v>-</v>
      </c>
      <c r="I8" t="str">
        <v>241</v>
      </c>
      <c r="J8">
        <v>1</v>
      </c>
      <c r="K8" s="1">
        <v>30.49</v>
      </c>
    </row>
    <row r="9" spans="2:11" x14ac:dyDescent="0.3">
      <c r="B9" s="67">
        <v>13</v>
      </c>
      <c r="C9" t="str">
        <f>IF(B9="","",_xlfn.TEXTAFTER(_xlfn.XLOOKUP(B9,Collection!N:N,Collection!C:C,),"Cards "))</f>
        <v>2025 Topps Chrome</v>
      </c>
      <c r="D9" s="47" t="str">
        <f>IF(B9="","",_xlfn.XLOOKUP($B9,Collection!$N:$N,Collection!B:B,))</f>
        <v>Cooper Flagg #251</v>
      </c>
      <c r="F9" t="str">
        <v>1998 Upper Deck Black Diamond</v>
      </c>
      <c r="G9" t="str">
        <v>Dirk Nowitzki</v>
      </c>
      <c r="H9" t="str">
        <v>Double</v>
      </c>
      <c r="I9" t="str">
        <v>92</v>
      </c>
      <c r="J9">
        <v>1</v>
      </c>
      <c r="K9" s="1">
        <v>22.5</v>
      </c>
    </row>
    <row r="10" spans="2:11" x14ac:dyDescent="0.3">
      <c r="B10" s="67">
        <v>20</v>
      </c>
      <c r="C10" t="str">
        <f>IF(B10="","",_xlfn.TEXTAFTER(_xlfn.XLOOKUP(B10,Collection!N:N,Collection!C:C,),"Cards "))</f>
        <v>2023 Panini Hoops Attack the Rack</v>
      </c>
      <c r="D10" s="47" t="str">
        <f>IF(B10="","",_xlfn.XLOOKUP($B10,Collection!$N:$N,Collection!B:B,))</f>
        <v>Victor Wembanyama #1</v>
      </c>
      <c r="F10" t="str">
        <v>1997 Upper Deck Teammates</v>
      </c>
      <c r="G10" t="str">
        <v>Michael Jordan</v>
      </c>
      <c r="H10" t="str">
        <v>-</v>
      </c>
      <c r="I10" t="str">
        <v>T59</v>
      </c>
      <c r="J10">
        <v>1</v>
      </c>
      <c r="K10" s="1">
        <v>21.52</v>
      </c>
    </row>
    <row r="11" spans="2:11" x14ac:dyDescent="0.3">
      <c r="B11" s="67">
        <v>32</v>
      </c>
      <c r="C11" t="str">
        <f>IF(B11="","",_xlfn.TEXTAFTER(_xlfn.XLOOKUP(B11,Collection!N:N,Collection!C:C,),"Cards "))</f>
        <v>2020 Panini Hoops SLAM</v>
      </c>
      <c r="D11" s="47" t="str">
        <f>IF(B11="","",_xlfn.XLOOKUP($B11,Collection!$N:$N,Collection!B:B,))</f>
        <v>Jason Williams #7</v>
      </c>
      <c r="F11" t="str">
        <v>2025 Topps Chrome</v>
      </c>
      <c r="G11" t="str">
        <v>Cooper Flagg</v>
      </c>
      <c r="H11" t="str">
        <v>-</v>
      </c>
      <c r="I11" t="str">
        <v>251</v>
      </c>
      <c r="J11">
        <v>1</v>
      </c>
      <c r="K11" s="1">
        <v>21.04</v>
      </c>
    </row>
    <row r="12" spans="2:11" x14ac:dyDescent="0.3">
      <c r="B12" s="67">
        <v>35</v>
      </c>
      <c r="C12" t="str">
        <f>IF(B12="","",_xlfn.TEXTAFTER(_xlfn.XLOOKUP(B12,Collection!N:N,Collection!C:C,),"Cards "))</f>
        <v>1998 Flair Showcase</v>
      </c>
      <c r="D12" s="47" t="str">
        <f>IF(B12="","",_xlfn.XLOOKUP($B12,Collection!$N:$N,Collection!B:B,))</f>
        <v>Jason Williams [Row 3] #55</v>
      </c>
      <c r="F12" t="str">
        <v>2021 Panini Prizm Draft Picks Autographs</v>
      </c>
      <c r="G12" t="str">
        <v>Mac McClung</v>
      </c>
      <c r="H12" t="str">
        <v>Red</v>
      </c>
      <c r="I12" t="str">
        <v>DP-MMC</v>
      </c>
      <c r="J12">
        <v>1</v>
      </c>
      <c r="K12" s="1">
        <v>20.63</v>
      </c>
    </row>
    <row r="13" spans="2:11" x14ac:dyDescent="0.3">
      <c r="B13" s="67">
        <v>48</v>
      </c>
      <c r="C13" t="str">
        <f>IF(B13="","",_xlfn.TEXTAFTER(_xlfn.XLOOKUP(B13,Collection!N:N,Collection!C:C,),"Cards "))</f>
        <v>1999 Flair Showcase</v>
      </c>
      <c r="D13" s="47" t="str">
        <f>IF(B13="","",_xlfn.XLOOKUP($B13,Collection!$N:$N,Collection!B:B,))</f>
        <v>Jason Williams #2-55</v>
      </c>
      <c r="F13" t="str">
        <v>1991 Upper Deck</v>
      </c>
      <c r="G13" t="str">
        <v>Michael Jordan</v>
      </c>
      <c r="H13" t="str">
        <v>-</v>
      </c>
      <c r="I13" t="str">
        <v>SP1</v>
      </c>
      <c r="J13">
        <v>1</v>
      </c>
      <c r="K13" s="1">
        <v>20.34</v>
      </c>
    </row>
    <row r="14" spans="2:11" x14ac:dyDescent="0.3">
      <c r="B14" s="67">
        <v>8</v>
      </c>
      <c r="C14" t="str">
        <f>IF(B14="","",_xlfn.TEXTAFTER(_xlfn.XLOOKUP(B14,Collection!N:N,Collection!C:C,),"Cards "))</f>
        <v>1994 E Motion</v>
      </c>
      <c r="D14" s="47" t="str">
        <f>IF(B14="","",_xlfn.XLOOKUP($B14,Collection!$N:$N,Collection!B:B,))</f>
        <v>Michael Jordan #100</v>
      </c>
      <c r="F14" t="str">
        <v>2019 Panini Prizm</v>
      </c>
      <c r="G14" t="str">
        <v>Nikola Jokic</v>
      </c>
      <c r="H14" t="str">
        <v>Ruby Wave Prizm</v>
      </c>
      <c r="I14" t="str">
        <v>84</v>
      </c>
      <c r="J14">
        <v>1</v>
      </c>
      <c r="K14" s="1">
        <v>19.52</v>
      </c>
    </row>
    <row r="15" spans="2:11" x14ac:dyDescent="0.3">
      <c r="B15" s="67">
        <v>11</v>
      </c>
      <c r="C15" t="str">
        <f>IF(B15="","",_xlfn.TEXTAFTER(_xlfn.XLOOKUP(B15,Collection!N:N,Collection!C:C,),"Cards "))</f>
        <v>1996 Fleer Metal</v>
      </c>
      <c r="D15" s="47" t="str">
        <f>IF(B15="","",_xlfn.XLOOKUP($B15,Collection!$N:$N,Collection!B:B,))</f>
        <v>Michael Jordan #11</v>
      </c>
      <c r="F15" t="str">
        <v>2018 Panini Hoops Class of 2018</v>
      </c>
      <c r="G15" t="str">
        <v>Luka Doncic</v>
      </c>
      <c r="H15" t="str">
        <v>-</v>
      </c>
      <c r="I15" t="str">
        <v>3</v>
      </c>
      <c r="J15">
        <v>1</v>
      </c>
      <c r="K15" s="1">
        <v>18.489999999999998</v>
      </c>
    </row>
    <row r="16" spans="2:11" x14ac:dyDescent="0.3">
      <c r="B16" s="67">
        <v>109</v>
      </c>
      <c r="C16" t="str">
        <f>IF(B16="","",_xlfn.TEXTAFTER(_xlfn.XLOOKUP(B16,Collection!N:N,Collection!C:C,),"Cards "))</f>
        <v>1996 Upper Deck Rookie Exclusives</v>
      </c>
      <c r="D16" s="47" t="str">
        <f>IF(B16="","",_xlfn.XLOOKUP($B16,Collection!$N:$N,Collection!B:B,))</f>
        <v>Stephon Marbury #R15</v>
      </c>
      <c r="F16" t="str">
        <v>Marvel 1994 Fleer Amazing Spider-Man Hologram</v>
      </c>
      <c r="G16" t="str">
        <v>Spider-Man</v>
      </c>
      <c r="H16" t="str">
        <v>-</v>
      </c>
      <c r="I16" t="str">
        <v>4</v>
      </c>
      <c r="J16">
        <v>1</v>
      </c>
      <c r="K16" s="1">
        <v>16.489999999999998</v>
      </c>
    </row>
    <row r="17" spans="6:11" x14ac:dyDescent="0.3">
      <c r="F17" t="str">
        <v>1996 Skybox Premium</v>
      </c>
      <c r="G17" t="str">
        <v>Michael Jordan</v>
      </c>
      <c r="H17" t="str">
        <v>-</v>
      </c>
      <c r="I17" t="str">
        <v>16</v>
      </c>
      <c r="J17">
        <v>2</v>
      </c>
      <c r="K17" s="1">
        <v>15.73</v>
      </c>
    </row>
    <row r="18" spans="6:11" x14ac:dyDescent="0.3">
      <c r="F18" t="str">
        <v>1996 Skybox Premium</v>
      </c>
      <c r="G18" t="str">
        <v>Michael Jordan</v>
      </c>
      <c r="H18" t="str">
        <v>-</v>
      </c>
      <c r="I18" t="str">
        <v>16</v>
      </c>
      <c r="J18">
        <v>2</v>
      </c>
      <c r="K18" s="1">
        <v>15.73</v>
      </c>
    </row>
    <row r="19" spans="6:11" x14ac:dyDescent="0.3">
      <c r="F19" t="str">
        <v>2023 Panini Phoenix Fade To Black</v>
      </c>
      <c r="G19" t="str">
        <v>Shai Gilgeous-Alexander</v>
      </c>
      <c r="H19" t="str">
        <v>Yellow ice</v>
      </c>
      <c r="I19" t="str">
        <v>5</v>
      </c>
      <c r="J19">
        <v>1</v>
      </c>
      <c r="K19" s="1">
        <v>14.99</v>
      </c>
    </row>
    <row r="20" spans="6:11" x14ac:dyDescent="0.3">
      <c r="F20" t="str">
        <v>2024 Panini Revolution Star Gazing</v>
      </c>
      <c r="G20" t="str">
        <v>Luka Doncic</v>
      </c>
      <c r="H20" t="str">
        <v>Blue Astro</v>
      </c>
      <c r="I20" t="str">
        <v>9</v>
      </c>
      <c r="J20">
        <v>1</v>
      </c>
      <c r="K20" s="1">
        <v>14</v>
      </c>
    </row>
    <row r="21" spans="6:11" x14ac:dyDescent="0.3">
      <c r="F21" t="str">
        <v>1996 Skybox Premium Standouts</v>
      </c>
      <c r="G21" t="str">
        <v>Gary Payton</v>
      </c>
      <c r="H21" t="str">
        <v>-</v>
      </c>
      <c r="I21" t="str">
        <v>SO6</v>
      </c>
      <c r="J21">
        <v>1</v>
      </c>
      <c r="K21" s="1">
        <v>13.25</v>
      </c>
    </row>
    <row r="22" spans="6:11" x14ac:dyDescent="0.3">
      <c r="F22" t="str">
        <v>2025 Topps Chrome Serenity</v>
      </c>
      <c r="G22" t="str">
        <v>Cooper Flagg</v>
      </c>
      <c r="H22" t="str">
        <v>-</v>
      </c>
      <c r="I22" t="str">
        <v>SY-11</v>
      </c>
      <c r="J22">
        <v>1</v>
      </c>
      <c r="K22" s="1">
        <v>13.11</v>
      </c>
    </row>
    <row r="23" spans="6:11" x14ac:dyDescent="0.3">
      <c r="F23" t="str">
        <v>1997 Metal Universe</v>
      </c>
      <c r="G23" t="str">
        <v>Tim Duncan</v>
      </c>
      <c r="H23" t="str">
        <v>-</v>
      </c>
      <c r="I23" t="str">
        <v>66</v>
      </c>
      <c r="J23">
        <v>1</v>
      </c>
      <c r="K23" s="1">
        <v>12.55</v>
      </c>
    </row>
    <row r="24" spans="6:11" x14ac:dyDescent="0.3">
      <c r="F24" t="str">
        <v>1997 Ultra Star Power Plus</v>
      </c>
      <c r="G24" t="str">
        <v>Grant Hill</v>
      </c>
      <c r="H24" t="str">
        <v>-</v>
      </c>
      <c r="I24" t="str">
        <v>11</v>
      </c>
      <c r="J24">
        <v>1</v>
      </c>
      <c r="K24" s="1">
        <v>12.48</v>
      </c>
    </row>
    <row r="25" spans="6:11" x14ac:dyDescent="0.3">
      <c r="F25" t="str">
        <v>2025 Topps Chrome</v>
      </c>
      <c r="G25" t="str">
        <v>Deommodore Lenoir</v>
      </c>
      <c r="H25" t="str">
        <v>-</v>
      </c>
      <c r="I25" t="str">
        <v>269</v>
      </c>
      <c r="J25">
        <v>1</v>
      </c>
      <c r="K25" s="1">
        <v>12.31</v>
      </c>
    </row>
    <row r="26" spans="6:11" x14ac:dyDescent="0.3">
      <c r="F26" t="str">
        <v>2024 Panini Obsidian Equinox</v>
      </c>
      <c r="G26" t="str">
        <v>Tyrese Maxey</v>
      </c>
      <c r="H26" t="str">
        <v>Electric Etch Orange Flood</v>
      </c>
      <c r="I26" t="str">
        <v>20</v>
      </c>
      <c r="J26">
        <v>1</v>
      </c>
      <c r="K26" s="1">
        <v>11.4</v>
      </c>
    </row>
    <row r="27" spans="6:11" x14ac:dyDescent="0.3">
      <c r="F27" t="str">
        <v>2022 Panini Prizm</v>
      </c>
      <c r="G27" t="str">
        <v>Austin Reaves</v>
      </c>
      <c r="H27" t="str">
        <v>-</v>
      </c>
      <c r="I27" t="str">
        <v>123</v>
      </c>
      <c r="J27">
        <v>1</v>
      </c>
      <c r="K27" s="1">
        <v>11.29</v>
      </c>
    </row>
    <row r="28" spans="6:11" x14ac:dyDescent="0.3">
      <c r="F28" t="str">
        <v>2025 Topps Match Attax In Motion</v>
      </c>
      <c r="G28" t="str">
        <v>Victor Wembanyama</v>
      </c>
      <c r="H28" t="str">
        <v>-</v>
      </c>
      <c r="I28" t="str">
        <v>KI-VW</v>
      </c>
      <c r="J28">
        <v>1</v>
      </c>
      <c r="K28" s="1">
        <v>10.97</v>
      </c>
    </row>
    <row r="29" spans="6:11" x14ac:dyDescent="0.3">
      <c r="F29" t="str">
        <v>1990 Topps Tiffany</v>
      </c>
      <c r="G29" t="str">
        <v>Ken Griffey Jr.</v>
      </c>
      <c r="H29" t="str">
        <v>-</v>
      </c>
      <c r="I29" t="str">
        <v>336</v>
      </c>
      <c r="J29">
        <v>1</v>
      </c>
      <c r="K29" s="1">
        <v>10.72</v>
      </c>
    </row>
    <row r="30" spans="6:11" x14ac:dyDescent="0.3">
      <c r="F30" t="str">
        <v>2025 Topps Chrome Sleek Finishers</v>
      </c>
      <c r="G30" t="str">
        <v>Austin Reaves</v>
      </c>
      <c r="H30" t="str">
        <v>Refractor Green</v>
      </c>
      <c r="I30" t="str">
        <v>SF-8</v>
      </c>
      <c r="J30">
        <v>1</v>
      </c>
      <c r="K30" s="1">
        <v>10</v>
      </c>
    </row>
    <row r="31" spans="6:11" x14ac:dyDescent="0.3">
      <c r="F31" t="str">
        <v>2018 Panini Chronicles</v>
      </c>
      <c r="G31" t="str">
        <v>Shai Gilgeous-Alexander</v>
      </c>
      <c r="H31" t="str">
        <v>-</v>
      </c>
      <c r="I31" t="str">
        <v>195</v>
      </c>
      <c r="J31">
        <v>1</v>
      </c>
      <c r="K31" s="1">
        <v>9.07</v>
      </c>
    </row>
    <row r="32" spans="6:11" x14ac:dyDescent="0.3">
      <c r="F32" t="str">
        <v>1999 Topps Prodigy</v>
      </c>
      <c r="G32" t="str">
        <v>Jason Williams</v>
      </c>
      <c r="H32" t="str">
        <v>-</v>
      </c>
      <c r="I32" t="str">
        <v>PR12</v>
      </c>
      <c r="J32">
        <v>1</v>
      </c>
      <c r="K32" s="1">
        <v>8.74</v>
      </c>
    </row>
    <row r="33" spans="6:11" x14ac:dyDescent="0.3">
      <c r="F33" t="str">
        <v>1990 Hoops</v>
      </c>
      <c r="G33" t="str">
        <v>Mark Jackson</v>
      </c>
      <c r="H33" t="str">
        <v>-</v>
      </c>
      <c r="I33" t="str">
        <v>205</v>
      </c>
      <c r="J33">
        <v>1</v>
      </c>
      <c r="K33" s="1">
        <v>8.65</v>
      </c>
    </row>
    <row r="34" spans="6:11" x14ac:dyDescent="0.3">
      <c r="F34" t="str">
        <v>1998 Upper Deck MJ23</v>
      </c>
      <c r="G34" t="str">
        <v>Michael Jordan</v>
      </c>
      <c r="H34" t="str">
        <v>-</v>
      </c>
      <c r="I34" t="str">
        <v>M25</v>
      </c>
      <c r="J34">
        <v>1</v>
      </c>
      <c r="K34" s="1">
        <v>7.95</v>
      </c>
    </row>
    <row r="35" spans="6:11" x14ac:dyDescent="0.3">
      <c r="F35" t="str">
        <v>1998 Upper Deck Black Diamond</v>
      </c>
      <c r="G35" t="str">
        <v>Shaquille O'Neal</v>
      </c>
      <c r="H35" t="str">
        <v>Double</v>
      </c>
      <c r="I35" t="str">
        <v>45</v>
      </c>
      <c r="J35">
        <v>1</v>
      </c>
      <c r="K35" s="1">
        <v>7.75</v>
      </c>
    </row>
    <row r="36" spans="6:11" x14ac:dyDescent="0.3">
      <c r="F36" t="str">
        <v>2018 Panini Chronicles</v>
      </c>
      <c r="G36" t="str">
        <v>Miles Bridges</v>
      </c>
      <c r="H36" t="str">
        <v>Red</v>
      </c>
      <c r="I36" t="str">
        <v>243</v>
      </c>
      <c r="J36">
        <v>1</v>
      </c>
      <c r="K36" s="1">
        <v>7.14</v>
      </c>
    </row>
    <row r="37" spans="6:11" x14ac:dyDescent="0.3">
      <c r="F37" t="str">
        <v>2003 Upper Deck Phenomenal Beginning</v>
      </c>
      <c r="G37" t="str">
        <v>LeBron James</v>
      </c>
      <c r="H37" t="str">
        <v>Phenomenal Beginning</v>
      </c>
      <c r="I37" t="str">
        <v>11</v>
      </c>
      <c r="J37">
        <v>1</v>
      </c>
      <c r="K37" s="1">
        <v>6.88</v>
      </c>
    </row>
    <row r="38" spans="6:11" x14ac:dyDescent="0.3">
      <c r="F38" t="str">
        <v>Marvel 1994 Ultra X-Men Fatal Attractions</v>
      </c>
      <c r="G38" t="str">
        <v>Wolverine Crippled</v>
      </c>
      <c r="H38" t="str">
        <v>-</v>
      </c>
      <c r="I38" t="str">
        <v>4</v>
      </c>
      <c r="J38">
        <v>1</v>
      </c>
      <c r="K38" s="1">
        <v>6.36</v>
      </c>
    </row>
    <row r="39" spans="6:11" x14ac:dyDescent="0.3">
      <c r="F39" t="str">
        <v>1998 Upper Deck Black Diamond</v>
      </c>
      <c r="G39" t="str">
        <v>Vince Carter</v>
      </c>
      <c r="H39" t="str">
        <v>-</v>
      </c>
      <c r="I39" t="str">
        <v>120</v>
      </c>
      <c r="J39">
        <v>1</v>
      </c>
      <c r="K39" s="1">
        <v>6.05</v>
      </c>
    </row>
    <row r="40" spans="6:11" x14ac:dyDescent="0.3">
      <c r="F40" t="str">
        <v>1997 Metal Universe Silver Slam</v>
      </c>
      <c r="G40" t="str">
        <v>Charles Barkley</v>
      </c>
      <c r="H40" t="str">
        <v>-</v>
      </c>
      <c r="I40" t="str">
        <v>16</v>
      </c>
      <c r="J40">
        <v>1</v>
      </c>
      <c r="K40" s="1">
        <v>5.92</v>
      </c>
    </row>
    <row r="41" spans="6:11" x14ac:dyDescent="0.3">
      <c r="F41" t="str">
        <v>2019 Panini Chronicles</v>
      </c>
      <c r="G41" t="str">
        <v>Luka Doncic</v>
      </c>
      <c r="H41" t="str">
        <v>Teal</v>
      </c>
      <c r="I41" t="str">
        <v>15</v>
      </c>
      <c r="J41">
        <v>1</v>
      </c>
      <c r="K41" s="1">
        <v>5.87</v>
      </c>
    </row>
    <row r="42" spans="6:11" x14ac:dyDescent="0.3">
      <c r="F42" t="str">
        <v>2024 Panini NBA Hoops</v>
      </c>
      <c r="G42" t="str">
        <v>Nikola Jokic</v>
      </c>
      <c r="H42" t="str">
        <v>Silver</v>
      </c>
      <c r="I42" t="str">
        <v>12</v>
      </c>
      <c r="J42">
        <v>1</v>
      </c>
      <c r="K42" s="1">
        <v>5.8</v>
      </c>
    </row>
    <row r="43" spans="6:11" x14ac:dyDescent="0.3">
      <c r="F43" t="str">
        <v>1998 Finest</v>
      </c>
      <c r="G43" t="str">
        <v>Jason Williams</v>
      </c>
      <c r="H43" t="str">
        <v>-</v>
      </c>
      <c r="I43" t="str">
        <v>232</v>
      </c>
      <c r="J43">
        <v>1</v>
      </c>
      <c r="K43" s="1">
        <v>5.72</v>
      </c>
    </row>
    <row r="44" spans="6:11" x14ac:dyDescent="0.3">
      <c r="F44" t="str">
        <v>1999 Stadium Club Chrome Eyes of the Game</v>
      </c>
      <c r="G44" t="str">
        <v>Jason Williams</v>
      </c>
      <c r="H44" t="str">
        <v>-</v>
      </c>
      <c r="I44" t="str">
        <v>EG2</v>
      </c>
      <c r="J44">
        <v>1</v>
      </c>
      <c r="K44" s="1">
        <v>5.7</v>
      </c>
    </row>
    <row r="45" spans="6:11" x14ac:dyDescent="0.3">
      <c r="F45" t="str">
        <v>2014 Panini Hoops</v>
      </c>
      <c r="G45" t="str">
        <v>Joel Embiid</v>
      </c>
      <c r="H45" t="str">
        <v>-</v>
      </c>
      <c r="I45" t="str">
        <v>263</v>
      </c>
      <c r="J45">
        <v>1</v>
      </c>
      <c r="K45" s="1">
        <v>5.56</v>
      </c>
    </row>
    <row r="46" spans="6:11" x14ac:dyDescent="0.3">
      <c r="F46" t="str">
        <v>2025 Topps Match Attax Breakthrough Baller</v>
      </c>
      <c r="G46" t="str">
        <v>Victor Wembanyama</v>
      </c>
      <c r="H46" t="str">
        <v>-</v>
      </c>
      <c r="I46" t="str">
        <v>BB-VW</v>
      </c>
      <c r="J46">
        <v>4</v>
      </c>
      <c r="K46" s="1">
        <v>5.52</v>
      </c>
    </row>
    <row r="47" spans="6:11" x14ac:dyDescent="0.3">
      <c r="F47" t="str">
        <v>2025 Topps Match Attax Breakthrough Baller</v>
      </c>
      <c r="G47" t="str">
        <v>Victor Wembanyama</v>
      </c>
      <c r="H47" t="str">
        <v>-</v>
      </c>
      <c r="I47" t="str">
        <v>BB-VW</v>
      </c>
      <c r="J47">
        <v>4</v>
      </c>
      <c r="K47" s="1">
        <v>5.52</v>
      </c>
    </row>
    <row r="48" spans="6:11" x14ac:dyDescent="0.3">
      <c r="F48" t="str">
        <v>2025 Topps Match Attax Breakthrough Baller</v>
      </c>
      <c r="G48" t="str">
        <v>Victor Wembanyama</v>
      </c>
      <c r="H48" t="str">
        <v>-</v>
      </c>
      <c r="I48" t="str">
        <v>BB-VW</v>
      </c>
      <c r="J48">
        <v>4</v>
      </c>
      <c r="K48" s="1">
        <v>5.52</v>
      </c>
    </row>
    <row r="49" spans="6:11" x14ac:dyDescent="0.3">
      <c r="F49" t="str">
        <v>2025 Topps Match Attax Breakthrough Baller</v>
      </c>
      <c r="G49" t="str">
        <v>Victor Wembanyama</v>
      </c>
      <c r="H49" t="str">
        <v>-</v>
      </c>
      <c r="I49" t="str">
        <v>BB-VW</v>
      </c>
      <c r="J49">
        <v>4</v>
      </c>
      <c r="K49" s="1">
        <v>5.52</v>
      </c>
    </row>
    <row r="50" spans="6:11" x14ac:dyDescent="0.3">
      <c r="F50" t="str">
        <v>1996 Fleer Metal</v>
      </c>
      <c r="G50" t="str">
        <v>Allen Iverson</v>
      </c>
      <c r="H50" t="str">
        <v>-</v>
      </c>
      <c r="I50" t="str">
        <v>201</v>
      </c>
      <c r="J50">
        <v>1</v>
      </c>
      <c r="K50" s="1">
        <v>5.13</v>
      </c>
    </row>
    <row r="51" spans="6:11" x14ac:dyDescent="0.3">
      <c r="F51" t="str">
        <v>1991 Skybox</v>
      </c>
      <c r="G51" t="str">
        <v>Michael Jordan</v>
      </c>
      <c r="H51" t="str">
        <v>-</v>
      </c>
      <c r="I51" t="str">
        <v>39</v>
      </c>
      <c r="J51">
        <v>1</v>
      </c>
      <c r="K51" s="1">
        <v>5.07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0ACA-CD3C-45FA-8CB5-6896D875D8F5}">
  <sheetPr codeName="Sheet3"/>
  <dimension ref="A1:AO502"/>
  <sheetViews>
    <sheetView zoomScale="85" zoomScaleNormal="85" workbookViewId="0">
      <selection activeCell="B2" sqref="B2:B25"/>
    </sheetView>
  </sheetViews>
  <sheetFormatPr defaultRowHeight="14.4" outlineLevelCol="1" x14ac:dyDescent="0.3"/>
  <cols>
    <col min="1" max="1" width="3.6640625" bestFit="1" customWidth="1"/>
    <col min="2" max="2" width="48.5546875" bestFit="1" customWidth="1"/>
    <col min="3" max="3" width="6.88671875" bestFit="1" customWidth="1"/>
    <col min="4" max="4" width="4.109375" bestFit="1" customWidth="1"/>
    <col min="6" max="6" width="14" bestFit="1" customWidth="1"/>
    <col min="10" max="10" width="12.109375" bestFit="1" customWidth="1"/>
    <col min="11" max="12" width="8.88671875" customWidth="1"/>
    <col min="13" max="13" width="9.44140625" customWidth="1"/>
    <col min="14" max="14" width="13.44140625" bestFit="1" customWidth="1"/>
    <col min="15" max="16" width="7.6640625" customWidth="1"/>
    <col min="17" max="17" width="9" bestFit="1" customWidth="1"/>
    <col min="18" max="18" width="14" bestFit="1" customWidth="1"/>
    <col min="19" max="19" width="9.109375" hidden="1" customWidth="1" outlineLevel="1"/>
    <col min="20" max="20" width="9.109375" style="1" hidden="1" customWidth="1" outlineLevel="1"/>
    <col min="21" max="21" width="10.5546875" hidden="1" customWidth="1" outlineLevel="1"/>
    <col min="22" max="26" width="9.6640625" hidden="1" customWidth="1" outlineLevel="1"/>
    <col min="27" max="40" width="9.109375" hidden="1" customWidth="1" outlineLevel="1"/>
    <col min="41" max="41" width="9.109375" collapsed="1"/>
  </cols>
  <sheetData>
    <row r="1" spans="1:26" x14ac:dyDescent="0.3">
      <c r="B1" s="7" t="s">
        <v>21</v>
      </c>
      <c r="C1" s="7" t="s">
        <v>58</v>
      </c>
      <c r="D1" s="7" t="s">
        <v>59</v>
      </c>
      <c r="F1" t="s">
        <v>815</v>
      </c>
      <c r="G1" s="20">
        <v>0.13250000000000001</v>
      </c>
      <c r="J1" t="s">
        <v>459</v>
      </c>
      <c r="K1" s="43">
        <v>110302</v>
      </c>
      <c r="L1" s="44">
        <v>109922</v>
      </c>
      <c r="M1" s="44">
        <v>114784</v>
      </c>
      <c r="N1" s="45" t="s">
        <v>849</v>
      </c>
      <c r="Q1" s="1">
        <f>AVERAGE(_xlfn.XLOOKUP(G9,K1:N1,K5:N34))</f>
        <v>185.72800000000004</v>
      </c>
      <c r="R1" t="s">
        <v>810</v>
      </c>
      <c r="T1" s="24"/>
      <c r="U1" s="33"/>
      <c r="V1" s="33" t="s">
        <v>828</v>
      </c>
      <c r="W1" s="33" t="s">
        <v>829</v>
      </c>
      <c r="X1" s="33" t="s">
        <v>830</v>
      </c>
      <c r="Y1" s="33" t="s">
        <v>831</v>
      </c>
      <c r="Z1" s="34" t="s">
        <v>833</v>
      </c>
    </row>
    <row r="2" spans="1:26" x14ac:dyDescent="0.3">
      <c r="A2">
        <v>1</v>
      </c>
      <c r="B2" t="s">
        <v>60</v>
      </c>
      <c r="C2" t="s">
        <v>61</v>
      </c>
      <c r="F2" t="s">
        <v>816</v>
      </c>
      <c r="G2" s="20">
        <v>0</v>
      </c>
      <c r="J2" t="s">
        <v>813</v>
      </c>
      <c r="K2" s="46" t="s">
        <v>808</v>
      </c>
      <c r="L2" t="s">
        <v>839</v>
      </c>
      <c r="M2" t="s">
        <v>842</v>
      </c>
      <c r="N2" s="47" t="s">
        <v>507</v>
      </c>
      <c r="Q2" s="1">
        <f>_xlfn.STDEV.S(_xlfn.XLOOKUP(G9,K1:N1,K5:N34))</f>
        <v>5.928044627315848</v>
      </c>
      <c r="R2" t="s">
        <v>811</v>
      </c>
      <c r="T2" s="25" t="s">
        <v>2</v>
      </c>
      <c r="U2" t="s">
        <v>826</v>
      </c>
      <c r="V2" s="27" cm="1">
        <f t="array" ref="V2:Z2">TRANSPOSE(Q19:Q23)</f>
        <v>189.63</v>
      </c>
      <c r="W2" s="27">
        <v>190.5</v>
      </c>
      <c r="X2" s="27">
        <v>191.15</v>
      </c>
      <c r="Y2" s="27">
        <v>192.55</v>
      </c>
      <c r="Z2" s="28">
        <v>194.21</v>
      </c>
    </row>
    <row r="3" spans="1:26" x14ac:dyDescent="0.3">
      <c r="A3">
        <v>2</v>
      </c>
      <c r="B3" t="s">
        <v>20</v>
      </c>
      <c r="C3" t="s">
        <v>61</v>
      </c>
      <c r="F3" t="s">
        <v>3</v>
      </c>
      <c r="G3" s="21">
        <v>7.48</v>
      </c>
      <c r="J3" t="s">
        <v>844</v>
      </c>
      <c r="K3" s="46">
        <v>10</v>
      </c>
      <c r="L3">
        <v>10</v>
      </c>
      <c r="M3">
        <v>10</v>
      </c>
      <c r="N3" s="47" t="s">
        <v>507</v>
      </c>
      <c r="T3" s="25" t="str">
        <f t="shared" ref="T3:T66" si="0">IF(ROW()-2&lt;=$Q$4*$Q$27,"",IF(ROW()-2&gt;$Q$24*$Q$26,"",ROW()-2))</f>
        <v/>
      </c>
      <c r="U3" s="29" t="str">
        <f>IFERROR(_xlfn.NORM.DIST(T3,$Q$1,$Q$2,FALSE),"")</f>
        <v/>
      </c>
      <c r="V3" s="29" t="str">
        <f>IF($T3&gt;=V$2,$U3,-100)</f>
        <v/>
      </c>
      <c r="W3" s="29" t="str">
        <f t="shared" ref="W3:Z22" si="1">IF($T3&gt;=W$2,$U3,-100)</f>
        <v/>
      </c>
      <c r="X3" s="29" t="str">
        <f t="shared" si="1"/>
        <v/>
      </c>
      <c r="Y3" s="29" t="str">
        <f t="shared" si="1"/>
        <v/>
      </c>
      <c r="Z3" s="30" t="str">
        <f t="shared" si="1"/>
        <v/>
      </c>
    </row>
    <row r="4" spans="1:26" x14ac:dyDescent="0.3">
      <c r="A4">
        <v>3</v>
      </c>
      <c r="B4" t="s">
        <v>10</v>
      </c>
      <c r="C4" t="s">
        <v>61</v>
      </c>
      <c r="F4" t="s">
        <v>817</v>
      </c>
      <c r="G4" s="20">
        <v>0.10249999999999999</v>
      </c>
      <c r="J4" t="s">
        <v>711</v>
      </c>
      <c r="K4" s="46" t="s">
        <v>809</v>
      </c>
      <c r="L4" t="s">
        <v>838</v>
      </c>
      <c r="M4" t="s">
        <v>843</v>
      </c>
      <c r="N4" s="47" t="s">
        <v>507</v>
      </c>
      <c r="O4" s="35"/>
      <c r="P4" s="36">
        <v>0</v>
      </c>
      <c r="Q4" s="1">
        <f>MIN(_xlfn.XLOOKUP(G9,K1:N1,K5:N34))</f>
        <v>165</v>
      </c>
      <c r="R4" t="s">
        <v>834</v>
      </c>
      <c r="T4" s="25" t="str">
        <f t="shared" si="0"/>
        <v/>
      </c>
      <c r="U4" s="29" t="str">
        <f t="shared" ref="U4:U67" si="2">IFERROR(_xlfn.NORM.DIST(T4,$Q$1,$Q$2,FALSE),"")</f>
        <v/>
      </c>
      <c r="V4" s="29" t="str">
        <f t="shared" ref="V4:Z23" si="3">IF($T4&gt;=V$2,$U4,-100)</f>
        <v/>
      </c>
      <c r="W4" s="29" t="str">
        <f t="shared" si="1"/>
        <v/>
      </c>
      <c r="X4" s="29" t="str">
        <f t="shared" si="1"/>
        <v/>
      </c>
      <c r="Y4" s="29" t="str">
        <f t="shared" si="1"/>
        <v/>
      </c>
      <c r="Z4" s="30" t="str">
        <f t="shared" si="1"/>
        <v/>
      </c>
    </row>
    <row r="5" spans="1:26" x14ac:dyDescent="0.3">
      <c r="A5">
        <v>4</v>
      </c>
      <c r="B5" t="s">
        <v>62</v>
      </c>
      <c r="C5" t="s">
        <v>61</v>
      </c>
      <c r="F5" t="s">
        <v>818</v>
      </c>
      <c r="G5" s="19">
        <v>0.1</v>
      </c>
      <c r="H5" s="36"/>
      <c r="I5" s="36"/>
      <c r="J5" t="s">
        <v>814</v>
      </c>
      <c r="K5" s="48">
        <v>51</v>
      </c>
      <c r="L5" s="35">
        <v>74</v>
      </c>
      <c r="M5" s="35">
        <v>187.5</v>
      </c>
      <c r="N5" s="47" t="s">
        <v>507</v>
      </c>
      <c r="O5" s="35"/>
      <c r="P5" s="23">
        <v>4.9999999999998997E-2</v>
      </c>
      <c r="Q5" s="1">
        <f t="shared" ref="Q5:Q18" si="4">_xlfn.PERCENTILE.INC((_xlfn.XLOOKUP($G$9,$K$1:$N$1,$K$5:$N$34)),P5)</f>
        <v>179</v>
      </c>
      <c r="R5" t="s">
        <v>850</v>
      </c>
      <c r="T5" s="25" t="str">
        <f t="shared" si="0"/>
        <v/>
      </c>
      <c r="U5" s="29" t="str">
        <f t="shared" si="2"/>
        <v/>
      </c>
      <c r="V5" s="29" t="str">
        <f t="shared" si="3"/>
        <v/>
      </c>
      <c r="W5" s="29" t="str">
        <f t="shared" si="1"/>
        <v/>
      </c>
      <c r="X5" s="29" t="str">
        <f t="shared" si="1"/>
        <v/>
      </c>
      <c r="Y5" s="29" t="str">
        <f t="shared" si="1"/>
        <v/>
      </c>
      <c r="Z5" s="30" t="str">
        <f t="shared" si="1"/>
        <v/>
      </c>
    </row>
    <row r="6" spans="1:26" x14ac:dyDescent="0.3">
      <c r="A6">
        <v>5</v>
      </c>
      <c r="B6" t="s">
        <v>63</v>
      </c>
      <c r="C6" t="s">
        <v>61</v>
      </c>
      <c r="F6" t="s">
        <v>823</v>
      </c>
      <c r="G6" s="37">
        <f>+G1+G2+G4</f>
        <v>0.23499999999999999</v>
      </c>
      <c r="K6" s="48">
        <v>57</v>
      </c>
      <c r="L6" s="35">
        <v>73.67</v>
      </c>
      <c r="M6" s="35">
        <v>183.5</v>
      </c>
      <c r="N6" s="47" t="s">
        <v>507</v>
      </c>
      <c r="O6" s="35"/>
      <c r="P6" s="23">
        <v>9.9999999999999006E-2</v>
      </c>
      <c r="Q6" s="1">
        <f t="shared" si="4"/>
        <v>179.90899999999996</v>
      </c>
      <c r="R6" t="s">
        <v>851</v>
      </c>
      <c r="T6" s="25" t="str">
        <f t="shared" si="0"/>
        <v/>
      </c>
      <c r="U6" s="29" t="str">
        <f t="shared" si="2"/>
        <v/>
      </c>
      <c r="V6" s="29" t="str">
        <f t="shared" si="3"/>
        <v/>
      </c>
      <c r="W6" s="29" t="str">
        <f t="shared" si="1"/>
        <v/>
      </c>
      <c r="X6" s="29" t="str">
        <f t="shared" si="1"/>
        <v/>
      </c>
      <c r="Y6" s="29" t="str">
        <f t="shared" si="1"/>
        <v/>
      </c>
      <c r="Z6" s="30" t="str">
        <f t="shared" si="1"/>
        <v/>
      </c>
    </row>
    <row r="7" spans="1:26" x14ac:dyDescent="0.3">
      <c r="A7">
        <v>6</v>
      </c>
      <c r="B7" t="s">
        <v>64</v>
      </c>
      <c r="C7" t="s">
        <v>61</v>
      </c>
      <c r="F7" t="s">
        <v>819</v>
      </c>
      <c r="G7" s="19">
        <v>0.8</v>
      </c>
      <c r="H7" s="1">
        <f>_xlfn.XLOOKUP(G7,P19:P25,Q19:Q25,)</f>
        <v>190.5</v>
      </c>
      <c r="I7" s="1"/>
      <c r="K7" s="48">
        <v>84.99</v>
      </c>
      <c r="L7" s="35">
        <v>79.88</v>
      </c>
      <c r="M7" s="35">
        <v>190</v>
      </c>
      <c r="N7" s="47" t="s">
        <v>507</v>
      </c>
      <c r="O7" s="35"/>
      <c r="P7" s="23">
        <v>0.149999999999999</v>
      </c>
      <c r="Q7" s="1">
        <f t="shared" si="4"/>
        <v>180.18149999999997</v>
      </c>
      <c r="R7" t="s">
        <v>852</v>
      </c>
      <c r="T7" s="25" t="str">
        <f t="shared" si="0"/>
        <v/>
      </c>
      <c r="U7" s="29" t="str">
        <f t="shared" si="2"/>
        <v/>
      </c>
      <c r="V7" s="29" t="str">
        <f t="shared" si="3"/>
        <v/>
      </c>
      <c r="W7" s="29" t="str">
        <f t="shared" si="1"/>
        <v/>
      </c>
      <c r="X7" s="29" t="str">
        <f t="shared" si="1"/>
        <v/>
      </c>
      <c r="Y7" s="29" t="str">
        <f t="shared" si="1"/>
        <v/>
      </c>
      <c r="Z7" s="30" t="str">
        <f t="shared" si="1"/>
        <v/>
      </c>
    </row>
    <row r="8" spans="1:26" x14ac:dyDescent="0.3">
      <c r="A8">
        <v>7</v>
      </c>
      <c r="B8" t="s">
        <v>65</v>
      </c>
      <c r="C8" t="s">
        <v>61</v>
      </c>
      <c r="K8" s="48">
        <v>68</v>
      </c>
      <c r="L8" s="35">
        <v>110.5</v>
      </c>
      <c r="M8" s="35">
        <v>186</v>
      </c>
      <c r="N8" s="47" t="s">
        <v>507</v>
      </c>
      <c r="O8" s="35"/>
      <c r="P8" s="23">
        <v>0.2</v>
      </c>
      <c r="Q8" s="1">
        <f t="shared" si="4"/>
        <v>182.108</v>
      </c>
      <c r="R8" t="s">
        <v>853</v>
      </c>
      <c r="T8" s="25" t="str">
        <f t="shared" si="0"/>
        <v/>
      </c>
      <c r="U8" s="29" t="str">
        <f t="shared" si="2"/>
        <v/>
      </c>
      <c r="V8" s="29" t="str">
        <f t="shared" si="3"/>
        <v/>
      </c>
      <c r="W8" s="29" t="str">
        <f t="shared" si="1"/>
        <v/>
      </c>
      <c r="X8" s="29" t="str">
        <f t="shared" si="1"/>
        <v/>
      </c>
      <c r="Y8" s="29" t="str">
        <f t="shared" si="1"/>
        <v/>
      </c>
      <c r="Z8" s="30" t="str">
        <f t="shared" si="1"/>
        <v/>
      </c>
    </row>
    <row r="9" spans="1:26" x14ac:dyDescent="0.3">
      <c r="A9">
        <v>8</v>
      </c>
      <c r="B9" t="s">
        <v>66</v>
      </c>
      <c r="C9" t="s">
        <v>61</v>
      </c>
      <c r="F9" t="s">
        <v>821</v>
      </c>
      <c r="G9" s="22">
        <v>114784</v>
      </c>
      <c r="K9" s="48">
        <v>56</v>
      </c>
      <c r="L9" s="35">
        <v>70</v>
      </c>
      <c r="M9" s="35">
        <v>186.78</v>
      </c>
      <c r="N9" s="47" t="s">
        <v>507</v>
      </c>
      <c r="O9" s="35"/>
      <c r="P9" s="23">
        <v>0.25</v>
      </c>
      <c r="Q9" s="1">
        <f t="shared" si="4"/>
        <v>182.75749999999999</v>
      </c>
      <c r="R9" t="s">
        <v>854</v>
      </c>
      <c r="T9" s="25" t="str">
        <f t="shared" si="0"/>
        <v/>
      </c>
      <c r="U9" s="29" t="str">
        <f t="shared" si="2"/>
        <v/>
      </c>
      <c r="V9" s="29" t="str">
        <f t="shared" si="3"/>
        <v/>
      </c>
      <c r="W9" s="29" t="str">
        <f t="shared" si="1"/>
        <v/>
      </c>
      <c r="X9" s="29" t="str">
        <f t="shared" si="1"/>
        <v/>
      </c>
      <c r="Y9" s="29" t="str">
        <f t="shared" si="1"/>
        <v/>
      </c>
      <c r="Z9" s="30" t="str">
        <f t="shared" si="1"/>
        <v/>
      </c>
    </row>
    <row r="10" spans="1:26" x14ac:dyDescent="0.3">
      <c r="A10">
        <v>9</v>
      </c>
      <c r="B10" t="s">
        <v>67</v>
      </c>
      <c r="C10" t="s">
        <v>61</v>
      </c>
      <c r="D10" t="s">
        <v>61</v>
      </c>
      <c r="K10" s="48">
        <v>51</v>
      </c>
      <c r="L10" s="35">
        <v>98</v>
      </c>
      <c r="M10" s="35">
        <v>186</v>
      </c>
      <c r="N10" s="47" t="s">
        <v>507</v>
      </c>
      <c r="O10" s="35"/>
      <c r="P10" s="23">
        <v>0.3</v>
      </c>
      <c r="Q10" s="1">
        <f t="shared" si="4"/>
        <v>183.5</v>
      </c>
      <c r="R10" t="s">
        <v>855</v>
      </c>
      <c r="T10" s="25" t="str">
        <f t="shared" si="0"/>
        <v/>
      </c>
      <c r="U10" s="29" t="str">
        <f t="shared" si="2"/>
        <v/>
      </c>
      <c r="V10" s="29" t="str">
        <f t="shared" si="3"/>
        <v/>
      </c>
      <c r="W10" s="29" t="str">
        <f t="shared" si="1"/>
        <v/>
      </c>
      <c r="X10" s="29" t="str">
        <f t="shared" si="1"/>
        <v/>
      </c>
      <c r="Y10" s="29" t="str">
        <f t="shared" si="1"/>
        <v/>
      </c>
      <c r="Z10" s="30" t="str">
        <f t="shared" si="1"/>
        <v/>
      </c>
    </row>
    <row r="11" spans="1:26" x14ac:dyDescent="0.3">
      <c r="A11">
        <v>10</v>
      </c>
      <c r="B11" t="s">
        <v>68</v>
      </c>
      <c r="C11" t="s">
        <v>61</v>
      </c>
      <c r="D11" t="s">
        <v>61</v>
      </c>
      <c r="G11" s="42" t="s">
        <v>848</v>
      </c>
      <c r="H11" s="42" t="s">
        <v>845</v>
      </c>
      <c r="I11" s="42" t="s">
        <v>837</v>
      </c>
      <c r="J11" s="35"/>
      <c r="K11" s="48">
        <v>65</v>
      </c>
      <c r="L11" s="35">
        <v>85</v>
      </c>
      <c r="M11" s="35">
        <v>183.5</v>
      </c>
      <c r="N11" s="47" t="s">
        <v>507</v>
      </c>
      <c r="O11" s="35"/>
      <c r="P11" s="23">
        <v>0.35</v>
      </c>
      <c r="Q11" s="1">
        <f t="shared" si="4"/>
        <v>183.5</v>
      </c>
      <c r="R11" t="s">
        <v>856</v>
      </c>
      <c r="T11" s="25" t="str">
        <f t="shared" si="0"/>
        <v/>
      </c>
      <c r="U11" s="29" t="str">
        <f t="shared" si="2"/>
        <v/>
      </c>
      <c r="V11" s="29" t="str">
        <f t="shared" si="3"/>
        <v/>
      </c>
      <c r="W11" s="29" t="str">
        <f t="shared" si="1"/>
        <v/>
      </c>
      <c r="X11" s="29" t="str">
        <f t="shared" si="1"/>
        <v/>
      </c>
      <c r="Y11" s="29" t="str">
        <f t="shared" si="1"/>
        <v/>
      </c>
      <c r="Z11" s="30" t="str">
        <f t="shared" si="1"/>
        <v/>
      </c>
    </row>
    <row r="12" spans="1:26" x14ac:dyDescent="0.3">
      <c r="A12">
        <v>11</v>
      </c>
      <c r="B12" t="s">
        <v>69</v>
      </c>
      <c r="C12" t="s">
        <v>61</v>
      </c>
      <c r="D12" t="s">
        <v>61</v>
      </c>
      <c r="F12" t="s">
        <v>836</v>
      </c>
      <c r="G12" s="35">
        <f>_xlfn.XLOOKUP(G7,P19:P25,Q19:Q25,)</f>
        <v>190.5</v>
      </c>
      <c r="H12" s="39"/>
      <c r="I12" s="39"/>
      <c r="J12" s="35"/>
      <c r="K12" s="48">
        <v>55</v>
      </c>
      <c r="L12" s="35">
        <v>85</v>
      </c>
      <c r="M12" s="35">
        <v>183.5</v>
      </c>
      <c r="N12" s="47" t="s">
        <v>507</v>
      </c>
      <c r="O12" s="35"/>
      <c r="P12" s="23">
        <v>0.4</v>
      </c>
      <c r="Q12" s="1">
        <f t="shared" si="4"/>
        <v>185</v>
      </c>
      <c r="R12" t="s">
        <v>857</v>
      </c>
      <c r="T12" s="25" t="str">
        <f t="shared" si="0"/>
        <v/>
      </c>
      <c r="U12" s="29" t="str">
        <f t="shared" si="2"/>
        <v/>
      </c>
      <c r="V12" s="29" t="str">
        <f t="shared" si="3"/>
        <v/>
      </c>
      <c r="W12" s="29" t="str">
        <f t="shared" si="1"/>
        <v/>
      </c>
      <c r="X12" s="29" t="str">
        <f t="shared" si="1"/>
        <v/>
      </c>
      <c r="Y12" s="29" t="str">
        <f t="shared" si="1"/>
        <v/>
      </c>
      <c r="Z12" s="30" t="str">
        <f t="shared" si="1"/>
        <v/>
      </c>
    </row>
    <row r="13" spans="1:26" x14ac:dyDescent="0.3">
      <c r="A13">
        <v>12</v>
      </c>
      <c r="B13" t="s">
        <v>70</v>
      </c>
      <c r="C13" t="s">
        <v>61</v>
      </c>
      <c r="F13" t="s">
        <v>3</v>
      </c>
      <c r="G13" s="35">
        <f>-G3</f>
        <v>-7.48</v>
      </c>
      <c r="H13" s="40">
        <f>+G13</f>
        <v>-7.48</v>
      </c>
      <c r="I13" s="40"/>
      <c r="J13" s="35"/>
      <c r="K13" s="48">
        <v>63</v>
      </c>
      <c r="L13" s="35">
        <v>96</v>
      </c>
      <c r="M13" s="35">
        <v>183.5</v>
      </c>
      <c r="N13" s="47" t="s">
        <v>507</v>
      </c>
      <c r="O13" s="35"/>
      <c r="P13" s="23">
        <v>0.45</v>
      </c>
      <c r="Q13" s="1">
        <f t="shared" si="4"/>
        <v>186.03899999999999</v>
      </c>
      <c r="R13" t="s">
        <v>858</v>
      </c>
      <c r="T13" s="25" t="str">
        <f t="shared" si="0"/>
        <v/>
      </c>
      <c r="U13" s="29" t="str">
        <f t="shared" si="2"/>
        <v/>
      </c>
      <c r="V13" s="29" t="str">
        <f t="shared" si="3"/>
        <v/>
      </c>
      <c r="W13" s="29" t="str">
        <f t="shared" si="1"/>
        <v/>
      </c>
      <c r="X13" s="29" t="str">
        <f t="shared" si="1"/>
        <v/>
      </c>
      <c r="Y13" s="29" t="str">
        <f t="shared" si="1"/>
        <v/>
      </c>
      <c r="Z13" s="30" t="str">
        <f t="shared" si="1"/>
        <v/>
      </c>
    </row>
    <row r="14" spans="1:26" x14ac:dyDescent="0.3">
      <c r="A14">
        <v>13</v>
      </c>
      <c r="B14" t="s">
        <v>71</v>
      </c>
      <c r="C14" t="s">
        <v>61</v>
      </c>
      <c r="D14" t="s">
        <v>61</v>
      </c>
      <c r="F14" t="s">
        <v>817</v>
      </c>
      <c r="G14" s="35">
        <f>(-H18+G13)*G4</f>
        <v>-13.85124206418919</v>
      </c>
      <c r="H14" s="40">
        <f>-(H18-H13)*G4</f>
        <v>-13.85124206418919</v>
      </c>
      <c r="I14" s="40"/>
      <c r="J14" s="35"/>
      <c r="K14" s="48">
        <v>60</v>
      </c>
      <c r="L14" s="35">
        <v>77</v>
      </c>
      <c r="M14" s="35">
        <v>180.5</v>
      </c>
      <c r="N14" s="47" t="s">
        <v>507</v>
      </c>
      <c r="O14" s="35"/>
      <c r="P14" s="23">
        <v>0.5</v>
      </c>
      <c r="Q14" s="1">
        <f t="shared" si="4"/>
        <v>186.89</v>
      </c>
      <c r="R14" t="s">
        <v>859</v>
      </c>
      <c r="T14" s="25" t="str">
        <f t="shared" si="0"/>
        <v/>
      </c>
      <c r="U14" s="29" t="str">
        <f t="shared" si="2"/>
        <v/>
      </c>
      <c r="V14" s="29" t="str">
        <f t="shared" si="3"/>
        <v/>
      </c>
      <c r="W14" s="29" t="str">
        <f t="shared" si="1"/>
        <v/>
      </c>
      <c r="X14" s="29" t="str">
        <f t="shared" si="1"/>
        <v/>
      </c>
      <c r="Y14" s="29" t="str">
        <f t="shared" si="1"/>
        <v/>
      </c>
      <c r="Z14" s="30" t="str">
        <f t="shared" si="1"/>
        <v/>
      </c>
    </row>
    <row r="15" spans="1:26" x14ac:dyDescent="0.3">
      <c r="A15">
        <v>14</v>
      </c>
      <c r="B15" t="s">
        <v>72</v>
      </c>
      <c r="C15" t="s">
        <v>61</v>
      </c>
      <c r="D15" t="s">
        <v>61</v>
      </c>
      <c r="F15" t="s">
        <v>815</v>
      </c>
      <c r="G15" s="35">
        <f>-((G12-G13)+((G12-G13)*G4))*G1</f>
        <v>-28.921165875</v>
      </c>
      <c r="H15" s="40"/>
      <c r="I15" s="40">
        <f>G15</f>
        <v>-28.921165875</v>
      </c>
      <c r="J15" s="35"/>
      <c r="K15" s="48">
        <v>90</v>
      </c>
      <c r="L15" s="35">
        <v>100</v>
      </c>
      <c r="M15" s="35">
        <v>188.52</v>
      </c>
      <c r="N15" s="47" t="s">
        <v>507</v>
      </c>
      <c r="O15" s="35"/>
      <c r="P15" s="23">
        <v>0.55000000000000004</v>
      </c>
      <c r="Q15" s="1">
        <f t="shared" si="4"/>
        <v>187.47499999999999</v>
      </c>
      <c r="R15" t="s">
        <v>860</v>
      </c>
      <c r="T15" s="25" t="str">
        <f t="shared" si="0"/>
        <v/>
      </c>
      <c r="U15" s="29" t="str">
        <f t="shared" si="2"/>
        <v/>
      </c>
      <c r="V15" s="29" t="str">
        <f t="shared" si="3"/>
        <v/>
      </c>
      <c r="W15" s="29" t="str">
        <f t="shared" si="1"/>
        <v/>
      </c>
      <c r="X15" s="29" t="str">
        <f t="shared" si="1"/>
        <v/>
      </c>
      <c r="Y15" s="29" t="str">
        <f t="shared" si="1"/>
        <v/>
      </c>
      <c r="Z15" s="30" t="str">
        <f t="shared" si="1"/>
        <v/>
      </c>
    </row>
    <row r="16" spans="1:26" x14ac:dyDescent="0.3">
      <c r="A16">
        <v>15</v>
      </c>
      <c r="B16" t="s">
        <v>73</v>
      </c>
      <c r="C16" t="s">
        <v>61</v>
      </c>
      <c r="D16" t="s">
        <v>61</v>
      </c>
      <c r="F16" t="s">
        <v>816</v>
      </c>
      <c r="G16" s="35">
        <f>-G12*G2</f>
        <v>0</v>
      </c>
      <c r="H16" s="41"/>
      <c r="I16" s="41"/>
      <c r="J16" s="35"/>
      <c r="K16" s="48">
        <v>79.989999999999995</v>
      </c>
      <c r="L16" s="35">
        <v>74.989999999999995</v>
      </c>
      <c r="M16" s="35">
        <v>188</v>
      </c>
      <c r="N16" s="47" t="s">
        <v>507</v>
      </c>
      <c r="O16" s="35"/>
      <c r="P16" s="23">
        <v>0.6</v>
      </c>
      <c r="Q16" s="1">
        <f t="shared" si="4"/>
        <v>187.7</v>
      </c>
      <c r="R16" t="s">
        <v>861</v>
      </c>
      <c r="T16" s="25" t="str">
        <f t="shared" si="0"/>
        <v/>
      </c>
      <c r="U16" s="29" t="str">
        <f t="shared" si="2"/>
        <v/>
      </c>
      <c r="V16" s="29" t="str">
        <f t="shared" si="3"/>
        <v/>
      </c>
      <c r="W16" s="29" t="str">
        <f t="shared" si="1"/>
        <v/>
      </c>
      <c r="X16" s="29" t="str">
        <f t="shared" si="1"/>
        <v/>
      </c>
      <c r="Y16" s="29" t="str">
        <f t="shared" si="1"/>
        <v/>
      </c>
      <c r="Z16" s="30" t="str">
        <f t="shared" si="1"/>
        <v/>
      </c>
    </row>
    <row r="17" spans="1:26" x14ac:dyDescent="0.3">
      <c r="A17">
        <v>16</v>
      </c>
      <c r="B17" t="s">
        <v>74</v>
      </c>
      <c r="C17" t="s">
        <v>61</v>
      </c>
      <c r="F17" t="s">
        <v>846</v>
      </c>
      <c r="G17" s="35">
        <f>SUM(G12:G16)</f>
        <v>140.2475920608108</v>
      </c>
      <c r="I17" s="35"/>
      <c r="J17" s="35"/>
      <c r="K17" s="48">
        <v>59</v>
      </c>
      <c r="L17" s="35">
        <v>96</v>
      </c>
      <c r="M17" s="35">
        <v>191.5</v>
      </c>
      <c r="N17" s="47" t="s">
        <v>507</v>
      </c>
      <c r="O17" s="35"/>
      <c r="P17" s="23">
        <v>0.65</v>
      </c>
      <c r="Q17" s="1">
        <f t="shared" si="4"/>
        <v>188</v>
      </c>
      <c r="R17" t="s">
        <v>862</v>
      </c>
      <c r="T17" s="25" t="str">
        <f t="shared" si="0"/>
        <v/>
      </c>
      <c r="U17" s="29" t="str">
        <f t="shared" si="2"/>
        <v/>
      </c>
      <c r="V17" s="29" t="str">
        <f t="shared" si="3"/>
        <v/>
      </c>
      <c r="W17" s="29" t="str">
        <f t="shared" si="1"/>
        <v/>
      </c>
      <c r="X17" s="29" t="str">
        <f t="shared" si="1"/>
        <v/>
      </c>
      <c r="Y17" s="29" t="str">
        <f t="shared" si="1"/>
        <v/>
      </c>
      <c r="Z17" s="30" t="str">
        <f t="shared" si="1"/>
        <v/>
      </c>
    </row>
    <row r="18" spans="1:26" x14ac:dyDescent="0.3">
      <c r="A18">
        <v>17</v>
      </c>
      <c r="B18" t="s">
        <v>19</v>
      </c>
      <c r="D18" t="s">
        <v>61</v>
      </c>
      <c r="F18" t="s">
        <v>822</v>
      </c>
      <c r="G18" s="35">
        <f>+G17/(1+G5)</f>
        <v>127.49781096437344</v>
      </c>
      <c r="H18" s="4">
        <v>127.65406891891892</v>
      </c>
      <c r="I18" s="35">
        <f>G18-H18</f>
        <v>-0.15625795454548097</v>
      </c>
      <c r="J18" s="35"/>
      <c r="K18" s="48">
        <v>51</v>
      </c>
      <c r="L18" s="35">
        <v>89.99</v>
      </c>
      <c r="M18" s="35">
        <v>190.5</v>
      </c>
      <c r="N18" s="47" t="s">
        <v>507</v>
      </c>
      <c r="O18" s="35"/>
      <c r="P18" s="23">
        <v>0.7</v>
      </c>
      <c r="Q18" s="1">
        <f t="shared" si="4"/>
        <v>188.15600000000001</v>
      </c>
      <c r="R18" t="s">
        <v>863</v>
      </c>
      <c r="T18" s="25" t="str">
        <f t="shared" si="0"/>
        <v/>
      </c>
      <c r="U18" s="29" t="str">
        <f t="shared" si="2"/>
        <v/>
      </c>
      <c r="V18" s="29" t="str">
        <f t="shared" si="3"/>
        <v/>
      </c>
      <c r="W18" s="29" t="str">
        <f t="shared" si="1"/>
        <v/>
      </c>
      <c r="X18" s="29" t="str">
        <f t="shared" si="1"/>
        <v/>
      </c>
      <c r="Y18" s="29" t="str">
        <f t="shared" si="1"/>
        <v/>
      </c>
      <c r="Z18" s="30" t="str">
        <f t="shared" si="1"/>
        <v/>
      </c>
    </row>
    <row r="19" spans="1:26" x14ac:dyDescent="0.3">
      <c r="A19">
        <v>18</v>
      </c>
      <c r="B19" t="s">
        <v>75</v>
      </c>
      <c r="G19" s="35"/>
      <c r="I19" s="35"/>
      <c r="J19" s="35"/>
      <c r="K19" s="48">
        <v>75</v>
      </c>
      <c r="L19" s="35">
        <v>69</v>
      </c>
      <c r="M19" s="35">
        <v>188</v>
      </c>
      <c r="N19" s="47" t="s">
        <v>507</v>
      </c>
      <c r="O19" s="35"/>
      <c r="P19" s="23">
        <v>0.75</v>
      </c>
      <c r="Q19" s="1">
        <f>_xlfn.PERCENTILE.INC((_xlfn.XLOOKUP($G$9,$K$1:$N$1,$K$5:$N$34)),P19)</f>
        <v>189.63</v>
      </c>
      <c r="R19" t="s">
        <v>820</v>
      </c>
      <c r="T19" s="25" t="str">
        <f t="shared" si="0"/>
        <v/>
      </c>
      <c r="U19" s="29" t="str">
        <f t="shared" si="2"/>
        <v/>
      </c>
      <c r="V19" s="29" t="str">
        <f t="shared" si="3"/>
        <v/>
      </c>
      <c r="W19" s="29" t="str">
        <f t="shared" si="1"/>
        <v/>
      </c>
      <c r="X19" s="29" t="str">
        <f t="shared" si="1"/>
        <v/>
      </c>
      <c r="Y19" s="29" t="str">
        <f t="shared" si="1"/>
        <v/>
      </c>
      <c r="Z19" s="30" t="str">
        <f t="shared" si="1"/>
        <v/>
      </c>
    </row>
    <row r="20" spans="1:26" x14ac:dyDescent="0.3">
      <c r="A20">
        <v>19</v>
      </c>
      <c r="B20" t="s">
        <v>76</v>
      </c>
      <c r="F20" t="s">
        <v>835</v>
      </c>
      <c r="G20" s="35">
        <f>+G17-G18</f>
        <v>12.74978109643736</v>
      </c>
      <c r="I20" s="35"/>
      <c r="J20" s="35"/>
      <c r="K20" s="48">
        <v>54.05</v>
      </c>
      <c r="L20" s="35">
        <v>63</v>
      </c>
      <c r="M20" s="35">
        <v>194.5</v>
      </c>
      <c r="N20" s="47" t="s">
        <v>507</v>
      </c>
      <c r="O20" s="35"/>
      <c r="P20" s="23">
        <v>0.8</v>
      </c>
      <c r="Q20" s="1">
        <f>_xlfn.PERCENTILE.INC((_xlfn.XLOOKUP($G$9,$K$1:$N$1,$K$5:$N$34)),P20)</f>
        <v>190.5</v>
      </c>
      <c r="R20" t="s">
        <v>824</v>
      </c>
      <c r="T20" s="25" t="str">
        <f t="shared" si="0"/>
        <v/>
      </c>
      <c r="U20" s="29" t="str">
        <f t="shared" si="2"/>
        <v/>
      </c>
      <c r="V20" s="29" t="str">
        <f t="shared" si="3"/>
        <v/>
      </c>
      <c r="W20" s="29" t="str">
        <f t="shared" si="1"/>
        <v/>
      </c>
      <c r="X20" s="29" t="str">
        <f t="shared" si="1"/>
        <v/>
      </c>
      <c r="Y20" s="29" t="str">
        <f t="shared" si="1"/>
        <v/>
      </c>
      <c r="Z20" s="30" t="str">
        <f t="shared" si="1"/>
        <v/>
      </c>
    </row>
    <row r="21" spans="1:26" x14ac:dyDescent="0.3">
      <c r="A21">
        <v>20</v>
      </c>
      <c r="B21" t="s">
        <v>77</v>
      </c>
      <c r="F21" t="s">
        <v>847</v>
      </c>
      <c r="G21" s="52">
        <f>+G20/G18</f>
        <v>0.10000000000000012</v>
      </c>
      <c r="I21" s="35"/>
      <c r="J21" s="35"/>
      <c r="K21" s="48">
        <v>69</v>
      </c>
      <c r="L21" s="35">
        <v>66</v>
      </c>
      <c r="M21" s="35">
        <v>193</v>
      </c>
      <c r="N21" s="47" t="s">
        <v>507</v>
      </c>
      <c r="O21" s="35"/>
      <c r="P21" s="23">
        <v>0.85</v>
      </c>
      <c r="Q21" s="1">
        <f>_xlfn.PERCENTILE.INC((_xlfn.XLOOKUP($G$9,$K$1:$N$1,$K$5:$N$34)),P21)</f>
        <v>191.15</v>
      </c>
      <c r="R21" t="s">
        <v>825</v>
      </c>
      <c r="T21" s="25" t="str">
        <f t="shared" si="0"/>
        <v/>
      </c>
      <c r="U21" s="29" t="str">
        <f t="shared" si="2"/>
        <v/>
      </c>
      <c r="V21" s="29" t="str">
        <f t="shared" si="3"/>
        <v/>
      </c>
      <c r="W21" s="29" t="str">
        <f t="shared" si="1"/>
        <v/>
      </c>
      <c r="X21" s="29" t="str">
        <f t="shared" si="1"/>
        <v/>
      </c>
      <c r="Y21" s="29" t="str">
        <f t="shared" si="1"/>
        <v/>
      </c>
      <c r="Z21" s="30" t="str">
        <f t="shared" si="1"/>
        <v/>
      </c>
    </row>
    <row r="22" spans="1:26" x14ac:dyDescent="0.3">
      <c r="A22">
        <v>21</v>
      </c>
      <c r="B22" t="s">
        <v>78</v>
      </c>
      <c r="I22" s="35"/>
      <c r="J22" s="35"/>
      <c r="K22" s="48">
        <v>78</v>
      </c>
      <c r="L22" s="35">
        <v>77</v>
      </c>
      <c r="M22" s="35">
        <v>193.5</v>
      </c>
      <c r="N22" s="47" t="s">
        <v>507</v>
      </c>
      <c r="O22" s="35"/>
      <c r="P22" s="23">
        <v>0.9</v>
      </c>
      <c r="Q22" s="1">
        <f>_xlfn.PERCENTILE.INC((_xlfn.XLOOKUP($G$9,$K$1:$N$1,$K$5:$N$34)),P22)</f>
        <v>192.55</v>
      </c>
      <c r="R22" t="s">
        <v>812</v>
      </c>
      <c r="T22" s="25" t="str">
        <f t="shared" si="0"/>
        <v/>
      </c>
      <c r="U22" s="29" t="str">
        <f t="shared" si="2"/>
        <v/>
      </c>
      <c r="V22" s="29" t="str">
        <f t="shared" si="3"/>
        <v/>
      </c>
      <c r="W22" s="29" t="str">
        <f t="shared" si="1"/>
        <v/>
      </c>
      <c r="X22" s="29" t="str">
        <f t="shared" si="1"/>
        <v/>
      </c>
      <c r="Y22" s="29" t="str">
        <f t="shared" si="1"/>
        <v/>
      </c>
      <c r="Z22" s="30" t="str">
        <f t="shared" si="1"/>
        <v/>
      </c>
    </row>
    <row r="23" spans="1:26" x14ac:dyDescent="0.3">
      <c r="A23">
        <v>22</v>
      </c>
      <c r="B23" t="s">
        <v>79</v>
      </c>
      <c r="G23" s="35"/>
      <c r="I23" s="35"/>
      <c r="J23" s="35"/>
      <c r="K23" s="48">
        <v>83.83</v>
      </c>
      <c r="L23" s="35">
        <v>71</v>
      </c>
      <c r="M23" s="35">
        <v>192.5</v>
      </c>
      <c r="N23" s="47" t="s">
        <v>507</v>
      </c>
      <c r="O23" s="35"/>
      <c r="P23" s="36">
        <v>0.99</v>
      </c>
      <c r="Q23" s="1">
        <f>_xlfn.PERCENTILE.INC((_xlfn.XLOOKUP($G$9,$K$1:$N$1,$K$5:$N$34)),P23)</f>
        <v>194.21</v>
      </c>
      <c r="R23" t="s">
        <v>832</v>
      </c>
      <c r="T23" s="25" t="str">
        <f t="shared" si="0"/>
        <v/>
      </c>
      <c r="U23" s="29" t="str">
        <f t="shared" si="2"/>
        <v/>
      </c>
      <c r="V23" s="29" t="str">
        <f t="shared" si="3"/>
        <v/>
      </c>
      <c r="W23" s="29" t="str">
        <f t="shared" si="3"/>
        <v/>
      </c>
      <c r="X23" s="29" t="str">
        <f t="shared" si="3"/>
        <v/>
      </c>
      <c r="Y23" s="29" t="str">
        <f t="shared" si="3"/>
        <v/>
      </c>
      <c r="Z23" s="30" t="str">
        <f t="shared" si="3"/>
        <v/>
      </c>
    </row>
    <row r="24" spans="1:26" x14ac:dyDescent="0.3">
      <c r="A24">
        <v>23</v>
      </c>
      <c r="B24" t="s">
        <v>80</v>
      </c>
      <c r="G24" s="35"/>
      <c r="H24" s="35"/>
      <c r="I24" s="35"/>
      <c r="J24" s="35"/>
      <c r="K24" s="48">
        <v>70</v>
      </c>
      <c r="L24" s="35">
        <v>75</v>
      </c>
      <c r="M24" s="35">
        <v>190.5</v>
      </c>
      <c r="N24" s="47" t="s">
        <v>507</v>
      </c>
      <c r="O24" s="35"/>
      <c r="P24" s="36">
        <v>1</v>
      </c>
      <c r="Q24" s="1">
        <f>MAX(_xlfn.XLOOKUP(G9,K1:N1,K5:N34))</f>
        <v>194.5</v>
      </c>
      <c r="R24" t="s">
        <v>827</v>
      </c>
      <c r="T24" s="25" t="str">
        <f t="shared" si="0"/>
        <v/>
      </c>
      <c r="U24" s="29" t="str">
        <f t="shared" si="2"/>
        <v/>
      </c>
      <c r="V24" s="29" t="str">
        <f t="shared" ref="V24:Z43" si="5">IF($T24&gt;=V$2,$U24,-100)</f>
        <v/>
      </c>
      <c r="W24" s="29" t="str">
        <f t="shared" si="5"/>
        <v/>
      </c>
      <c r="X24" s="29" t="str">
        <f t="shared" si="5"/>
        <v/>
      </c>
      <c r="Y24" s="29" t="str">
        <f t="shared" si="5"/>
        <v/>
      </c>
      <c r="Z24" s="30" t="str">
        <f t="shared" si="5"/>
        <v/>
      </c>
    </row>
    <row r="25" spans="1:26" x14ac:dyDescent="0.3">
      <c r="A25">
        <v>24</v>
      </c>
      <c r="B25" t="s">
        <v>81</v>
      </c>
      <c r="D25" t="s">
        <v>61</v>
      </c>
      <c r="G25" s="35"/>
      <c r="H25" s="35"/>
      <c r="I25" s="35"/>
      <c r="J25" s="35"/>
      <c r="K25" s="48">
        <v>77</v>
      </c>
      <c r="L25" s="35">
        <v>79.989999999999995</v>
      </c>
      <c r="M25" s="35">
        <v>165</v>
      </c>
      <c r="N25" s="47" t="s">
        <v>507</v>
      </c>
      <c r="O25" s="35"/>
      <c r="T25" s="25" t="str">
        <f t="shared" si="0"/>
        <v/>
      </c>
      <c r="U25" s="29" t="str">
        <f t="shared" si="2"/>
        <v/>
      </c>
      <c r="V25" s="29" t="str">
        <f t="shared" si="5"/>
        <v/>
      </c>
      <c r="W25" s="29" t="str">
        <f t="shared" si="5"/>
        <v/>
      </c>
      <c r="X25" s="29" t="str">
        <f t="shared" si="5"/>
        <v/>
      </c>
      <c r="Y25" s="29" t="str">
        <f t="shared" si="5"/>
        <v/>
      </c>
      <c r="Z25" s="30" t="str">
        <f t="shared" si="5"/>
        <v/>
      </c>
    </row>
    <row r="26" spans="1:26" x14ac:dyDescent="0.3">
      <c r="G26" s="35"/>
      <c r="H26" s="35"/>
      <c r="I26" s="35"/>
      <c r="J26" s="35"/>
      <c r="K26" s="48">
        <v>69.989999999999995</v>
      </c>
      <c r="L26" s="35">
        <v>70.989999999999995</v>
      </c>
      <c r="M26" s="35">
        <v>187.5</v>
      </c>
      <c r="N26" s="47" t="s">
        <v>507</v>
      </c>
      <c r="O26" s="35"/>
      <c r="P26" s="35"/>
      <c r="Q26" s="38">
        <v>1.05</v>
      </c>
      <c r="R26" t="s">
        <v>840</v>
      </c>
      <c r="T26" s="25" t="str">
        <f t="shared" si="0"/>
        <v/>
      </c>
      <c r="U26" s="29" t="str">
        <f t="shared" si="2"/>
        <v/>
      </c>
      <c r="V26" s="29" t="str">
        <f t="shared" si="5"/>
        <v/>
      </c>
      <c r="W26" s="29" t="str">
        <f t="shared" si="5"/>
        <v/>
      </c>
      <c r="X26" s="29" t="str">
        <f t="shared" si="5"/>
        <v/>
      </c>
      <c r="Y26" s="29" t="str">
        <f t="shared" si="5"/>
        <v/>
      </c>
      <c r="Z26" s="30" t="str">
        <f t="shared" si="5"/>
        <v/>
      </c>
    </row>
    <row r="27" spans="1:26" x14ac:dyDescent="0.3">
      <c r="G27" s="35"/>
      <c r="H27" s="35"/>
      <c r="I27" s="35"/>
      <c r="J27" s="35"/>
      <c r="K27" s="48">
        <v>51</v>
      </c>
      <c r="L27" s="35">
        <v>80</v>
      </c>
      <c r="M27" s="35">
        <v>187</v>
      </c>
      <c r="N27" s="47" t="s">
        <v>507</v>
      </c>
      <c r="O27" s="35"/>
      <c r="P27" s="35"/>
      <c r="Q27" s="38">
        <v>0.99</v>
      </c>
      <c r="R27" t="s">
        <v>841</v>
      </c>
      <c r="T27" s="25" t="str">
        <f t="shared" si="0"/>
        <v/>
      </c>
      <c r="U27" s="29" t="str">
        <f t="shared" si="2"/>
        <v/>
      </c>
      <c r="V27" s="29" t="str">
        <f t="shared" si="5"/>
        <v/>
      </c>
      <c r="W27" s="29" t="str">
        <f t="shared" si="5"/>
        <v/>
      </c>
      <c r="X27" s="29" t="str">
        <f t="shared" si="5"/>
        <v/>
      </c>
      <c r="Y27" s="29" t="str">
        <f t="shared" si="5"/>
        <v/>
      </c>
      <c r="Z27" s="30" t="str">
        <f t="shared" si="5"/>
        <v/>
      </c>
    </row>
    <row r="28" spans="1:26" x14ac:dyDescent="0.3">
      <c r="J28" s="35"/>
      <c r="K28" s="48">
        <v>50</v>
      </c>
      <c r="L28" s="35">
        <v>82.67</v>
      </c>
      <c r="M28" s="35">
        <v>179</v>
      </c>
      <c r="N28" s="47" t="s">
        <v>507</v>
      </c>
      <c r="O28" s="35"/>
      <c r="T28" s="25" t="str">
        <f t="shared" si="0"/>
        <v/>
      </c>
      <c r="U28" s="29" t="str">
        <f t="shared" si="2"/>
        <v/>
      </c>
      <c r="V28" s="29" t="str">
        <f t="shared" si="5"/>
        <v/>
      </c>
      <c r="W28" s="29" t="str">
        <f t="shared" si="5"/>
        <v/>
      </c>
      <c r="X28" s="29" t="str">
        <f t="shared" si="5"/>
        <v/>
      </c>
      <c r="Y28" s="29" t="str">
        <f t="shared" si="5"/>
        <v/>
      </c>
      <c r="Z28" s="30" t="str">
        <f t="shared" si="5"/>
        <v/>
      </c>
    </row>
    <row r="29" spans="1:26" x14ac:dyDescent="0.3">
      <c r="K29" s="48">
        <v>70</v>
      </c>
      <c r="L29" s="35">
        <v>81</v>
      </c>
      <c r="M29" s="35">
        <v>182.51</v>
      </c>
      <c r="N29" s="47" t="s">
        <v>507</v>
      </c>
      <c r="O29" s="35"/>
      <c r="T29" s="25" t="str">
        <f t="shared" si="0"/>
        <v/>
      </c>
      <c r="U29" s="29" t="str">
        <f t="shared" si="2"/>
        <v/>
      </c>
      <c r="V29" s="29" t="str">
        <f t="shared" si="5"/>
        <v/>
      </c>
      <c r="W29" s="29" t="str">
        <f t="shared" si="5"/>
        <v/>
      </c>
      <c r="X29" s="29" t="str">
        <f t="shared" si="5"/>
        <v/>
      </c>
      <c r="Y29" s="29" t="str">
        <f t="shared" si="5"/>
        <v/>
      </c>
      <c r="Z29" s="30" t="str">
        <f t="shared" si="5"/>
        <v/>
      </c>
    </row>
    <row r="30" spans="1:26" x14ac:dyDescent="0.3">
      <c r="K30" s="48">
        <v>60</v>
      </c>
      <c r="L30" s="35">
        <v>99.99</v>
      </c>
      <c r="M30" s="35">
        <v>188</v>
      </c>
      <c r="N30" s="47" t="s">
        <v>507</v>
      </c>
      <c r="O30" s="35"/>
      <c r="T30" s="25" t="str">
        <f t="shared" si="0"/>
        <v/>
      </c>
      <c r="U30" s="29" t="str">
        <f t="shared" si="2"/>
        <v/>
      </c>
      <c r="V30" s="29" t="str">
        <f t="shared" si="5"/>
        <v/>
      </c>
      <c r="W30" s="29" t="str">
        <f t="shared" si="5"/>
        <v/>
      </c>
      <c r="X30" s="29" t="str">
        <f t="shared" si="5"/>
        <v/>
      </c>
      <c r="Y30" s="29" t="str">
        <f t="shared" si="5"/>
        <v/>
      </c>
      <c r="Z30" s="30" t="str">
        <f t="shared" si="5"/>
        <v/>
      </c>
    </row>
    <row r="31" spans="1:26" x14ac:dyDescent="0.3">
      <c r="K31" s="48">
        <v>60</v>
      </c>
      <c r="L31" s="35">
        <v>78</v>
      </c>
      <c r="M31" s="35">
        <v>180.01</v>
      </c>
      <c r="N31" s="47" t="s">
        <v>507</v>
      </c>
      <c r="O31" s="35"/>
      <c r="T31" s="25" t="str">
        <f t="shared" si="0"/>
        <v/>
      </c>
      <c r="U31" s="29" t="str">
        <f t="shared" si="2"/>
        <v/>
      </c>
      <c r="V31" s="29" t="str">
        <f t="shared" si="5"/>
        <v/>
      </c>
      <c r="W31" s="29" t="str">
        <f t="shared" si="5"/>
        <v/>
      </c>
      <c r="X31" s="29" t="str">
        <f t="shared" si="5"/>
        <v/>
      </c>
      <c r="Y31" s="29" t="str">
        <f t="shared" si="5"/>
        <v/>
      </c>
      <c r="Z31" s="30" t="str">
        <f t="shared" si="5"/>
        <v/>
      </c>
    </row>
    <row r="32" spans="1:26" x14ac:dyDescent="0.3">
      <c r="K32" s="48">
        <v>59.99</v>
      </c>
      <c r="L32" s="35">
        <v>95</v>
      </c>
      <c r="M32" s="35">
        <v>180.01</v>
      </c>
      <c r="N32" s="47" t="s">
        <v>507</v>
      </c>
      <c r="O32" s="35"/>
      <c r="T32" s="25" t="str">
        <f t="shared" si="0"/>
        <v/>
      </c>
      <c r="U32" s="29" t="str">
        <f t="shared" si="2"/>
        <v/>
      </c>
      <c r="V32" s="29" t="str">
        <f t="shared" si="5"/>
        <v/>
      </c>
      <c r="W32" s="29" t="str">
        <f t="shared" si="5"/>
        <v/>
      </c>
      <c r="X32" s="29" t="str">
        <f t="shared" si="5"/>
        <v/>
      </c>
      <c r="Y32" s="29" t="str">
        <f t="shared" si="5"/>
        <v/>
      </c>
      <c r="Z32" s="30" t="str">
        <f t="shared" si="5"/>
        <v/>
      </c>
    </row>
    <row r="33" spans="11:26" x14ac:dyDescent="0.3">
      <c r="K33" s="48">
        <v>65</v>
      </c>
      <c r="L33" s="35">
        <v>97.77</v>
      </c>
      <c r="M33" s="35">
        <v>179</v>
      </c>
      <c r="N33" s="47" t="s">
        <v>507</v>
      </c>
      <c r="O33" s="35"/>
      <c r="T33" s="25" t="str">
        <f t="shared" si="0"/>
        <v/>
      </c>
      <c r="U33" s="29" t="str">
        <f t="shared" si="2"/>
        <v/>
      </c>
      <c r="V33" s="29" t="str">
        <f t="shared" si="5"/>
        <v/>
      </c>
      <c r="W33" s="29" t="str">
        <f t="shared" si="5"/>
        <v/>
      </c>
      <c r="X33" s="29" t="str">
        <f t="shared" si="5"/>
        <v/>
      </c>
      <c r="Y33" s="29" t="str">
        <f t="shared" si="5"/>
        <v/>
      </c>
      <c r="Z33" s="30" t="str">
        <f t="shared" si="5"/>
        <v/>
      </c>
    </row>
    <row r="34" spans="11:26" x14ac:dyDescent="0.3">
      <c r="K34" s="49">
        <v>73</v>
      </c>
      <c r="L34" s="50">
        <v>102.5</v>
      </c>
      <c r="M34" s="50">
        <v>182.51</v>
      </c>
      <c r="N34" s="51" t="s">
        <v>507</v>
      </c>
      <c r="O34" s="35"/>
      <c r="P34" s="35"/>
      <c r="Q34" s="35"/>
      <c r="T34" s="25" t="str">
        <f t="shared" si="0"/>
        <v/>
      </c>
      <c r="U34" s="29" t="str">
        <f t="shared" si="2"/>
        <v/>
      </c>
      <c r="V34" s="29" t="str">
        <f t="shared" si="5"/>
        <v/>
      </c>
      <c r="W34" s="29" t="str">
        <f t="shared" si="5"/>
        <v/>
      </c>
      <c r="X34" s="29" t="str">
        <f t="shared" si="5"/>
        <v/>
      </c>
      <c r="Y34" s="29" t="str">
        <f t="shared" si="5"/>
        <v/>
      </c>
      <c r="Z34" s="30" t="str">
        <f t="shared" si="5"/>
        <v/>
      </c>
    </row>
    <row r="35" spans="11:26" x14ac:dyDescent="0.3">
      <c r="K35" s="35"/>
      <c r="L35" s="35"/>
      <c r="M35" s="35"/>
      <c r="N35" s="35"/>
      <c r="O35" s="35"/>
      <c r="P35" s="35"/>
      <c r="Q35" s="35"/>
      <c r="T35" s="25" t="str">
        <f t="shared" si="0"/>
        <v/>
      </c>
      <c r="U35" s="29" t="str">
        <f t="shared" si="2"/>
        <v/>
      </c>
      <c r="V35" s="29" t="str">
        <f t="shared" si="5"/>
        <v/>
      </c>
      <c r="W35" s="29" t="str">
        <f t="shared" si="5"/>
        <v/>
      </c>
      <c r="X35" s="29" t="str">
        <f t="shared" si="5"/>
        <v/>
      </c>
      <c r="Y35" s="29" t="str">
        <f t="shared" si="5"/>
        <v/>
      </c>
      <c r="Z35" s="30" t="str">
        <f t="shared" si="5"/>
        <v/>
      </c>
    </row>
    <row r="36" spans="11:26" x14ac:dyDescent="0.3">
      <c r="K36" s="35"/>
      <c r="L36" s="35"/>
      <c r="M36" s="35"/>
      <c r="N36" s="35"/>
      <c r="O36" s="35"/>
      <c r="P36" s="35"/>
      <c r="Q36" s="35"/>
      <c r="T36" s="25" t="str">
        <f t="shared" si="0"/>
        <v/>
      </c>
      <c r="U36" s="29" t="str">
        <f t="shared" si="2"/>
        <v/>
      </c>
      <c r="V36" s="29" t="str">
        <f t="shared" si="5"/>
        <v/>
      </c>
      <c r="W36" s="29" t="str">
        <f t="shared" si="5"/>
        <v/>
      </c>
      <c r="X36" s="29" t="str">
        <f t="shared" si="5"/>
        <v/>
      </c>
      <c r="Y36" s="29" t="str">
        <f t="shared" si="5"/>
        <v/>
      </c>
      <c r="Z36" s="30" t="str">
        <f t="shared" si="5"/>
        <v/>
      </c>
    </row>
    <row r="37" spans="11:26" x14ac:dyDescent="0.3">
      <c r="K37" s="35"/>
      <c r="L37" s="35"/>
      <c r="M37" s="35"/>
      <c r="N37" s="35"/>
      <c r="O37" s="35"/>
      <c r="P37" s="35"/>
      <c r="Q37" s="35"/>
      <c r="T37" s="25" t="str">
        <f t="shared" si="0"/>
        <v/>
      </c>
      <c r="U37" s="29" t="str">
        <f t="shared" si="2"/>
        <v/>
      </c>
      <c r="V37" s="29" t="str">
        <f t="shared" si="5"/>
        <v/>
      </c>
      <c r="W37" s="29" t="str">
        <f t="shared" si="5"/>
        <v/>
      </c>
      <c r="X37" s="29" t="str">
        <f t="shared" si="5"/>
        <v/>
      </c>
      <c r="Y37" s="29" t="str">
        <f t="shared" si="5"/>
        <v/>
      </c>
      <c r="Z37" s="30" t="str">
        <f t="shared" si="5"/>
        <v/>
      </c>
    </row>
    <row r="38" spans="11:26" x14ac:dyDescent="0.3">
      <c r="K38" s="35"/>
      <c r="L38" s="35"/>
      <c r="M38" s="35"/>
      <c r="N38" s="35"/>
      <c r="O38" s="35"/>
      <c r="P38" s="35"/>
      <c r="T38" s="25" t="str">
        <f t="shared" si="0"/>
        <v/>
      </c>
      <c r="U38" s="29" t="str">
        <f t="shared" si="2"/>
        <v/>
      </c>
      <c r="V38" s="29" t="str">
        <f t="shared" si="5"/>
        <v/>
      </c>
      <c r="W38" s="29" t="str">
        <f t="shared" si="5"/>
        <v/>
      </c>
      <c r="X38" s="29" t="str">
        <f t="shared" si="5"/>
        <v/>
      </c>
      <c r="Y38" s="29" t="str">
        <f t="shared" si="5"/>
        <v/>
      </c>
      <c r="Z38" s="30" t="str">
        <f t="shared" si="5"/>
        <v/>
      </c>
    </row>
    <row r="39" spans="11:26" x14ac:dyDescent="0.3">
      <c r="K39" s="35"/>
      <c r="L39" s="35"/>
      <c r="M39" s="35"/>
      <c r="N39" s="35"/>
      <c r="O39" s="35"/>
      <c r="P39" s="35"/>
      <c r="Q39" s="35"/>
      <c r="T39" s="25" t="str">
        <f t="shared" si="0"/>
        <v/>
      </c>
      <c r="U39" s="29" t="str">
        <f t="shared" si="2"/>
        <v/>
      </c>
      <c r="V39" s="29" t="str">
        <f t="shared" si="5"/>
        <v/>
      </c>
      <c r="W39" s="29" t="str">
        <f t="shared" si="5"/>
        <v/>
      </c>
      <c r="X39" s="29" t="str">
        <f t="shared" si="5"/>
        <v/>
      </c>
      <c r="Y39" s="29" t="str">
        <f t="shared" si="5"/>
        <v/>
      </c>
      <c r="Z39" s="30" t="str">
        <f t="shared" si="5"/>
        <v/>
      </c>
    </row>
    <row r="40" spans="11:26" x14ac:dyDescent="0.3">
      <c r="K40" s="35"/>
      <c r="L40" s="35"/>
      <c r="M40" s="35"/>
      <c r="N40" s="35"/>
      <c r="O40" s="35"/>
      <c r="P40" s="35"/>
      <c r="T40" s="25" t="str">
        <f t="shared" si="0"/>
        <v/>
      </c>
      <c r="U40" s="29" t="str">
        <f t="shared" si="2"/>
        <v/>
      </c>
      <c r="V40" s="29" t="str">
        <f t="shared" si="5"/>
        <v/>
      </c>
      <c r="W40" s="29" t="str">
        <f t="shared" si="5"/>
        <v/>
      </c>
      <c r="X40" s="29" t="str">
        <f t="shared" si="5"/>
        <v/>
      </c>
      <c r="Y40" s="29" t="str">
        <f t="shared" si="5"/>
        <v/>
      </c>
      <c r="Z40" s="30" t="str">
        <f t="shared" si="5"/>
        <v/>
      </c>
    </row>
    <row r="41" spans="11:26" x14ac:dyDescent="0.3">
      <c r="K41" s="35"/>
      <c r="L41" s="35"/>
      <c r="M41" s="35"/>
      <c r="N41" s="35"/>
      <c r="T41" s="25" t="str">
        <f t="shared" si="0"/>
        <v/>
      </c>
      <c r="U41" s="29" t="str">
        <f t="shared" si="2"/>
        <v/>
      </c>
      <c r="V41" s="29" t="str">
        <f t="shared" si="5"/>
        <v/>
      </c>
      <c r="W41" s="29" t="str">
        <f t="shared" si="5"/>
        <v/>
      </c>
      <c r="X41" s="29" t="str">
        <f t="shared" si="5"/>
        <v/>
      </c>
      <c r="Y41" s="29" t="str">
        <f t="shared" si="5"/>
        <v/>
      </c>
      <c r="Z41" s="30" t="str">
        <f t="shared" si="5"/>
        <v/>
      </c>
    </row>
    <row r="42" spans="11:26" x14ac:dyDescent="0.3">
      <c r="T42" s="25" t="str">
        <f t="shared" si="0"/>
        <v/>
      </c>
      <c r="U42" s="29" t="str">
        <f t="shared" si="2"/>
        <v/>
      </c>
      <c r="V42" s="29" t="str">
        <f t="shared" si="5"/>
        <v/>
      </c>
      <c r="W42" s="29" t="str">
        <f t="shared" si="5"/>
        <v/>
      </c>
      <c r="X42" s="29" t="str">
        <f t="shared" si="5"/>
        <v/>
      </c>
      <c r="Y42" s="29" t="str">
        <f t="shared" si="5"/>
        <v/>
      </c>
      <c r="Z42" s="30" t="str">
        <f t="shared" si="5"/>
        <v/>
      </c>
    </row>
    <row r="43" spans="11:26" x14ac:dyDescent="0.3">
      <c r="T43" s="25" t="str">
        <f t="shared" si="0"/>
        <v/>
      </c>
      <c r="U43" s="29" t="str">
        <f t="shared" si="2"/>
        <v/>
      </c>
      <c r="V43" s="29" t="str">
        <f t="shared" si="5"/>
        <v/>
      </c>
      <c r="W43" s="29" t="str">
        <f t="shared" si="5"/>
        <v/>
      </c>
      <c r="X43" s="29" t="str">
        <f t="shared" si="5"/>
        <v/>
      </c>
      <c r="Y43" s="29" t="str">
        <f t="shared" si="5"/>
        <v/>
      </c>
      <c r="Z43" s="30" t="str">
        <f t="shared" si="5"/>
        <v/>
      </c>
    </row>
    <row r="44" spans="11:26" x14ac:dyDescent="0.3">
      <c r="T44" s="25" t="str">
        <f t="shared" si="0"/>
        <v/>
      </c>
      <c r="U44" s="29" t="str">
        <f t="shared" si="2"/>
        <v/>
      </c>
      <c r="V44" s="29" t="str">
        <f t="shared" ref="V44:Z63" si="6">IF($T44&gt;=V$2,$U44,-100)</f>
        <v/>
      </c>
      <c r="W44" s="29" t="str">
        <f t="shared" si="6"/>
        <v/>
      </c>
      <c r="X44" s="29" t="str">
        <f t="shared" si="6"/>
        <v/>
      </c>
      <c r="Y44" s="29" t="str">
        <f t="shared" si="6"/>
        <v/>
      </c>
      <c r="Z44" s="30" t="str">
        <f t="shared" si="6"/>
        <v/>
      </c>
    </row>
    <row r="45" spans="11:26" x14ac:dyDescent="0.3">
      <c r="T45" s="25" t="str">
        <f t="shared" si="0"/>
        <v/>
      </c>
      <c r="U45" s="29" t="str">
        <f t="shared" si="2"/>
        <v/>
      </c>
      <c r="V45" s="29" t="str">
        <f t="shared" si="6"/>
        <v/>
      </c>
      <c r="W45" s="29" t="str">
        <f t="shared" si="6"/>
        <v/>
      </c>
      <c r="X45" s="29" t="str">
        <f t="shared" si="6"/>
        <v/>
      </c>
      <c r="Y45" s="29" t="str">
        <f t="shared" si="6"/>
        <v/>
      </c>
      <c r="Z45" s="30" t="str">
        <f t="shared" si="6"/>
        <v/>
      </c>
    </row>
    <row r="46" spans="11:26" x14ac:dyDescent="0.3">
      <c r="T46" s="25" t="str">
        <f t="shared" si="0"/>
        <v/>
      </c>
      <c r="U46" s="29" t="str">
        <f t="shared" si="2"/>
        <v/>
      </c>
      <c r="V46" s="29" t="str">
        <f t="shared" si="6"/>
        <v/>
      </c>
      <c r="W46" s="29" t="str">
        <f t="shared" si="6"/>
        <v/>
      </c>
      <c r="X46" s="29" t="str">
        <f t="shared" si="6"/>
        <v/>
      </c>
      <c r="Y46" s="29" t="str">
        <f t="shared" si="6"/>
        <v/>
      </c>
      <c r="Z46" s="30" t="str">
        <f t="shared" si="6"/>
        <v/>
      </c>
    </row>
    <row r="47" spans="11:26" x14ac:dyDescent="0.3">
      <c r="T47" s="25" t="str">
        <f t="shared" si="0"/>
        <v/>
      </c>
      <c r="U47" s="29" t="str">
        <f t="shared" si="2"/>
        <v/>
      </c>
      <c r="V47" s="29" t="str">
        <f t="shared" si="6"/>
        <v/>
      </c>
      <c r="W47" s="29" t="str">
        <f t="shared" si="6"/>
        <v/>
      </c>
      <c r="X47" s="29" t="str">
        <f t="shared" si="6"/>
        <v/>
      </c>
      <c r="Y47" s="29" t="str">
        <f t="shared" si="6"/>
        <v/>
      </c>
      <c r="Z47" s="30" t="str">
        <f t="shared" si="6"/>
        <v/>
      </c>
    </row>
    <row r="48" spans="11:26" x14ac:dyDescent="0.3">
      <c r="T48" s="25" t="str">
        <f t="shared" si="0"/>
        <v/>
      </c>
      <c r="U48" s="29" t="str">
        <f t="shared" si="2"/>
        <v/>
      </c>
      <c r="V48" s="29" t="str">
        <f t="shared" si="6"/>
        <v/>
      </c>
      <c r="W48" s="29" t="str">
        <f t="shared" si="6"/>
        <v/>
      </c>
      <c r="X48" s="29" t="str">
        <f t="shared" si="6"/>
        <v/>
      </c>
      <c r="Y48" s="29" t="str">
        <f t="shared" si="6"/>
        <v/>
      </c>
      <c r="Z48" s="30" t="str">
        <f t="shared" si="6"/>
        <v/>
      </c>
    </row>
    <row r="49" spans="20:26" x14ac:dyDescent="0.3">
      <c r="T49" s="25" t="str">
        <f t="shared" si="0"/>
        <v/>
      </c>
      <c r="U49" s="29" t="str">
        <f t="shared" si="2"/>
        <v/>
      </c>
      <c r="V49" s="29" t="str">
        <f t="shared" si="6"/>
        <v/>
      </c>
      <c r="W49" s="29" t="str">
        <f t="shared" si="6"/>
        <v/>
      </c>
      <c r="X49" s="29" t="str">
        <f t="shared" si="6"/>
        <v/>
      </c>
      <c r="Y49" s="29" t="str">
        <f t="shared" si="6"/>
        <v/>
      </c>
      <c r="Z49" s="30" t="str">
        <f t="shared" si="6"/>
        <v/>
      </c>
    </row>
    <row r="50" spans="20:26" x14ac:dyDescent="0.3">
      <c r="T50" s="25" t="str">
        <f t="shared" si="0"/>
        <v/>
      </c>
      <c r="U50" s="29" t="str">
        <f t="shared" si="2"/>
        <v/>
      </c>
      <c r="V50" s="29" t="str">
        <f t="shared" si="6"/>
        <v/>
      </c>
      <c r="W50" s="29" t="str">
        <f t="shared" si="6"/>
        <v/>
      </c>
      <c r="X50" s="29" t="str">
        <f t="shared" si="6"/>
        <v/>
      </c>
      <c r="Y50" s="29" t="str">
        <f t="shared" si="6"/>
        <v/>
      </c>
      <c r="Z50" s="30" t="str">
        <f t="shared" si="6"/>
        <v/>
      </c>
    </row>
    <row r="51" spans="20:26" x14ac:dyDescent="0.3">
      <c r="T51" s="25" t="str">
        <f t="shared" si="0"/>
        <v/>
      </c>
      <c r="U51" s="29" t="str">
        <f t="shared" si="2"/>
        <v/>
      </c>
      <c r="V51" s="29" t="str">
        <f t="shared" si="6"/>
        <v/>
      </c>
      <c r="W51" s="29" t="str">
        <f t="shared" si="6"/>
        <v/>
      </c>
      <c r="X51" s="29" t="str">
        <f t="shared" si="6"/>
        <v/>
      </c>
      <c r="Y51" s="29" t="str">
        <f t="shared" si="6"/>
        <v/>
      </c>
      <c r="Z51" s="30" t="str">
        <f t="shared" si="6"/>
        <v/>
      </c>
    </row>
    <row r="52" spans="20:26" x14ac:dyDescent="0.3">
      <c r="T52" s="25" t="str">
        <f t="shared" si="0"/>
        <v/>
      </c>
      <c r="U52" s="29" t="str">
        <f t="shared" si="2"/>
        <v/>
      </c>
      <c r="V52" s="29" t="str">
        <f t="shared" si="6"/>
        <v/>
      </c>
      <c r="W52" s="29" t="str">
        <f t="shared" si="6"/>
        <v/>
      </c>
      <c r="X52" s="29" t="str">
        <f t="shared" si="6"/>
        <v/>
      </c>
      <c r="Y52" s="29" t="str">
        <f t="shared" si="6"/>
        <v/>
      </c>
      <c r="Z52" s="30" t="str">
        <f t="shared" si="6"/>
        <v/>
      </c>
    </row>
    <row r="53" spans="20:26" x14ac:dyDescent="0.3">
      <c r="T53" s="25" t="str">
        <f t="shared" si="0"/>
        <v/>
      </c>
      <c r="U53" s="29" t="str">
        <f t="shared" si="2"/>
        <v/>
      </c>
      <c r="V53" s="29" t="str">
        <f t="shared" si="6"/>
        <v/>
      </c>
      <c r="W53" s="29" t="str">
        <f t="shared" si="6"/>
        <v/>
      </c>
      <c r="X53" s="29" t="str">
        <f t="shared" si="6"/>
        <v/>
      </c>
      <c r="Y53" s="29" t="str">
        <f t="shared" si="6"/>
        <v/>
      </c>
      <c r="Z53" s="30" t="str">
        <f t="shared" si="6"/>
        <v/>
      </c>
    </row>
    <row r="54" spans="20:26" x14ac:dyDescent="0.3">
      <c r="T54" s="25" t="str">
        <f t="shared" si="0"/>
        <v/>
      </c>
      <c r="U54" s="29" t="str">
        <f t="shared" si="2"/>
        <v/>
      </c>
      <c r="V54" s="29" t="str">
        <f t="shared" si="6"/>
        <v/>
      </c>
      <c r="W54" s="29" t="str">
        <f t="shared" si="6"/>
        <v/>
      </c>
      <c r="X54" s="29" t="str">
        <f t="shared" si="6"/>
        <v/>
      </c>
      <c r="Y54" s="29" t="str">
        <f t="shared" si="6"/>
        <v/>
      </c>
      <c r="Z54" s="30" t="str">
        <f t="shared" si="6"/>
        <v/>
      </c>
    </row>
    <row r="55" spans="20:26" x14ac:dyDescent="0.3">
      <c r="T55" s="25" t="str">
        <f t="shared" si="0"/>
        <v/>
      </c>
      <c r="U55" s="29" t="str">
        <f t="shared" si="2"/>
        <v/>
      </c>
      <c r="V55" s="29" t="str">
        <f t="shared" si="6"/>
        <v/>
      </c>
      <c r="W55" s="29" t="str">
        <f t="shared" si="6"/>
        <v/>
      </c>
      <c r="X55" s="29" t="str">
        <f t="shared" si="6"/>
        <v/>
      </c>
      <c r="Y55" s="29" t="str">
        <f t="shared" si="6"/>
        <v/>
      </c>
      <c r="Z55" s="30" t="str">
        <f t="shared" si="6"/>
        <v/>
      </c>
    </row>
    <row r="56" spans="20:26" x14ac:dyDescent="0.3">
      <c r="T56" s="25" t="str">
        <f t="shared" si="0"/>
        <v/>
      </c>
      <c r="U56" s="29" t="str">
        <f t="shared" si="2"/>
        <v/>
      </c>
      <c r="V56" s="29" t="str">
        <f t="shared" si="6"/>
        <v/>
      </c>
      <c r="W56" s="29" t="str">
        <f t="shared" si="6"/>
        <v/>
      </c>
      <c r="X56" s="29" t="str">
        <f t="shared" si="6"/>
        <v/>
      </c>
      <c r="Y56" s="29" t="str">
        <f t="shared" si="6"/>
        <v/>
      </c>
      <c r="Z56" s="30" t="str">
        <f t="shared" si="6"/>
        <v/>
      </c>
    </row>
    <row r="57" spans="20:26" x14ac:dyDescent="0.3">
      <c r="T57" s="25" t="str">
        <f t="shared" si="0"/>
        <v/>
      </c>
      <c r="U57" s="29" t="str">
        <f t="shared" si="2"/>
        <v/>
      </c>
      <c r="V57" s="29" t="str">
        <f t="shared" si="6"/>
        <v/>
      </c>
      <c r="W57" s="29" t="str">
        <f t="shared" si="6"/>
        <v/>
      </c>
      <c r="X57" s="29" t="str">
        <f t="shared" si="6"/>
        <v/>
      </c>
      <c r="Y57" s="29" t="str">
        <f t="shared" si="6"/>
        <v/>
      </c>
      <c r="Z57" s="30" t="str">
        <f t="shared" si="6"/>
        <v/>
      </c>
    </row>
    <row r="58" spans="20:26" x14ac:dyDescent="0.3">
      <c r="T58" s="25" t="str">
        <f t="shared" si="0"/>
        <v/>
      </c>
      <c r="U58" s="29" t="str">
        <f t="shared" si="2"/>
        <v/>
      </c>
      <c r="V58" s="29" t="str">
        <f t="shared" si="6"/>
        <v/>
      </c>
      <c r="W58" s="29" t="str">
        <f t="shared" si="6"/>
        <v/>
      </c>
      <c r="X58" s="29" t="str">
        <f t="shared" si="6"/>
        <v/>
      </c>
      <c r="Y58" s="29" t="str">
        <f t="shared" si="6"/>
        <v/>
      </c>
      <c r="Z58" s="30" t="str">
        <f t="shared" si="6"/>
        <v/>
      </c>
    </row>
    <row r="59" spans="20:26" x14ac:dyDescent="0.3">
      <c r="T59" s="25" t="str">
        <f t="shared" si="0"/>
        <v/>
      </c>
      <c r="U59" s="29" t="str">
        <f t="shared" si="2"/>
        <v/>
      </c>
      <c r="V59" s="29" t="str">
        <f t="shared" si="6"/>
        <v/>
      </c>
      <c r="W59" s="29" t="str">
        <f t="shared" si="6"/>
        <v/>
      </c>
      <c r="X59" s="29" t="str">
        <f t="shared" si="6"/>
        <v/>
      </c>
      <c r="Y59" s="29" t="str">
        <f t="shared" si="6"/>
        <v/>
      </c>
      <c r="Z59" s="30" t="str">
        <f t="shared" si="6"/>
        <v/>
      </c>
    </row>
    <row r="60" spans="20:26" x14ac:dyDescent="0.3">
      <c r="T60" s="25" t="str">
        <f t="shared" si="0"/>
        <v/>
      </c>
      <c r="U60" s="29" t="str">
        <f t="shared" si="2"/>
        <v/>
      </c>
      <c r="V60" s="29" t="str">
        <f t="shared" si="6"/>
        <v/>
      </c>
      <c r="W60" s="29" t="str">
        <f t="shared" si="6"/>
        <v/>
      </c>
      <c r="X60" s="29" t="str">
        <f t="shared" si="6"/>
        <v/>
      </c>
      <c r="Y60" s="29" t="str">
        <f t="shared" si="6"/>
        <v/>
      </c>
      <c r="Z60" s="30" t="str">
        <f t="shared" si="6"/>
        <v/>
      </c>
    </row>
    <row r="61" spans="20:26" x14ac:dyDescent="0.3">
      <c r="T61" s="25" t="str">
        <f t="shared" si="0"/>
        <v/>
      </c>
      <c r="U61" s="29" t="str">
        <f t="shared" si="2"/>
        <v/>
      </c>
      <c r="V61" s="29" t="str">
        <f t="shared" si="6"/>
        <v/>
      </c>
      <c r="W61" s="29" t="str">
        <f t="shared" si="6"/>
        <v/>
      </c>
      <c r="X61" s="29" t="str">
        <f t="shared" si="6"/>
        <v/>
      </c>
      <c r="Y61" s="29" t="str">
        <f t="shared" si="6"/>
        <v/>
      </c>
      <c r="Z61" s="30" t="str">
        <f t="shared" si="6"/>
        <v/>
      </c>
    </row>
    <row r="62" spans="20:26" x14ac:dyDescent="0.3">
      <c r="T62" s="25" t="str">
        <f t="shared" si="0"/>
        <v/>
      </c>
      <c r="U62" s="29" t="str">
        <f t="shared" si="2"/>
        <v/>
      </c>
      <c r="V62" s="29" t="str">
        <f t="shared" si="6"/>
        <v/>
      </c>
      <c r="W62" s="29" t="str">
        <f t="shared" si="6"/>
        <v/>
      </c>
      <c r="X62" s="29" t="str">
        <f t="shared" si="6"/>
        <v/>
      </c>
      <c r="Y62" s="29" t="str">
        <f t="shared" si="6"/>
        <v/>
      </c>
      <c r="Z62" s="30" t="str">
        <f t="shared" si="6"/>
        <v/>
      </c>
    </row>
    <row r="63" spans="20:26" x14ac:dyDescent="0.3">
      <c r="T63" s="25" t="str">
        <f t="shared" si="0"/>
        <v/>
      </c>
      <c r="U63" s="29" t="str">
        <f t="shared" si="2"/>
        <v/>
      </c>
      <c r="V63" s="29" t="str">
        <f t="shared" si="6"/>
        <v/>
      </c>
      <c r="W63" s="29" t="str">
        <f t="shared" si="6"/>
        <v/>
      </c>
      <c r="X63" s="29" t="str">
        <f t="shared" si="6"/>
        <v/>
      </c>
      <c r="Y63" s="29" t="str">
        <f t="shared" si="6"/>
        <v/>
      </c>
      <c r="Z63" s="30" t="str">
        <f t="shared" si="6"/>
        <v/>
      </c>
    </row>
    <row r="64" spans="20:26" x14ac:dyDescent="0.3">
      <c r="T64" s="25" t="str">
        <f t="shared" si="0"/>
        <v/>
      </c>
      <c r="U64" s="29" t="str">
        <f t="shared" si="2"/>
        <v/>
      </c>
      <c r="V64" s="29" t="str">
        <f t="shared" ref="V64:Z83" si="7">IF($T64&gt;=V$2,$U64,-100)</f>
        <v/>
      </c>
      <c r="W64" s="29" t="str">
        <f t="shared" si="7"/>
        <v/>
      </c>
      <c r="X64" s="29" t="str">
        <f t="shared" si="7"/>
        <v/>
      </c>
      <c r="Y64" s="29" t="str">
        <f t="shared" si="7"/>
        <v/>
      </c>
      <c r="Z64" s="30" t="str">
        <f t="shared" si="7"/>
        <v/>
      </c>
    </row>
    <row r="65" spans="20:26" x14ac:dyDescent="0.3">
      <c r="T65" s="25" t="str">
        <f t="shared" si="0"/>
        <v/>
      </c>
      <c r="U65" s="29" t="str">
        <f t="shared" si="2"/>
        <v/>
      </c>
      <c r="V65" s="29" t="str">
        <f t="shared" si="7"/>
        <v/>
      </c>
      <c r="W65" s="29" t="str">
        <f t="shared" si="7"/>
        <v/>
      </c>
      <c r="X65" s="29" t="str">
        <f t="shared" si="7"/>
        <v/>
      </c>
      <c r="Y65" s="29" t="str">
        <f t="shared" si="7"/>
        <v/>
      </c>
      <c r="Z65" s="30" t="str">
        <f t="shared" si="7"/>
        <v/>
      </c>
    </row>
    <row r="66" spans="20:26" x14ac:dyDescent="0.3">
      <c r="T66" s="25" t="str">
        <f t="shared" si="0"/>
        <v/>
      </c>
      <c r="U66" s="29" t="str">
        <f t="shared" si="2"/>
        <v/>
      </c>
      <c r="V66" s="29" t="str">
        <f t="shared" si="7"/>
        <v/>
      </c>
      <c r="W66" s="29" t="str">
        <f t="shared" si="7"/>
        <v/>
      </c>
      <c r="X66" s="29" t="str">
        <f t="shared" si="7"/>
        <v/>
      </c>
      <c r="Y66" s="29" t="str">
        <f t="shared" si="7"/>
        <v/>
      </c>
      <c r="Z66" s="30" t="str">
        <f t="shared" si="7"/>
        <v/>
      </c>
    </row>
    <row r="67" spans="20:26" x14ac:dyDescent="0.3">
      <c r="T67" s="25" t="str">
        <f t="shared" ref="T67:T130" si="8">IF(ROW()-2&lt;=$Q$4*$Q$27,"",IF(ROW()-2&gt;$Q$24*$Q$26,"",ROW()-2))</f>
        <v/>
      </c>
      <c r="U67" s="29" t="str">
        <f t="shared" si="2"/>
        <v/>
      </c>
      <c r="V67" s="29" t="str">
        <f t="shared" si="7"/>
        <v/>
      </c>
      <c r="W67" s="29" t="str">
        <f t="shared" si="7"/>
        <v/>
      </c>
      <c r="X67" s="29" t="str">
        <f t="shared" si="7"/>
        <v/>
      </c>
      <c r="Y67" s="29" t="str">
        <f t="shared" si="7"/>
        <v/>
      </c>
      <c r="Z67" s="30" t="str">
        <f t="shared" si="7"/>
        <v/>
      </c>
    </row>
    <row r="68" spans="20:26" x14ac:dyDescent="0.3">
      <c r="T68" s="25" t="str">
        <f t="shared" si="8"/>
        <v/>
      </c>
      <c r="U68" s="29" t="str">
        <f t="shared" ref="U68:U131" si="9">IFERROR(_xlfn.NORM.DIST(T68,$Q$1,$Q$2,FALSE),"")</f>
        <v/>
      </c>
      <c r="V68" s="29" t="str">
        <f t="shared" si="7"/>
        <v/>
      </c>
      <c r="W68" s="29" t="str">
        <f t="shared" si="7"/>
        <v/>
      </c>
      <c r="X68" s="29" t="str">
        <f t="shared" si="7"/>
        <v/>
      </c>
      <c r="Y68" s="29" t="str">
        <f t="shared" si="7"/>
        <v/>
      </c>
      <c r="Z68" s="30" t="str">
        <f t="shared" si="7"/>
        <v/>
      </c>
    </row>
    <row r="69" spans="20:26" x14ac:dyDescent="0.3">
      <c r="T69" s="25" t="str">
        <f t="shared" si="8"/>
        <v/>
      </c>
      <c r="U69" s="29" t="str">
        <f t="shared" si="9"/>
        <v/>
      </c>
      <c r="V69" s="29" t="str">
        <f t="shared" si="7"/>
        <v/>
      </c>
      <c r="W69" s="29" t="str">
        <f t="shared" si="7"/>
        <v/>
      </c>
      <c r="X69" s="29" t="str">
        <f t="shared" si="7"/>
        <v/>
      </c>
      <c r="Y69" s="29" t="str">
        <f t="shared" si="7"/>
        <v/>
      </c>
      <c r="Z69" s="30" t="str">
        <f t="shared" si="7"/>
        <v/>
      </c>
    </row>
    <row r="70" spans="20:26" x14ac:dyDescent="0.3">
      <c r="T70" s="25" t="str">
        <f t="shared" si="8"/>
        <v/>
      </c>
      <c r="U70" s="29" t="str">
        <f t="shared" si="9"/>
        <v/>
      </c>
      <c r="V70" s="29" t="str">
        <f t="shared" si="7"/>
        <v/>
      </c>
      <c r="W70" s="29" t="str">
        <f t="shared" si="7"/>
        <v/>
      </c>
      <c r="X70" s="29" t="str">
        <f t="shared" si="7"/>
        <v/>
      </c>
      <c r="Y70" s="29" t="str">
        <f t="shared" si="7"/>
        <v/>
      </c>
      <c r="Z70" s="30" t="str">
        <f t="shared" si="7"/>
        <v/>
      </c>
    </row>
    <row r="71" spans="20:26" x14ac:dyDescent="0.3">
      <c r="T71" s="25" t="str">
        <f t="shared" si="8"/>
        <v/>
      </c>
      <c r="U71" s="29" t="str">
        <f t="shared" si="9"/>
        <v/>
      </c>
      <c r="V71" s="29" t="str">
        <f t="shared" si="7"/>
        <v/>
      </c>
      <c r="W71" s="29" t="str">
        <f t="shared" si="7"/>
        <v/>
      </c>
      <c r="X71" s="29" t="str">
        <f t="shared" si="7"/>
        <v/>
      </c>
      <c r="Y71" s="29" t="str">
        <f t="shared" si="7"/>
        <v/>
      </c>
      <c r="Z71" s="30" t="str">
        <f t="shared" si="7"/>
        <v/>
      </c>
    </row>
    <row r="72" spans="20:26" x14ac:dyDescent="0.3">
      <c r="T72" s="25" t="str">
        <f t="shared" si="8"/>
        <v/>
      </c>
      <c r="U72" s="29" t="str">
        <f t="shared" si="9"/>
        <v/>
      </c>
      <c r="V72" s="29" t="str">
        <f t="shared" si="7"/>
        <v/>
      </c>
      <c r="W72" s="29" t="str">
        <f t="shared" si="7"/>
        <v/>
      </c>
      <c r="X72" s="29" t="str">
        <f t="shared" si="7"/>
        <v/>
      </c>
      <c r="Y72" s="29" t="str">
        <f t="shared" si="7"/>
        <v/>
      </c>
      <c r="Z72" s="30" t="str">
        <f t="shared" si="7"/>
        <v/>
      </c>
    </row>
    <row r="73" spans="20:26" x14ac:dyDescent="0.3">
      <c r="T73" s="25" t="str">
        <f t="shared" si="8"/>
        <v/>
      </c>
      <c r="U73" s="29" t="str">
        <f t="shared" si="9"/>
        <v/>
      </c>
      <c r="V73" s="29" t="str">
        <f t="shared" si="7"/>
        <v/>
      </c>
      <c r="W73" s="29" t="str">
        <f t="shared" si="7"/>
        <v/>
      </c>
      <c r="X73" s="29" t="str">
        <f t="shared" si="7"/>
        <v/>
      </c>
      <c r="Y73" s="29" t="str">
        <f t="shared" si="7"/>
        <v/>
      </c>
      <c r="Z73" s="30" t="str">
        <f t="shared" si="7"/>
        <v/>
      </c>
    </row>
    <row r="74" spans="20:26" x14ac:dyDescent="0.3">
      <c r="T74" s="25" t="str">
        <f t="shared" si="8"/>
        <v/>
      </c>
      <c r="U74" s="29" t="str">
        <f t="shared" si="9"/>
        <v/>
      </c>
      <c r="V74" s="29" t="str">
        <f t="shared" si="7"/>
        <v/>
      </c>
      <c r="W74" s="29" t="str">
        <f t="shared" si="7"/>
        <v/>
      </c>
      <c r="X74" s="29" t="str">
        <f t="shared" si="7"/>
        <v/>
      </c>
      <c r="Y74" s="29" t="str">
        <f t="shared" si="7"/>
        <v/>
      </c>
      <c r="Z74" s="30" t="str">
        <f t="shared" si="7"/>
        <v/>
      </c>
    </row>
    <row r="75" spans="20:26" x14ac:dyDescent="0.3">
      <c r="T75" s="25" t="str">
        <f t="shared" si="8"/>
        <v/>
      </c>
      <c r="U75" s="29" t="str">
        <f t="shared" si="9"/>
        <v/>
      </c>
      <c r="V75" s="29" t="str">
        <f t="shared" si="7"/>
        <v/>
      </c>
      <c r="W75" s="29" t="str">
        <f t="shared" si="7"/>
        <v/>
      </c>
      <c r="X75" s="29" t="str">
        <f t="shared" si="7"/>
        <v/>
      </c>
      <c r="Y75" s="29" t="str">
        <f t="shared" si="7"/>
        <v/>
      </c>
      <c r="Z75" s="30" t="str">
        <f t="shared" si="7"/>
        <v/>
      </c>
    </row>
    <row r="76" spans="20:26" x14ac:dyDescent="0.3">
      <c r="T76" s="25" t="str">
        <f t="shared" si="8"/>
        <v/>
      </c>
      <c r="U76" s="29" t="str">
        <f t="shared" si="9"/>
        <v/>
      </c>
      <c r="V76" s="29" t="str">
        <f t="shared" si="7"/>
        <v/>
      </c>
      <c r="W76" s="29" t="str">
        <f t="shared" si="7"/>
        <v/>
      </c>
      <c r="X76" s="29" t="str">
        <f t="shared" si="7"/>
        <v/>
      </c>
      <c r="Y76" s="29" t="str">
        <f t="shared" si="7"/>
        <v/>
      </c>
      <c r="Z76" s="30" t="str">
        <f t="shared" si="7"/>
        <v/>
      </c>
    </row>
    <row r="77" spans="20:26" x14ac:dyDescent="0.3">
      <c r="T77" s="25" t="str">
        <f t="shared" si="8"/>
        <v/>
      </c>
      <c r="U77" s="29" t="str">
        <f t="shared" si="9"/>
        <v/>
      </c>
      <c r="V77" s="29" t="str">
        <f t="shared" si="7"/>
        <v/>
      </c>
      <c r="W77" s="29" t="str">
        <f t="shared" si="7"/>
        <v/>
      </c>
      <c r="X77" s="29" t="str">
        <f t="shared" si="7"/>
        <v/>
      </c>
      <c r="Y77" s="29" t="str">
        <f t="shared" si="7"/>
        <v/>
      </c>
      <c r="Z77" s="30" t="str">
        <f t="shared" si="7"/>
        <v/>
      </c>
    </row>
    <row r="78" spans="20:26" x14ac:dyDescent="0.3">
      <c r="T78" s="25" t="str">
        <f t="shared" si="8"/>
        <v/>
      </c>
      <c r="U78" s="29" t="str">
        <f t="shared" si="9"/>
        <v/>
      </c>
      <c r="V78" s="29" t="str">
        <f t="shared" si="7"/>
        <v/>
      </c>
      <c r="W78" s="29" t="str">
        <f t="shared" si="7"/>
        <v/>
      </c>
      <c r="X78" s="29" t="str">
        <f t="shared" si="7"/>
        <v/>
      </c>
      <c r="Y78" s="29" t="str">
        <f t="shared" si="7"/>
        <v/>
      </c>
      <c r="Z78" s="30" t="str">
        <f t="shared" si="7"/>
        <v/>
      </c>
    </row>
    <row r="79" spans="20:26" x14ac:dyDescent="0.3">
      <c r="T79" s="25" t="str">
        <f t="shared" si="8"/>
        <v/>
      </c>
      <c r="U79" s="29" t="str">
        <f t="shared" si="9"/>
        <v/>
      </c>
      <c r="V79" s="29" t="str">
        <f t="shared" si="7"/>
        <v/>
      </c>
      <c r="W79" s="29" t="str">
        <f t="shared" si="7"/>
        <v/>
      </c>
      <c r="X79" s="29" t="str">
        <f t="shared" si="7"/>
        <v/>
      </c>
      <c r="Y79" s="29" t="str">
        <f t="shared" si="7"/>
        <v/>
      </c>
      <c r="Z79" s="30" t="str">
        <f t="shared" si="7"/>
        <v/>
      </c>
    </row>
    <row r="80" spans="20:26" x14ac:dyDescent="0.3">
      <c r="T80" s="25" t="str">
        <f t="shared" si="8"/>
        <v/>
      </c>
      <c r="U80" s="29" t="str">
        <f t="shared" si="9"/>
        <v/>
      </c>
      <c r="V80" s="29" t="str">
        <f t="shared" si="7"/>
        <v/>
      </c>
      <c r="W80" s="29" t="str">
        <f t="shared" si="7"/>
        <v/>
      </c>
      <c r="X80" s="29" t="str">
        <f t="shared" si="7"/>
        <v/>
      </c>
      <c r="Y80" s="29" t="str">
        <f t="shared" si="7"/>
        <v/>
      </c>
      <c r="Z80" s="30" t="str">
        <f t="shared" si="7"/>
        <v/>
      </c>
    </row>
    <row r="81" spans="20:26" x14ac:dyDescent="0.3">
      <c r="T81" s="25" t="str">
        <f t="shared" si="8"/>
        <v/>
      </c>
      <c r="U81" s="29" t="str">
        <f t="shared" si="9"/>
        <v/>
      </c>
      <c r="V81" s="29" t="str">
        <f t="shared" si="7"/>
        <v/>
      </c>
      <c r="W81" s="29" t="str">
        <f t="shared" si="7"/>
        <v/>
      </c>
      <c r="X81" s="29" t="str">
        <f t="shared" si="7"/>
        <v/>
      </c>
      <c r="Y81" s="29" t="str">
        <f t="shared" si="7"/>
        <v/>
      </c>
      <c r="Z81" s="30" t="str">
        <f t="shared" si="7"/>
        <v/>
      </c>
    </row>
    <row r="82" spans="20:26" x14ac:dyDescent="0.3">
      <c r="T82" s="25" t="str">
        <f t="shared" si="8"/>
        <v/>
      </c>
      <c r="U82" s="29" t="str">
        <f t="shared" si="9"/>
        <v/>
      </c>
      <c r="V82" s="29" t="str">
        <f t="shared" si="7"/>
        <v/>
      </c>
      <c r="W82" s="29" t="str">
        <f t="shared" si="7"/>
        <v/>
      </c>
      <c r="X82" s="29" t="str">
        <f t="shared" si="7"/>
        <v/>
      </c>
      <c r="Y82" s="29" t="str">
        <f t="shared" si="7"/>
        <v/>
      </c>
      <c r="Z82" s="30" t="str">
        <f t="shared" si="7"/>
        <v/>
      </c>
    </row>
    <row r="83" spans="20:26" x14ac:dyDescent="0.3">
      <c r="T83" s="25" t="str">
        <f t="shared" si="8"/>
        <v/>
      </c>
      <c r="U83" s="29" t="str">
        <f t="shared" si="9"/>
        <v/>
      </c>
      <c r="V83" s="29" t="str">
        <f t="shared" si="7"/>
        <v/>
      </c>
      <c r="W83" s="29" t="str">
        <f t="shared" si="7"/>
        <v/>
      </c>
      <c r="X83" s="29" t="str">
        <f t="shared" si="7"/>
        <v/>
      </c>
      <c r="Y83" s="29" t="str">
        <f t="shared" si="7"/>
        <v/>
      </c>
      <c r="Z83" s="30" t="str">
        <f t="shared" si="7"/>
        <v/>
      </c>
    </row>
    <row r="84" spans="20:26" x14ac:dyDescent="0.3">
      <c r="T84" s="25" t="str">
        <f t="shared" si="8"/>
        <v/>
      </c>
      <c r="U84" s="29" t="str">
        <f t="shared" si="9"/>
        <v/>
      </c>
      <c r="V84" s="29" t="str">
        <f t="shared" ref="V84:Z103" si="10">IF($T84&gt;=V$2,$U84,-100)</f>
        <v/>
      </c>
      <c r="W84" s="29" t="str">
        <f t="shared" si="10"/>
        <v/>
      </c>
      <c r="X84" s="29" t="str">
        <f t="shared" si="10"/>
        <v/>
      </c>
      <c r="Y84" s="29" t="str">
        <f t="shared" si="10"/>
        <v/>
      </c>
      <c r="Z84" s="30" t="str">
        <f t="shared" si="10"/>
        <v/>
      </c>
    </row>
    <row r="85" spans="20:26" x14ac:dyDescent="0.3">
      <c r="T85" s="25" t="str">
        <f t="shared" si="8"/>
        <v/>
      </c>
      <c r="U85" s="29" t="str">
        <f t="shared" si="9"/>
        <v/>
      </c>
      <c r="V85" s="29" t="str">
        <f t="shared" si="10"/>
        <v/>
      </c>
      <c r="W85" s="29" t="str">
        <f t="shared" si="10"/>
        <v/>
      </c>
      <c r="X85" s="29" t="str">
        <f t="shared" si="10"/>
        <v/>
      </c>
      <c r="Y85" s="29" t="str">
        <f t="shared" si="10"/>
        <v/>
      </c>
      <c r="Z85" s="30" t="str">
        <f t="shared" si="10"/>
        <v/>
      </c>
    </row>
    <row r="86" spans="20:26" x14ac:dyDescent="0.3">
      <c r="T86" s="25" t="str">
        <f t="shared" si="8"/>
        <v/>
      </c>
      <c r="U86" s="29" t="str">
        <f t="shared" si="9"/>
        <v/>
      </c>
      <c r="V86" s="29" t="str">
        <f t="shared" si="10"/>
        <v/>
      </c>
      <c r="W86" s="29" t="str">
        <f t="shared" si="10"/>
        <v/>
      </c>
      <c r="X86" s="29" t="str">
        <f t="shared" si="10"/>
        <v/>
      </c>
      <c r="Y86" s="29" t="str">
        <f t="shared" si="10"/>
        <v/>
      </c>
      <c r="Z86" s="30" t="str">
        <f t="shared" si="10"/>
        <v/>
      </c>
    </row>
    <row r="87" spans="20:26" x14ac:dyDescent="0.3">
      <c r="T87" s="25" t="str">
        <f t="shared" si="8"/>
        <v/>
      </c>
      <c r="U87" s="29" t="str">
        <f t="shared" si="9"/>
        <v/>
      </c>
      <c r="V87" s="29" t="str">
        <f t="shared" si="10"/>
        <v/>
      </c>
      <c r="W87" s="29" t="str">
        <f t="shared" si="10"/>
        <v/>
      </c>
      <c r="X87" s="29" t="str">
        <f t="shared" si="10"/>
        <v/>
      </c>
      <c r="Y87" s="29" t="str">
        <f t="shared" si="10"/>
        <v/>
      </c>
      <c r="Z87" s="30" t="str">
        <f t="shared" si="10"/>
        <v/>
      </c>
    </row>
    <row r="88" spans="20:26" x14ac:dyDescent="0.3">
      <c r="T88" s="25" t="str">
        <f t="shared" si="8"/>
        <v/>
      </c>
      <c r="U88" s="29" t="str">
        <f t="shared" si="9"/>
        <v/>
      </c>
      <c r="V88" s="29" t="str">
        <f t="shared" si="10"/>
        <v/>
      </c>
      <c r="W88" s="29" t="str">
        <f t="shared" si="10"/>
        <v/>
      </c>
      <c r="X88" s="29" t="str">
        <f t="shared" si="10"/>
        <v/>
      </c>
      <c r="Y88" s="29" t="str">
        <f t="shared" si="10"/>
        <v/>
      </c>
      <c r="Z88" s="30" t="str">
        <f t="shared" si="10"/>
        <v/>
      </c>
    </row>
    <row r="89" spans="20:26" x14ac:dyDescent="0.3">
      <c r="T89" s="25" t="str">
        <f t="shared" si="8"/>
        <v/>
      </c>
      <c r="U89" s="29" t="str">
        <f t="shared" si="9"/>
        <v/>
      </c>
      <c r="V89" s="29" t="str">
        <f t="shared" si="10"/>
        <v/>
      </c>
      <c r="W89" s="29" t="str">
        <f t="shared" si="10"/>
        <v/>
      </c>
      <c r="X89" s="29" t="str">
        <f t="shared" si="10"/>
        <v/>
      </c>
      <c r="Y89" s="29" t="str">
        <f t="shared" si="10"/>
        <v/>
      </c>
      <c r="Z89" s="30" t="str">
        <f t="shared" si="10"/>
        <v/>
      </c>
    </row>
    <row r="90" spans="20:26" x14ac:dyDescent="0.3">
      <c r="T90" s="25" t="str">
        <f t="shared" si="8"/>
        <v/>
      </c>
      <c r="U90" s="29" t="str">
        <f t="shared" si="9"/>
        <v/>
      </c>
      <c r="V90" s="29" t="str">
        <f t="shared" si="10"/>
        <v/>
      </c>
      <c r="W90" s="29" t="str">
        <f t="shared" si="10"/>
        <v/>
      </c>
      <c r="X90" s="29" t="str">
        <f t="shared" si="10"/>
        <v/>
      </c>
      <c r="Y90" s="29" t="str">
        <f t="shared" si="10"/>
        <v/>
      </c>
      <c r="Z90" s="30" t="str">
        <f t="shared" si="10"/>
        <v/>
      </c>
    </row>
    <row r="91" spans="20:26" x14ac:dyDescent="0.3">
      <c r="T91" s="25" t="str">
        <f t="shared" si="8"/>
        <v/>
      </c>
      <c r="U91" s="29" t="str">
        <f t="shared" si="9"/>
        <v/>
      </c>
      <c r="V91" s="29" t="str">
        <f t="shared" si="10"/>
        <v/>
      </c>
      <c r="W91" s="29" t="str">
        <f t="shared" si="10"/>
        <v/>
      </c>
      <c r="X91" s="29" t="str">
        <f t="shared" si="10"/>
        <v/>
      </c>
      <c r="Y91" s="29" t="str">
        <f t="shared" si="10"/>
        <v/>
      </c>
      <c r="Z91" s="30" t="str">
        <f t="shared" si="10"/>
        <v/>
      </c>
    </row>
    <row r="92" spans="20:26" x14ac:dyDescent="0.3">
      <c r="T92" s="25" t="str">
        <f t="shared" si="8"/>
        <v/>
      </c>
      <c r="U92" s="29" t="str">
        <f t="shared" si="9"/>
        <v/>
      </c>
      <c r="V92" s="29" t="str">
        <f t="shared" si="10"/>
        <v/>
      </c>
      <c r="W92" s="29" t="str">
        <f t="shared" si="10"/>
        <v/>
      </c>
      <c r="X92" s="29" t="str">
        <f t="shared" si="10"/>
        <v/>
      </c>
      <c r="Y92" s="29" t="str">
        <f t="shared" si="10"/>
        <v/>
      </c>
      <c r="Z92" s="30" t="str">
        <f t="shared" si="10"/>
        <v/>
      </c>
    </row>
    <row r="93" spans="20:26" x14ac:dyDescent="0.3">
      <c r="T93" s="25" t="str">
        <f t="shared" si="8"/>
        <v/>
      </c>
      <c r="U93" s="29" t="str">
        <f t="shared" si="9"/>
        <v/>
      </c>
      <c r="V93" s="29" t="str">
        <f t="shared" si="10"/>
        <v/>
      </c>
      <c r="W93" s="29" t="str">
        <f t="shared" si="10"/>
        <v/>
      </c>
      <c r="X93" s="29" t="str">
        <f t="shared" si="10"/>
        <v/>
      </c>
      <c r="Y93" s="29" t="str">
        <f t="shared" si="10"/>
        <v/>
      </c>
      <c r="Z93" s="30" t="str">
        <f t="shared" si="10"/>
        <v/>
      </c>
    </row>
    <row r="94" spans="20:26" x14ac:dyDescent="0.3">
      <c r="T94" s="25" t="str">
        <f t="shared" si="8"/>
        <v/>
      </c>
      <c r="U94" s="29" t="str">
        <f t="shared" si="9"/>
        <v/>
      </c>
      <c r="V94" s="29" t="str">
        <f t="shared" si="10"/>
        <v/>
      </c>
      <c r="W94" s="29" t="str">
        <f t="shared" si="10"/>
        <v/>
      </c>
      <c r="X94" s="29" t="str">
        <f t="shared" si="10"/>
        <v/>
      </c>
      <c r="Y94" s="29" t="str">
        <f t="shared" si="10"/>
        <v/>
      </c>
      <c r="Z94" s="30" t="str">
        <f t="shared" si="10"/>
        <v/>
      </c>
    </row>
    <row r="95" spans="20:26" x14ac:dyDescent="0.3">
      <c r="T95" s="25" t="str">
        <f t="shared" si="8"/>
        <v/>
      </c>
      <c r="U95" s="29" t="str">
        <f t="shared" si="9"/>
        <v/>
      </c>
      <c r="V95" s="29" t="str">
        <f t="shared" si="10"/>
        <v/>
      </c>
      <c r="W95" s="29" t="str">
        <f t="shared" si="10"/>
        <v/>
      </c>
      <c r="X95" s="29" t="str">
        <f t="shared" si="10"/>
        <v/>
      </c>
      <c r="Y95" s="29" t="str">
        <f t="shared" si="10"/>
        <v/>
      </c>
      <c r="Z95" s="30" t="str">
        <f t="shared" si="10"/>
        <v/>
      </c>
    </row>
    <row r="96" spans="20:26" x14ac:dyDescent="0.3">
      <c r="T96" s="25" t="str">
        <f t="shared" si="8"/>
        <v/>
      </c>
      <c r="U96" s="29" t="str">
        <f t="shared" si="9"/>
        <v/>
      </c>
      <c r="V96" s="29" t="str">
        <f t="shared" si="10"/>
        <v/>
      </c>
      <c r="W96" s="29" t="str">
        <f t="shared" si="10"/>
        <v/>
      </c>
      <c r="X96" s="29" t="str">
        <f t="shared" si="10"/>
        <v/>
      </c>
      <c r="Y96" s="29" t="str">
        <f t="shared" si="10"/>
        <v/>
      </c>
      <c r="Z96" s="30" t="str">
        <f t="shared" si="10"/>
        <v/>
      </c>
    </row>
    <row r="97" spans="20:26" x14ac:dyDescent="0.3">
      <c r="T97" s="25" t="str">
        <f t="shared" si="8"/>
        <v/>
      </c>
      <c r="U97" s="29" t="str">
        <f t="shared" si="9"/>
        <v/>
      </c>
      <c r="V97" s="29" t="str">
        <f t="shared" si="10"/>
        <v/>
      </c>
      <c r="W97" s="29" t="str">
        <f t="shared" si="10"/>
        <v/>
      </c>
      <c r="X97" s="29" t="str">
        <f t="shared" si="10"/>
        <v/>
      </c>
      <c r="Y97" s="29" t="str">
        <f t="shared" si="10"/>
        <v/>
      </c>
      <c r="Z97" s="30" t="str">
        <f t="shared" si="10"/>
        <v/>
      </c>
    </row>
    <row r="98" spans="20:26" x14ac:dyDescent="0.3">
      <c r="T98" s="25" t="str">
        <f t="shared" si="8"/>
        <v/>
      </c>
      <c r="U98" s="29" t="str">
        <f t="shared" si="9"/>
        <v/>
      </c>
      <c r="V98" s="29" t="str">
        <f t="shared" si="10"/>
        <v/>
      </c>
      <c r="W98" s="29" t="str">
        <f t="shared" si="10"/>
        <v/>
      </c>
      <c r="X98" s="29" t="str">
        <f t="shared" si="10"/>
        <v/>
      </c>
      <c r="Y98" s="29" t="str">
        <f t="shared" si="10"/>
        <v/>
      </c>
      <c r="Z98" s="30" t="str">
        <f t="shared" si="10"/>
        <v/>
      </c>
    </row>
    <row r="99" spans="20:26" x14ac:dyDescent="0.3">
      <c r="T99" s="25" t="str">
        <f t="shared" si="8"/>
        <v/>
      </c>
      <c r="U99" s="29" t="str">
        <f t="shared" si="9"/>
        <v/>
      </c>
      <c r="V99" s="29" t="str">
        <f t="shared" si="10"/>
        <v/>
      </c>
      <c r="W99" s="29" t="str">
        <f t="shared" si="10"/>
        <v/>
      </c>
      <c r="X99" s="29" t="str">
        <f t="shared" si="10"/>
        <v/>
      </c>
      <c r="Y99" s="29" t="str">
        <f t="shared" si="10"/>
        <v/>
      </c>
      <c r="Z99" s="30" t="str">
        <f t="shared" si="10"/>
        <v/>
      </c>
    </row>
    <row r="100" spans="20:26" x14ac:dyDescent="0.3">
      <c r="T100" s="25" t="str">
        <f t="shared" si="8"/>
        <v/>
      </c>
      <c r="U100" s="29" t="str">
        <f t="shared" si="9"/>
        <v/>
      </c>
      <c r="V100" s="29" t="str">
        <f t="shared" si="10"/>
        <v/>
      </c>
      <c r="W100" s="29" t="str">
        <f t="shared" si="10"/>
        <v/>
      </c>
      <c r="X100" s="29" t="str">
        <f t="shared" si="10"/>
        <v/>
      </c>
      <c r="Y100" s="29" t="str">
        <f t="shared" si="10"/>
        <v/>
      </c>
      <c r="Z100" s="30" t="str">
        <f t="shared" si="10"/>
        <v/>
      </c>
    </row>
    <row r="101" spans="20:26" x14ac:dyDescent="0.3">
      <c r="T101" s="25" t="str">
        <f t="shared" si="8"/>
        <v/>
      </c>
      <c r="U101" s="29" t="str">
        <f t="shared" si="9"/>
        <v/>
      </c>
      <c r="V101" s="29" t="str">
        <f t="shared" si="10"/>
        <v/>
      </c>
      <c r="W101" s="29" t="str">
        <f t="shared" si="10"/>
        <v/>
      </c>
      <c r="X101" s="29" t="str">
        <f t="shared" si="10"/>
        <v/>
      </c>
      <c r="Y101" s="29" t="str">
        <f t="shared" si="10"/>
        <v/>
      </c>
      <c r="Z101" s="30" t="str">
        <f t="shared" si="10"/>
        <v/>
      </c>
    </row>
    <row r="102" spans="20:26" x14ac:dyDescent="0.3">
      <c r="T102" s="25" t="str">
        <f t="shared" si="8"/>
        <v/>
      </c>
      <c r="U102" s="29" t="str">
        <f t="shared" si="9"/>
        <v/>
      </c>
      <c r="V102" s="29" t="str">
        <f t="shared" si="10"/>
        <v/>
      </c>
      <c r="W102" s="29" t="str">
        <f t="shared" si="10"/>
        <v/>
      </c>
      <c r="X102" s="29" t="str">
        <f t="shared" si="10"/>
        <v/>
      </c>
      <c r="Y102" s="29" t="str">
        <f t="shared" si="10"/>
        <v/>
      </c>
      <c r="Z102" s="30" t="str">
        <f t="shared" si="10"/>
        <v/>
      </c>
    </row>
    <row r="103" spans="20:26" x14ac:dyDescent="0.3">
      <c r="T103" s="25" t="str">
        <f t="shared" si="8"/>
        <v/>
      </c>
      <c r="U103" s="29" t="str">
        <f t="shared" si="9"/>
        <v/>
      </c>
      <c r="V103" s="29" t="str">
        <f t="shared" si="10"/>
        <v/>
      </c>
      <c r="W103" s="29" t="str">
        <f t="shared" si="10"/>
        <v/>
      </c>
      <c r="X103" s="29" t="str">
        <f t="shared" si="10"/>
        <v/>
      </c>
      <c r="Y103" s="29" t="str">
        <f t="shared" si="10"/>
        <v/>
      </c>
      <c r="Z103" s="30" t="str">
        <f t="shared" si="10"/>
        <v/>
      </c>
    </row>
    <row r="104" spans="20:26" x14ac:dyDescent="0.3">
      <c r="T104" s="25" t="str">
        <f t="shared" si="8"/>
        <v/>
      </c>
      <c r="U104" s="29" t="str">
        <f t="shared" si="9"/>
        <v/>
      </c>
      <c r="V104" s="29" t="str">
        <f t="shared" ref="V104:Z123" si="11">IF($T104&gt;=V$2,$U104,-100)</f>
        <v/>
      </c>
      <c r="W104" s="29" t="str">
        <f t="shared" si="11"/>
        <v/>
      </c>
      <c r="X104" s="29" t="str">
        <f t="shared" si="11"/>
        <v/>
      </c>
      <c r="Y104" s="29" t="str">
        <f t="shared" si="11"/>
        <v/>
      </c>
      <c r="Z104" s="30" t="str">
        <f t="shared" si="11"/>
        <v/>
      </c>
    </row>
    <row r="105" spans="20:26" x14ac:dyDescent="0.3">
      <c r="T105" s="25" t="str">
        <f t="shared" si="8"/>
        <v/>
      </c>
      <c r="U105" s="29" t="str">
        <f t="shared" si="9"/>
        <v/>
      </c>
      <c r="V105" s="29" t="str">
        <f t="shared" si="11"/>
        <v/>
      </c>
      <c r="W105" s="29" t="str">
        <f t="shared" si="11"/>
        <v/>
      </c>
      <c r="X105" s="29" t="str">
        <f t="shared" si="11"/>
        <v/>
      </c>
      <c r="Y105" s="29" t="str">
        <f t="shared" si="11"/>
        <v/>
      </c>
      <c r="Z105" s="30" t="str">
        <f t="shared" si="11"/>
        <v/>
      </c>
    </row>
    <row r="106" spans="20:26" x14ac:dyDescent="0.3">
      <c r="T106" s="25" t="str">
        <f t="shared" si="8"/>
        <v/>
      </c>
      <c r="U106" s="29" t="str">
        <f t="shared" si="9"/>
        <v/>
      </c>
      <c r="V106" s="29" t="str">
        <f t="shared" si="11"/>
        <v/>
      </c>
      <c r="W106" s="29" t="str">
        <f t="shared" si="11"/>
        <v/>
      </c>
      <c r="X106" s="29" t="str">
        <f t="shared" si="11"/>
        <v/>
      </c>
      <c r="Y106" s="29" t="str">
        <f t="shared" si="11"/>
        <v/>
      </c>
      <c r="Z106" s="30" t="str">
        <f t="shared" si="11"/>
        <v/>
      </c>
    </row>
    <row r="107" spans="20:26" x14ac:dyDescent="0.3">
      <c r="T107" s="25" t="str">
        <f t="shared" si="8"/>
        <v/>
      </c>
      <c r="U107" s="29" t="str">
        <f t="shared" si="9"/>
        <v/>
      </c>
      <c r="V107" s="29" t="str">
        <f t="shared" si="11"/>
        <v/>
      </c>
      <c r="W107" s="29" t="str">
        <f t="shared" si="11"/>
        <v/>
      </c>
      <c r="X107" s="29" t="str">
        <f t="shared" si="11"/>
        <v/>
      </c>
      <c r="Y107" s="29" t="str">
        <f t="shared" si="11"/>
        <v/>
      </c>
      <c r="Z107" s="30" t="str">
        <f t="shared" si="11"/>
        <v/>
      </c>
    </row>
    <row r="108" spans="20:26" x14ac:dyDescent="0.3">
      <c r="T108" s="25" t="str">
        <f t="shared" si="8"/>
        <v/>
      </c>
      <c r="U108" s="29" t="str">
        <f t="shared" si="9"/>
        <v/>
      </c>
      <c r="V108" s="29" t="str">
        <f t="shared" si="11"/>
        <v/>
      </c>
      <c r="W108" s="29" t="str">
        <f t="shared" si="11"/>
        <v/>
      </c>
      <c r="X108" s="29" t="str">
        <f t="shared" si="11"/>
        <v/>
      </c>
      <c r="Y108" s="29" t="str">
        <f t="shared" si="11"/>
        <v/>
      </c>
      <c r="Z108" s="30" t="str">
        <f t="shared" si="11"/>
        <v/>
      </c>
    </row>
    <row r="109" spans="20:26" x14ac:dyDescent="0.3">
      <c r="T109" s="25" t="str">
        <f t="shared" si="8"/>
        <v/>
      </c>
      <c r="U109" s="29" t="str">
        <f t="shared" si="9"/>
        <v/>
      </c>
      <c r="V109" s="29" t="str">
        <f t="shared" si="11"/>
        <v/>
      </c>
      <c r="W109" s="29" t="str">
        <f t="shared" si="11"/>
        <v/>
      </c>
      <c r="X109" s="29" t="str">
        <f t="shared" si="11"/>
        <v/>
      </c>
      <c r="Y109" s="29" t="str">
        <f t="shared" si="11"/>
        <v/>
      </c>
      <c r="Z109" s="30" t="str">
        <f t="shared" si="11"/>
        <v/>
      </c>
    </row>
    <row r="110" spans="20:26" x14ac:dyDescent="0.3">
      <c r="T110" s="25" t="str">
        <f t="shared" si="8"/>
        <v/>
      </c>
      <c r="U110" s="29" t="str">
        <f t="shared" si="9"/>
        <v/>
      </c>
      <c r="V110" s="29" t="str">
        <f t="shared" si="11"/>
        <v/>
      </c>
      <c r="W110" s="29" t="str">
        <f t="shared" si="11"/>
        <v/>
      </c>
      <c r="X110" s="29" t="str">
        <f t="shared" si="11"/>
        <v/>
      </c>
      <c r="Y110" s="29" t="str">
        <f t="shared" si="11"/>
        <v/>
      </c>
      <c r="Z110" s="30" t="str">
        <f t="shared" si="11"/>
        <v/>
      </c>
    </row>
    <row r="111" spans="20:26" x14ac:dyDescent="0.3">
      <c r="T111" s="25" t="str">
        <f t="shared" si="8"/>
        <v/>
      </c>
      <c r="U111" s="29" t="str">
        <f t="shared" si="9"/>
        <v/>
      </c>
      <c r="V111" s="29" t="str">
        <f t="shared" si="11"/>
        <v/>
      </c>
      <c r="W111" s="29" t="str">
        <f t="shared" si="11"/>
        <v/>
      </c>
      <c r="X111" s="29" t="str">
        <f t="shared" si="11"/>
        <v/>
      </c>
      <c r="Y111" s="29" t="str">
        <f t="shared" si="11"/>
        <v/>
      </c>
      <c r="Z111" s="30" t="str">
        <f t="shared" si="11"/>
        <v/>
      </c>
    </row>
    <row r="112" spans="20:26" x14ac:dyDescent="0.3">
      <c r="T112" s="25" t="str">
        <f t="shared" si="8"/>
        <v/>
      </c>
      <c r="U112" s="29" t="str">
        <f t="shared" si="9"/>
        <v/>
      </c>
      <c r="V112" s="29" t="str">
        <f t="shared" si="11"/>
        <v/>
      </c>
      <c r="W112" s="29" t="str">
        <f t="shared" si="11"/>
        <v/>
      </c>
      <c r="X112" s="29" t="str">
        <f t="shared" si="11"/>
        <v/>
      </c>
      <c r="Y112" s="29" t="str">
        <f t="shared" si="11"/>
        <v/>
      </c>
      <c r="Z112" s="30" t="str">
        <f t="shared" si="11"/>
        <v/>
      </c>
    </row>
    <row r="113" spans="20:26" x14ac:dyDescent="0.3">
      <c r="T113" s="25" t="str">
        <f t="shared" si="8"/>
        <v/>
      </c>
      <c r="U113" s="29" t="str">
        <f t="shared" si="9"/>
        <v/>
      </c>
      <c r="V113" s="29" t="str">
        <f t="shared" si="11"/>
        <v/>
      </c>
      <c r="W113" s="29" t="str">
        <f t="shared" si="11"/>
        <v/>
      </c>
      <c r="X113" s="29" t="str">
        <f t="shared" si="11"/>
        <v/>
      </c>
      <c r="Y113" s="29" t="str">
        <f t="shared" si="11"/>
        <v/>
      </c>
      <c r="Z113" s="30" t="str">
        <f t="shared" si="11"/>
        <v/>
      </c>
    </row>
    <row r="114" spans="20:26" x14ac:dyDescent="0.3">
      <c r="T114" s="25" t="str">
        <f t="shared" si="8"/>
        <v/>
      </c>
      <c r="U114" s="29" t="str">
        <f t="shared" si="9"/>
        <v/>
      </c>
      <c r="V114" s="29" t="str">
        <f t="shared" si="11"/>
        <v/>
      </c>
      <c r="W114" s="29" t="str">
        <f t="shared" si="11"/>
        <v/>
      </c>
      <c r="X114" s="29" t="str">
        <f t="shared" si="11"/>
        <v/>
      </c>
      <c r="Y114" s="29" t="str">
        <f t="shared" si="11"/>
        <v/>
      </c>
      <c r="Z114" s="30" t="str">
        <f t="shared" si="11"/>
        <v/>
      </c>
    </row>
    <row r="115" spans="20:26" x14ac:dyDescent="0.3">
      <c r="T115" s="25" t="str">
        <f t="shared" si="8"/>
        <v/>
      </c>
      <c r="U115" s="29" t="str">
        <f t="shared" si="9"/>
        <v/>
      </c>
      <c r="V115" s="29" t="str">
        <f t="shared" si="11"/>
        <v/>
      </c>
      <c r="W115" s="29" t="str">
        <f t="shared" si="11"/>
        <v/>
      </c>
      <c r="X115" s="29" t="str">
        <f t="shared" si="11"/>
        <v/>
      </c>
      <c r="Y115" s="29" t="str">
        <f t="shared" si="11"/>
        <v/>
      </c>
      <c r="Z115" s="30" t="str">
        <f t="shared" si="11"/>
        <v/>
      </c>
    </row>
    <row r="116" spans="20:26" x14ac:dyDescent="0.3">
      <c r="T116" s="25" t="str">
        <f t="shared" si="8"/>
        <v/>
      </c>
      <c r="U116" s="29" t="str">
        <f t="shared" si="9"/>
        <v/>
      </c>
      <c r="V116" s="29" t="str">
        <f t="shared" si="11"/>
        <v/>
      </c>
      <c r="W116" s="29" t="str">
        <f t="shared" si="11"/>
        <v/>
      </c>
      <c r="X116" s="29" t="str">
        <f t="shared" si="11"/>
        <v/>
      </c>
      <c r="Y116" s="29" t="str">
        <f t="shared" si="11"/>
        <v/>
      </c>
      <c r="Z116" s="30" t="str">
        <f t="shared" si="11"/>
        <v/>
      </c>
    </row>
    <row r="117" spans="20:26" x14ac:dyDescent="0.3">
      <c r="T117" s="25" t="str">
        <f t="shared" si="8"/>
        <v/>
      </c>
      <c r="U117" s="29" t="str">
        <f t="shared" si="9"/>
        <v/>
      </c>
      <c r="V117" s="29" t="str">
        <f t="shared" si="11"/>
        <v/>
      </c>
      <c r="W117" s="29" t="str">
        <f t="shared" si="11"/>
        <v/>
      </c>
      <c r="X117" s="29" t="str">
        <f t="shared" si="11"/>
        <v/>
      </c>
      <c r="Y117" s="29" t="str">
        <f t="shared" si="11"/>
        <v/>
      </c>
      <c r="Z117" s="30" t="str">
        <f t="shared" si="11"/>
        <v/>
      </c>
    </row>
    <row r="118" spans="20:26" x14ac:dyDescent="0.3">
      <c r="T118" s="25" t="str">
        <f t="shared" si="8"/>
        <v/>
      </c>
      <c r="U118" s="29" t="str">
        <f t="shared" si="9"/>
        <v/>
      </c>
      <c r="V118" s="29" t="str">
        <f t="shared" si="11"/>
        <v/>
      </c>
      <c r="W118" s="29" t="str">
        <f t="shared" si="11"/>
        <v/>
      </c>
      <c r="X118" s="29" t="str">
        <f t="shared" si="11"/>
        <v/>
      </c>
      <c r="Y118" s="29" t="str">
        <f t="shared" si="11"/>
        <v/>
      </c>
      <c r="Z118" s="30" t="str">
        <f t="shared" si="11"/>
        <v/>
      </c>
    </row>
    <row r="119" spans="20:26" x14ac:dyDescent="0.3">
      <c r="T119" s="25" t="str">
        <f t="shared" si="8"/>
        <v/>
      </c>
      <c r="U119" s="29" t="str">
        <f t="shared" si="9"/>
        <v/>
      </c>
      <c r="V119" s="29" t="str">
        <f t="shared" si="11"/>
        <v/>
      </c>
      <c r="W119" s="29" t="str">
        <f t="shared" si="11"/>
        <v/>
      </c>
      <c r="X119" s="29" t="str">
        <f t="shared" si="11"/>
        <v/>
      </c>
      <c r="Y119" s="29" t="str">
        <f t="shared" si="11"/>
        <v/>
      </c>
      <c r="Z119" s="30" t="str">
        <f t="shared" si="11"/>
        <v/>
      </c>
    </row>
    <row r="120" spans="20:26" x14ac:dyDescent="0.3">
      <c r="T120" s="25" t="str">
        <f t="shared" si="8"/>
        <v/>
      </c>
      <c r="U120" s="29" t="str">
        <f t="shared" si="9"/>
        <v/>
      </c>
      <c r="V120" s="29" t="str">
        <f t="shared" si="11"/>
        <v/>
      </c>
      <c r="W120" s="29" t="str">
        <f t="shared" si="11"/>
        <v/>
      </c>
      <c r="X120" s="29" t="str">
        <f t="shared" si="11"/>
        <v/>
      </c>
      <c r="Y120" s="29" t="str">
        <f t="shared" si="11"/>
        <v/>
      </c>
      <c r="Z120" s="30" t="str">
        <f t="shared" si="11"/>
        <v/>
      </c>
    </row>
    <row r="121" spans="20:26" x14ac:dyDescent="0.3">
      <c r="T121" s="25" t="str">
        <f t="shared" si="8"/>
        <v/>
      </c>
      <c r="U121" s="29" t="str">
        <f t="shared" si="9"/>
        <v/>
      </c>
      <c r="V121" s="29" t="str">
        <f t="shared" si="11"/>
        <v/>
      </c>
      <c r="W121" s="29" t="str">
        <f t="shared" si="11"/>
        <v/>
      </c>
      <c r="X121" s="29" t="str">
        <f t="shared" si="11"/>
        <v/>
      </c>
      <c r="Y121" s="29" t="str">
        <f t="shared" si="11"/>
        <v/>
      </c>
      <c r="Z121" s="30" t="str">
        <f t="shared" si="11"/>
        <v/>
      </c>
    </row>
    <row r="122" spans="20:26" x14ac:dyDescent="0.3">
      <c r="T122" s="25" t="str">
        <f t="shared" si="8"/>
        <v/>
      </c>
      <c r="U122" s="29" t="str">
        <f t="shared" si="9"/>
        <v/>
      </c>
      <c r="V122" s="29" t="str">
        <f t="shared" si="11"/>
        <v/>
      </c>
      <c r="W122" s="29" t="str">
        <f t="shared" si="11"/>
        <v/>
      </c>
      <c r="X122" s="29" t="str">
        <f t="shared" si="11"/>
        <v/>
      </c>
      <c r="Y122" s="29" t="str">
        <f t="shared" si="11"/>
        <v/>
      </c>
      <c r="Z122" s="30" t="str">
        <f t="shared" si="11"/>
        <v/>
      </c>
    </row>
    <row r="123" spans="20:26" x14ac:dyDescent="0.3">
      <c r="T123" s="25" t="str">
        <f t="shared" si="8"/>
        <v/>
      </c>
      <c r="U123" s="29" t="str">
        <f t="shared" si="9"/>
        <v/>
      </c>
      <c r="V123" s="29" t="str">
        <f t="shared" si="11"/>
        <v/>
      </c>
      <c r="W123" s="29" t="str">
        <f t="shared" si="11"/>
        <v/>
      </c>
      <c r="X123" s="29" t="str">
        <f t="shared" si="11"/>
        <v/>
      </c>
      <c r="Y123" s="29" t="str">
        <f t="shared" si="11"/>
        <v/>
      </c>
      <c r="Z123" s="30" t="str">
        <f t="shared" si="11"/>
        <v/>
      </c>
    </row>
    <row r="124" spans="20:26" x14ac:dyDescent="0.3">
      <c r="T124" s="25" t="str">
        <f t="shared" si="8"/>
        <v/>
      </c>
      <c r="U124" s="29" t="str">
        <f t="shared" si="9"/>
        <v/>
      </c>
      <c r="V124" s="29" t="str">
        <f t="shared" ref="V124:Z143" si="12">IF($T124&gt;=V$2,$U124,-100)</f>
        <v/>
      </c>
      <c r="W124" s="29" t="str">
        <f t="shared" si="12"/>
        <v/>
      </c>
      <c r="X124" s="29" t="str">
        <f t="shared" si="12"/>
        <v/>
      </c>
      <c r="Y124" s="29" t="str">
        <f t="shared" si="12"/>
        <v/>
      </c>
      <c r="Z124" s="30" t="str">
        <f t="shared" si="12"/>
        <v/>
      </c>
    </row>
    <row r="125" spans="20:26" x14ac:dyDescent="0.3">
      <c r="T125" s="25" t="str">
        <f t="shared" si="8"/>
        <v/>
      </c>
      <c r="U125" s="29" t="str">
        <f t="shared" si="9"/>
        <v/>
      </c>
      <c r="V125" s="29" t="str">
        <f t="shared" si="12"/>
        <v/>
      </c>
      <c r="W125" s="29" t="str">
        <f t="shared" si="12"/>
        <v/>
      </c>
      <c r="X125" s="29" t="str">
        <f t="shared" si="12"/>
        <v/>
      </c>
      <c r="Y125" s="29" t="str">
        <f t="shared" si="12"/>
        <v/>
      </c>
      <c r="Z125" s="30" t="str">
        <f t="shared" si="12"/>
        <v/>
      </c>
    </row>
    <row r="126" spans="20:26" x14ac:dyDescent="0.3">
      <c r="T126" s="25" t="str">
        <f t="shared" si="8"/>
        <v/>
      </c>
      <c r="U126" s="29" t="str">
        <f t="shared" si="9"/>
        <v/>
      </c>
      <c r="V126" s="29" t="str">
        <f t="shared" si="12"/>
        <v/>
      </c>
      <c r="W126" s="29" t="str">
        <f t="shared" si="12"/>
        <v/>
      </c>
      <c r="X126" s="29" t="str">
        <f t="shared" si="12"/>
        <v/>
      </c>
      <c r="Y126" s="29" t="str">
        <f t="shared" si="12"/>
        <v/>
      </c>
      <c r="Z126" s="30" t="str">
        <f t="shared" si="12"/>
        <v/>
      </c>
    </row>
    <row r="127" spans="20:26" x14ac:dyDescent="0.3">
      <c r="T127" s="25" t="str">
        <f t="shared" si="8"/>
        <v/>
      </c>
      <c r="U127" s="29" t="str">
        <f t="shared" si="9"/>
        <v/>
      </c>
      <c r="V127" s="29" t="str">
        <f t="shared" si="12"/>
        <v/>
      </c>
      <c r="W127" s="29" t="str">
        <f t="shared" si="12"/>
        <v/>
      </c>
      <c r="X127" s="29" t="str">
        <f t="shared" si="12"/>
        <v/>
      </c>
      <c r="Y127" s="29" t="str">
        <f t="shared" si="12"/>
        <v/>
      </c>
      <c r="Z127" s="30" t="str">
        <f t="shared" si="12"/>
        <v/>
      </c>
    </row>
    <row r="128" spans="20:26" x14ac:dyDescent="0.3">
      <c r="T128" s="25" t="str">
        <f t="shared" si="8"/>
        <v/>
      </c>
      <c r="U128" s="29" t="str">
        <f t="shared" si="9"/>
        <v/>
      </c>
      <c r="V128" s="29" t="str">
        <f t="shared" si="12"/>
        <v/>
      </c>
      <c r="W128" s="29" t="str">
        <f t="shared" si="12"/>
        <v/>
      </c>
      <c r="X128" s="29" t="str">
        <f t="shared" si="12"/>
        <v/>
      </c>
      <c r="Y128" s="29" t="str">
        <f t="shared" si="12"/>
        <v/>
      </c>
      <c r="Z128" s="30" t="str">
        <f t="shared" si="12"/>
        <v/>
      </c>
    </row>
    <row r="129" spans="20:26" x14ac:dyDescent="0.3">
      <c r="T129" s="25" t="str">
        <f t="shared" si="8"/>
        <v/>
      </c>
      <c r="U129" s="29" t="str">
        <f t="shared" si="9"/>
        <v/>
      </c>
      <c r="V129" s="29" t="str">
        <f t="shared" si="12"/>
        <v/>
      </c>
      <c r="W129" s="29" t="str">
        <f t="shared" si="12"/>
        <v/>
      </c>
      <c r="X129" s="29" t="str">
        <f t="shared" si="12"/>
        <v/>
      </c>
      <c r="Y129" s="29" t="str">
        <f t="shared" si="12"/>
        <v/>
      </c>
      <c r="Z129" s="30" t="str">
        <f t="shared" si="12"/>
        <v/>
      </c>
    </row>
    <row r="130" spans="20:26" x14ac:dyDescent="0.3">
      <c r="T130" s="25" t="str">
        <f t="shared" si="8"/>
        <v/>
      </c>
      <c r="U130" s="29" t="str">
        <f t="shared" si="9"/>
        <v/>
      </c>
      <c r="V130" s="29" t="str">
        <f t="shared" si="12"/>
        <v/>
      </c>
      <c r="W130" s="29" t="str">
        <f t="shared" si="12"/>
        <v/>
      </c>
      <c r="X130" s="29" t="str">
        <f t="shared" si="12"/>
        <v/>
      </c>
      <c r="Y130" s="29" t="str">
        <f t="shared" si="12"/>
        <v/>
      </c>
      <c r="Z130" s="30" t="str">
        <f t="shared" si="12"/>
        <v/>
      </c>
    </row>
    <row r="131" spans="20:26" x14ac:dyDescent="0.3">
      <c r="T131" s="25" t="str">
        <f t="shared" ref="T131:T194" si="13">IF(ROW()-2&lt;=$Q$4*$Q$27,"",IF(ROW()-2&gt;$Q$24*$Q$26,"",ROW()-2))</f>
        <v/>
      </c>
      <c r="U131" s="29" t="str">
        <f t="shared" si="9"/>
        <v/>
      </c>
      <c r="V131" s="29" t="str">
        <f t="shared" si="12"/>
        <v/>
      </c>
      <c r="W131" s="29" t="str">
        <f t="shared" si="12"/>
        <v/>
      </c>
      <c r="X131" s="29" t="str">
        <f t="shared" si="12"/>
        <v/>
      </c>
      <c r="Y131" s="29" t="str">
        <f t="shared" si="12"/>
        <v/>
      </c>
      <c r="Z131" s="30" t="str">
        <f t="shared" si="12"/>
        <v/>
      </c>
    </row>
    <row r="132" spans="20:26" x14ac:dyDescent="0.3">
      <c r="T132" s="25" t="str">
        <f t="shared" si="13"/>
        <v/>
      </c>
      <c r="U132" s="29" t="str">
        <f t="shared" ref="U132:U195" si="14">IFERROR(_xlfn.NORM.DIST(T132,$Q$1,$Q$2,FALSE),"")</f>
        <v/>
      </c>
      <c r="V132" s="29" t="str">
        <f t="shared" si="12"/>
        <v/>
      </c>
      <c r="W132" s="29" t="str">
        <f t="shared" si="12"/>
        <v/>
      </c>
      <c r="X132" s="29" t="str">
        <f t="shared" si="12"/>
        <v/>
      </c>
      <c r="Y132" s="29" t="str">
        <f t="shared" si="12"/>
        <v/>
      </c>
      <c r="Z132" s="30" t="str">
        <f t="shared" si="12"/>
        <v/>
      </c>
    </row>
    <row r="133" spans="20:26" x14ac:dyDescent="0.3">
      <c r="T133" s="25" t="str">
        <f t="shared" si="13"/>
        <v/>
      </c>
      <c r="U133" s="29" t="str">
        <f t="shared" si="14"/>
        <v/>
      </c>
      <c r="V133" s="29" t="str">
        <f t="shared" si="12"/>
        <v/>
      </c>
      <c r="W133" s="29" t="str">
        <f t="shared" si="12"/>
        <v/>
      </c>
      <c r="X133" s="29" t="str">
        <f t="shared" si="12"/>
        <v/>
      </c>
      <c r="Y133" s="29" t="str">
        <f t="shared" si="12"/>
        <v/>
      </c>
      <c r="Z133" s="30" t="str">
        <f t="shared" si="12"/>
        <v/>
      </c>
    </row>
    <row r="134" spans="20:26" x14ac:dyDescent="0.3">
      <c r="T134" s="25" t="str">
        <f t="shared" si="13"/>
        <v/>
      </c>
      <c r="U134" s="29" t="str">
        <f t="shared" si="14"/>
        <v/>
      </c>
      <c r="V134" s="29" t="str">
        <f t="shared" si="12"/>
        <v/>
      </c>
      <c r="W134" s="29" t="str">
        <f t="shared" si="12"/>
        <v/>
      </c>
      <c r="X134" s="29" t="str">
        <f t="shared" si="12"/>
        <v/>
      </c>
      <c r="Y134" s="29" t="str">
        <f t="shared" si="12"/>
        <v/>
      </c>
      <c r="Z134" s="30" t="str">
        <f t="shared" si="12"/>
        <v/>
      </c>
    </row>
    <row r="135" spans="20:26" x14ac:dyDescent="0.3">
      <c r="T135" s="25" t="str">
        <f t="shared" si="13"/>
        <v/>
      </c>
      <c r="U135" s="29" t="str">
        <f t="shared" si="14"/>
        <v/>
      </c>
      <c r="V135" s="29" t="str">
        <f t="shared" si="12"/>
        <v/>
      </c>
      <c r="W135" s="29" t="str">
        <f t="shared" si="12"/>
        <v/>
      </c>
      <c r="X135" s="29" t="str">
        <f t="shared" si="12"/>
        <v/>
      </c>
      <c r="Y135" s="29" t="str">
        <f t="shared" si="12"/>
        <v/>
      </c>
      <c r="Z135" s="30" t="str">
        <f t="shared" si="12"/>
        <v/>
      </c>
    </row>
    <row r="136" spans="20:26" x14ac:dyDescent="0.3">
      <c r="T136" s="25" t="str">
        <f t="shared" si="13"/>
        <v/>
      </c>
      <c r="U136" s="29" t="str">
        <f t="shared" si="14"/>
        <v/>
      </c>
      <c r="V136" s="29" t="str">
        <f t="shared" si="12"/>
        <v/>
      </c>
      <c r="W136" s="29" t="str">
        <f t="shared" si="12"/>
        <v/>
      </c>
      <c r="X136" s="29" t="str">
        <f t="shared" si="12"/>
        <v/>
      </c>
      <c r="Y136" s="29" t="str">
        <f t="shared" si="12"/>
        <v/>
      </c>
      <c r="Z136" s="30" t="str">
        <f t="shared" si="12"/>
        <v/>
      </c>
    </row>
    <row r="137" spans="20:26" x14ac:dyDescent="0.3">
      <c r="T137" s="25" t="str">
        <f t="shared" si="13"/>
        <v/>
      </c>
      <c r="U137" s="29" t="str">
        <f t="shared" si="14"/>
        <v/>
      </c>
      <c r="V137" s="29" t="str">
        <f t="shared" si="12"/>
        <v/>
      </c>
      <c r="W137" s="29" t="str">
        <f t="shared" si="12"/>
        <v/>
      </c>
      <c r="X137" s="29" t="str">
        <f t="shared" si="12"/>
        <v/>
      </c>
      <c r="Y137" s="29" t="str">
        <f t="shared" si="12"/>
        <v/>
      </c>
      <c r="Z137" s="30" t="str">
        <f t="shared" si="12"/>
        <v/>
      </c>
    </row>
    <row r="138" spans="20:26" x14ac:dyDescent="0.3">
      <c r="T138" s="25" t="str">
        <f t="shared" si="13"/>
        <v/>
      </c>
      <c r="U138" s="29" t="str">
        <f t="shared" si="14"/>
        <v/>
      </c>
      <c r="V138" s="29" t="str">
        <f t="shared" si="12"/>
        <v/>
      </c>
      <c r="W138" s="29" t="str">
        <f t="shared" si="12"/>
        <v/>
      </c>
      <c r="X138" s="29" t="str">
        <f t="shared" si="12"/>
        <v/>
      </c>
      <c r="Y138" s="29" t="str">
        <f t="shared" si="12"/>
        <v/>
      </c>
      <c r="Z138" s="30" t="str">
        <f t="shared" si="12"/>
        <v/>
      </c>
    </row>
    <row r="139" spans="20:26" x14ac:dyDescent="0.3">
      <c r="T139" s="25" t="str">
        <f t="shared" si="13"/>
        <v/>
      </c>
      <c r="U139" s="29" t="str">
        <f t="shared" si="14"/>
        <v/>
      </c>
      <c r="V139" s="29" t="str">
        <f t="shared" si="12"/>
        <v/>
      </c>
      <c r="W139" s="29" t="str">
        <f t="shared" si="12"/>
        <v/>
      </c>
      <c r="X139" s="29" t="str">
        <f t="shared" si="12"/>
        <v/>
      </c>
      <c r="Y139" s="29" t="str">
        <f t="shared" si="12"/>
        <v/>
      </c>
      <c r="Z139" s="30" t="str">
        <f t="shared" si="12"/>
        <v/>
      </c>
    </row>
    <row r="140" spans="20:26" x14ac:dyDescent="0.3">
      <c r="T140" s="25" t="str">
        <f t="shared" si="13"/>
        <v/>
      </c>
      <c r="U140" s="29" t="str">
        <f t="shared" si="14"/>
        <v/>
      </c>
      <c r="V140" s="29" t="str">
        <f t="shared" si="12"/>
        <v/>
      </c>
      <c r="W140" s="29" t="str">
        <f t="shared" si="12"/>
        <v/>
      </c>
      <c r="X140" s="29" t="str">
        <f t="shared" si="12"/>
        <v/>
      </c>
      <c r="Y140" s="29" t="str">
        <f t="shared" si="12"/>
        <v/>
      </c>
      <c r="Z140" s="30" t="str">
        <f t="shared" si="12"/>
        <v/>
      </c>
    </row>
    <row r="141" spans="20:26" x14ac:dyDescent="0.3">
      <c r="T141" s="25" t="str">
        <f t="shared" si="13"/>
        <v/>
      </c>
      <c r="U141" s="29" t="str">
        <f t="shared" si="14"/>
        <v/>
      </c>
      <c r="V141" s="29" t="str">
        <f t="shared" si="12"/>
        <v/>
      </c>
      <c r="W141" s="29" t="str">
        <f t="shared" si="12"/>
        <v/>
      </c>
      <c r="X141" s="29" t="str">
        <f t="shared" si="12"/>
        <v/>
      </c>
      <c r="Y141" s="29" t="str">
        <f t="shared" si="12"/>
        <v/>
      </c>
      <c r="Z141" s="30" t="str">
        <f t="shared" si="12"/>
        <v/>
      </c>
    </row>
    <row r="142" spans="20:26" x14ac:dyDescent="0.3">
      <c r="T142" s="25" t="str">
        <f t="shared" si="13"/>
        <v/>
      </c>
      <c r="U142" s="29" t="str">
        <f t="shared" si="14"/>
        <v/>
      </c>
      <c r="V142" s="29" t="str">
        <f t="shared" si="12"/>
        <v/>
      </c>
      <c r="W142" s="29" t="str">
        <f t="shared" si="12"/>
        <v/>
      </c>
      <c r="X142" s="29" t="str">
        <f t="shared" si="12"/>
        <v/>
      </c>
      <c r="Y142" s="29" t="str">
        <f t="shared" si="12"/>
        <v/>
      </c>
      <c r="Z142" s="30" t="str">
        <f t="shared" si="12"/>
        <v/>
      </c>
    </row>
    <row r="143" spans="20:26" x14ac:dyDescent="0.3">
      <c r="T143" s="25" t="str">
        <f t="shared" si="13"/>
        <v/>
      </c>
      <c r="U143" s="29" t="str">
        <f t="shared" si="14"/>
        <v/>
      </c>
      <c r="V143" s="29" t="str">
        <f t="shared" si="12"/>
        <v/>
      </c>
      <c r="W143" s="29" t="str">
        <f t="shared" si="12"/>
        <v/>
      </c>
      <c r="X143" s="29" t="str">
        <f t="shared" si="12"/>
        <v/>
      </c>
      <c r="Y143" s="29" t="str">
        <f t="shared" si="12"/>
        <v/>
      </c>
      <c r="Z143" s="30" t="str">
        <f t="shared" si="12"/>
        <v/>
      </c>
    </row>
    <row r="144" spans="20:26" x14ac:dyDescent="0.3">
      <c r="T144" s="25" t="str">
        <f t="shared" si="13"/>
        <v/>
      </c>
      <c r="U144" s="29" t="str">
        <f t="shared" si="14"/>
        <v/>
      </c>
      <c r="V144" s="29" t="str">
        <f t="shared" ref="V144:Z163" si="15">IF($T144&gt;=V$2,$U144,-100)</f>
        <v/>
      </c>
      <c r="W144" s="29" t="str">
        <f t="shared" si="15"/>
        <v/>
      </c>
      <c r="X144" s="29" t="str">
        <f t="shared" si="15"/>
        <v/>
      </c>
      <c r="Y144" s="29" t="str">
        <f t="shared" si="15"/>
        <v/>
      </c>
      <c r="Z144" s="30" t="str">
        <f t="shared" si="15"/>
        <v/>
      </c>
    </row>
    <row r="145" spans="20:26" x14ac:dyDescent="0.3">
      <c r="T145" s="25" t="str">
        <f t="shared" si="13"/>
        <v/>
      </c>
      <c r="U145" s="29" t="str">
        <f t="shared" si="14"/>
        <v/>
      </c>
      <c r="V145" s="29" t="str">
        <f t="shared" si="15"/>
        <v/>
      </c>
      <c r="W145" s="29" t="str">
        <f t="shared" si="15"/>
        <v/>
      </c>
      <c r="X145" s="29" t="str">
        <f t="shared" si="15"/>
        <v/>
      </c>
      <c r="Y145" s="29" t="str">
        <f t="shared" si="15"/>
        <v/>
      </c>
      <c r="Z145" s="30" t="str">
        <f t="shared" si="15"/>
        <v/>
      </c>
    </row>
    <row r="146" spans="20:26" x14ac:dyDescent="0.3">
      <c r="T146" s="25" t="str">
        <f t="shared" si="13"/>
        <v/>
      </c>
      <c r="U146" s="29" t="str">
        <f t="shared" si="14"/>
        <v/>
      </c>
      <c r="V146" s="29" t="str">
        <f t="shared" si="15"/>
        <v/>
      </c>
      <c r="W146" s="29" t="str">
        <f t="shared" si="15"/>
        <v/>
      </c>
      <c r="X146" s="29" t="str">
        <f t="shared" si="15"/>
        <v/>
      </c>
      <c r="Y146" s="29" t="str">
        <f t="shared" si="15"/>
        <v/>
      </c>
      <c r="Z146" s="30" t="str">
        <f t="shared" si="15"/>
        <v/>
      </c>
    </row>
    <row r="147" spans="20:26" x14ac:dyDescent="0.3">
      <c r="T147" s="25" t="str">
        <f t="shared" si="13"/>
        <v/>
      </c>
      <c r="U147" s="29" t="str">
        <f t="shared" si="14"/>
        <v/>
      </c>
      <c r="V147" s="29" t="str">
        <f t="shared" si="15"/>
        <v/>
      </c>
      <c r="W147" s="29" t="str">
        <f t="shared" si="15"/>
        <v/>
      </c>
      <c r="X147" s="29" t="str">
        <f t="shared" si="15"/>
        <v/>
      </c>
      <c r="Y147" s="29" t="str">
        <f t="shared" si="15"/>
        <v/>
      </c>
      <c r="Z147" s="30" t="str">
        <f t="shared" si="15"/>
        <v/>
      </c>
    </row>
    <row r="148" spans="20:26" x14ac:dyDescent="0.3">
      <c r="T148" s="25" t="str">
        <f t="shared" si="13"/>
        <v/>
      </c>
      <c r="U148" s="29" t="str">
        <f t="shared" si="14"/>
        <v/>
      </c>
      <c r="V148" s="29" t="str">
        <f t="shared" si="15"/>
        <v/>
      </c>
      <c r="W148" s="29" t="str">
        <f t="shared" si="15"/>
        <v/>
      </c>
      <c r="X148" s="29" t="str">
        <f t="shared" si="15"/>
        <v/>
      </c>
      <c r="Y148" s="29" t="str">
        <f t="shared" si="15"/>
        <v/>
      </c>
      <c r="Z148" s="30" t="str">
        <f t="shared" si="15"/>
        <v/>
      </c>
    </row>
    <row r="149" spans="20:26" x14ac:dyDescent="0.3">
      <c r="T149" s="25" t="str">
        <f t="shared" si="13"/>
        <v/>
      </c>
      <c r="U149" s="29" t="str">
        <f t="shared" si="14"/>
        <v/>
      </c>
      <c r="V149" s="29" t="str">
        <f t="shared" si="15"/>
        <v/>
      </c>
      <c r="W149" s="29" t="str">
        <f t="shared" si="15"/>
        <v/>
      </c>
      <c r="X149" s="29" t="str">
        <f t="shared" si="15"/>
        <v/>
      </c>
      <c r="Y149" s="29" t="str">
        <f t="shared" si="15"/>
        <v/>
      </c>
      <c r="Z149" s="30" t="str">
        <f t="shared" si="15"/>
        <v/>
      </c>
    </row>
    <row r="150" spans="20:26" x14ac:dyDescent="0.3">
      <c r="T150" s="25" t="str">
        <f t="shared" si="13"/>
        <v/>
      </c>
      <c r="U150" s="29" t="str">
        <f t="shared" si="14"/>
        <v/>
      </c>
      <c r="V150" s="29" t="str">
        <f t="shared" si="15"/>
        <v/>
      </c>
      <c r="W150" s="29" t="str">
        <f t="shared" si="15"/>
        <v/>
      </c>
      <c r="X150" s="29" t="str">
        <f t="shared" si="15"/>
        <v/>
      </c>
      <c r="Y150" s="29" t="str">
        <f t="shared" si="15"/>
        <v/>
      </c>
      <c r="Z150" s="30" t="str">
        <f t="shared" si="15"/>
        <v/>
      </c>
    </row>
    <row r="151" spans="20:26" x14ac:dyDescent="0.3">
      <c r="T151" s="25" t="str">
        <f t="shared" si="13"/>
        <v/>
      </c>
      <c r="U151" s="29" t="str">
        <f t="shared" si="14"/>
        <v/>
      </c>
      <c r="V151" s="29" t="str">
        <f t="shared" si="15"/>
        <v/>
      </c>
      <c r="W151" s="29" t="str">
        <f t="shared" si="15"/>
        <v/>
      </c>
      <c r="X151" s="29" t="str">
        <f t="shared" si="15"/>
        <v/>
      </c>
      <c r="Y151" s="29" t="str">
        <f t="shared" si="15"/>
        <v/>
      </c>
      <c r="Z151" s="30" t="str">
        <f t="shared" si="15"/>
        <v/>
      </c>
    </row>
    <row r="152" spans="20:26" x14ac:dyDescent="0.3">
      <c r="T152" s="25" t="str">
        <f t="shared" si="13"/>
        <v/>
      </c>
      <c r="U152" s="29" t="str">
        <f t="shared" si="14"/>
        <v/>
      </c>
      <c r="V152" s="29" t="str">
        <f t="shared" si="15"/>
        <v/>
      </c>
      <c r="W152" s="29" t="str">
        <f t="shared" si="15"/>
        <v/>
      </c>
      <c r="X152" s="29" t="str">
        <f t="shared" si="15"/>
        <v/>
      </c>
      <c r="Y152" s="29" t="str">
        <f t="shared" si="15"/>
        <v/>
      </c>
      <c r="Z152" s="30" t="str">
        <f t="shared" si="15"/>
        <v/>
      </c>
    </row>
    <row r="153" spans="20:26" x14ac:dyDescent="0.3">
      <c r="T153" s="25" t="str">
        <f t="shared" si="13"/>
        <v/>
      </c>
      <c r="U153" s="29" t="str">
        <f t="shared" si="14"/>
        <v/>
      </c>
      <c r="V153" s="29" t="str">
        <f t="shared" si="15"/>
        <v/>
      </c>
      <c r="W153" s="29" t="str">
        <f t="shared" si="15"/>
        <v/>
      </c>
      <c r="X153" s="29" t="str">
        <f t="shared" si="15"/>
        <v/>
      </c>
      <c r="Y153" s="29" t="str">
        <f t="shared" si="15"/>
        <v/>
      </c>
      <c r="Z153" s="30" t="str">
        <f t="shared" si="15"/>
        <v/>
      </c>
    </row>
    <row r="154" spans="20:26" x14ac:dyDescent="0.3">
      <c r="T154" s="25" t="str">
        <f t="shared" si="13"/>
        <v/>
      </c>
      <c r="U154" s="29" t="str">
        <f t="shared" si="14"/>
        <v/>
      </c>
      <c r="V154" s="29" t="str">
        <f t="shared" si="15"/>
        <v/>
      </c>
      <c r="W154" s="29" t="str">
        <f t="shared" si="15"/>
        <v/>
      </c>
      <c r="X154" s="29" t="str">
        <f t="shared" si="15"/>
        <v/>
      </c>
      <c r="Y154" s="29" t="str">
        <f t="shared" si="15"/>
        <v/>
      </c>
      <c r="Z154" s="30" t="str">
        <f t="shared" si="15"/>
        <v/>
      </c>
    </row>
    <row r="155" spans="20:26" x14ac:dyDescent="0.3">
      <c r="T155" s="25" t="str">
        <f t="shared" si="13"/>
        <v/>
      </c>
      <c r="U155" s="29" t="str">
        <f t="shared" si="14"/>
        <v/>
      </c>
      <c r="V155" s="29" t="str">
        <f t="shared" si="15"/>
        <v/>
      </c>
      <c r="W155" s="29" t="str">
        <f t="shared" si="15"/>
        <v/>
      </c>
      <c r="X155" s="29" t="str">
        <f t="shared" si="15"/>
        <v/>
      </c>
      <c r="Y155" s="29" t="str">
        <f t="shared" si="15"/>
        <v/>
      </c>
      <c r="Z155" s="30" t="str">
        <f t="shared" si="15"/>
        <v/>
      </c>
    </row>
    <row r="156" spans="20:26" x14ac:dyDescent="0.3">
      <c r="T156" s="25" t="str">
        <f t="shared" si="13"/>
        <v/>
      </c>
      <c r="U156" s="29" t="str">
        <f t="shared" si="14"/>
        <v/>
      </c>
      <c r="V156" s="29" t="str">
        <f t="shared" si="15"/>
        <v/>
      </c>
      <c r="W156" s="29" t="str">
        <f t="shared" si="15"/>
        <v/>
      </c>
      <c r="X156" s="29" t="str">
        <f t="shared" si="15"/>
        <v/>
      </c>
      <c r="Y156" s="29" t="str">
        <f t="shared" si="15"/>
        <v/>
      </c>
      <c r="Z156" s="30" t="str">
        <f t="shared" si="15"/>
        <v/>
      </c>
    </row>
    <row r="157" spans="20:26" x14ac:dyDescent="0.3">
      <c r="T157" s="25" t="str">
        <f t="shared" si="13"/>
        <v/>
      </c>
      <c r="U157" s="29" t="str">
        <f t="shared" si="14"/>
        <v/>
      </c>
      <c r="V157" s="29" t="str">
        <f t="shared" si="15"/>
        <v/>
      </c>
      <c r="W157" s="29" t="str">
        <f t="shared" si="15"/>
        <v/>
      </c>
      <c r="X157" s="29" t="str">
        <f t="shared" si="15"/>
        <v/>
      </c>
      <c r="Y157" s="29" t="str">
        <f t="shared" si="15"/>
        <v/>
      </c>
      <c r="Z157" s="30" t="str">
        <f t="shared" si="15"/>
        <v/>
      </c>
    </row>
    <row r="158" spans="20:26" x14ac:dyDescent="0.3">
      <c r="T158" s="25" t="str">
        <f t="shared" si="13"/>
        <v/>
      </c>
      <c r="U158" s="29" t="str">
        <f t="shared" si="14"/>
        <v/>
      </c>
      <c r="V158" s="29" t="str">
        <f t="shared" si="15"/>
        <v/>
      </c>
      <c r="W158" s="29" t="str">
        <f t="shared" si="15"/>
        <v/>
      </c>
      <c r="X158" s="29" t="str">
        <f t="shared" si="15"/>
        <v/>
      </c>
      <c r="Y158" s="29" t="str">
        <f t="shared" si="15"/>
        <v/>
      </c>
      <c r="Z158" s="30" t="str">
        <f t="shared" si="15"/>
        <v/>
      </c>
    </row>
    <row r="159" spans="20:26" x14ac:dyDescent="0.3">
      <c r="T159" s="25" t="str">
        <f t="shared" si="13"/>
        <v/>
      </c>
      <c r="U159" s="29" t="str">
        <f t="shared" si="14"/>
        <v/>
      </c>
      <c r="V159" s="29" t="str">
        <f t="shared" si="15"/>
        <v/>
      </c>
      <c r="W159" s="29" t="str">
        <f t="shared" si="15"/>
        <v/>
      </c>
      <c r="X159" s="29" t="str">
        <f t="shared" si="15"/>
        <v/>
      </c>
      <c r="Y159" s="29" t="str">
        <f t="shared" si="15"/>
        <v/>
      </c>
      <c r="Z159" s="30" t="str">
        <f t="shared" si="15"/>
        <v/>
      </c>
    </row>
    <row r="160" spans="20:26" x14ac:dyDescent="0.3">
      <c r="T160" s="25" t="str">
        <f t="shared" si="13"/>
        <v/>
      </c>
      <c r="U160" s="29" t="str">
        <f t="shared" si="14"/>
        <v/>
      </c>
      <c r="V160" s="29" t="str">
        <f t="shared" si="15"/>
        <v/>
      </c>
      <c r="W160" s="29" t="str">
        <f t="shared" si="15"/>
        <v/>
      </c>
      <c r="X160" s="29" t="str">
        <f t="shared" si="15"/>
        <v/>
      </c>
      <c r="Y160" s="29" t="str">
        <f t="shared" si="15"/>
        <v/>
      </c>
      <c r="Z160" s="30" t="str">
        <f t="shared" si="15"/>
        <v/>
      </c>
    </row>
    <row r="161" spans="20:26" x14ac:dyDescent="0.3">
      <c r="T161" s="25" t="str">
        <f t="shared" si="13"/>
        <v/>
      </c>
      <c r="U161" s="29" t="str">
        <f t="shared" si="14"/>
        <v/>
      </c>
      <c r="V161" s="29" t="str">
        <f t="shared" si="15"/>
        <v/>
      </c>
      <c r="W161" s="29" t="str">
        <f t="shared" si="15"/>
        <v/>
      </c>
      <c r="X161" s="29" t="str">
        <f t="shared" si="15"/>
        <v/>
      </c>
      <c r="Y161" s="29" t="str">
        <f t="shared" si="15"/>
        <v/>
      </c>
      <c r="Z161" s="30" t="str">
        <f t="shared" si="15"/>
        <v/>
      </c>
    </row>
    <row r="162" spans="20:26" x14ac:dyDescent="0.3">
      <c r="T162" s="25" t="str">
        <f t="shared" si="13"/>
        <v/>
      </c>
      <c r="U162" s="29" t="str">
        <f t="shared" si="14"/>
        <v/>
      </c>
      <c r="V162" s="29" t="str">
        <f t="shared" si="15"/>
        <v/>
      </c>
      <c r="W162" s="29" t="str">
        <f t="shared" si="15"/>
        <v/>
      </c>
      <c r="X162" s="29" t="str">
        <f t="shared" si="15"/>
        <v/>
      </c>
      <c r="Y162" s="29" t="str">
        <f t="shared" si="15"/>
        <v/>
      </c>
      <c r="Z162" s="30" t="str">
        <f t="shared" si="15"/>
        <v/>
      </c>
    </row>
    <row r="163" spans="20:26" x14ac:dyDescent="0.3">
      <c r="T163" s="25" t="str">
        <f t="shared" si="13"/>
        <v/>
      </c>
      <c r="U163" s="29" t="str">
        <f t="shared" si="14"/>
        <v/>
      </c>
      <c r="V163" s="29" t="str">
        <f t="shared" si="15"/>
        <v/>
      </c>
      <c r="W163" s="29" t="str">
        <f t="shared" si="15"/>
        <v/>
      </c>
      <c r="X163" s="29" t="str">
        <f t="shared" si="15"/>
        <v/>
      </c>
      <c r="Y163" s="29" t="str">
        <f t="shared" si="15"/>
        <v/>
      </c>
      <c r="Z163" s="30" t="str">
        <f t="shared" si="15"/>
        <v/>
      </c>
    </row>
    <row r="164" spans="20:26" x14ac:dyDescent="0.3">
      <c r="T164" s="25" t="str">
        <f t="shared" si="13"/>
        <v/>
      </c>
      <c r="U164" s="29" t="str">
        <f t="shared" si="14"/>
        <v/>
      </c>
      <c r="V164" s="29" t="str">
        <f t="shared" ref="V164:Z183" si="16">IF($T164&gt;=V$2,$U164,-100)</f>
        <v/>
      </c>
      <c r="W164" s="29" t="str">
        <f t="shared" si="16"/>
        <v/>
      </c>
      <c r="X164" s="29" t="str">
        <f t="shared" si="16"/>
        <v/>
      </c>
      <c r="Y164" s="29" t="str">
        <f t="shared" si="16"/>
        <v/>
      </c>
      <c r="Z164" s="30" t="str">
        <f t="shared" si="16"/>
        <v/>
      </c>
    </row>
    <row r="165" spans="20:26" x14ac:dyDescent="0.3">
      <c r="T165" s="25" t="str">
        <f t="shared" si="13"/>
        <v/>
      </c>
      <c r="U165" s="29" t="str">
        <f t="shared" si="14"/>
        <v/>
      </c>
      <c r="V165" s="29" t="str">
        <f t="shared" si="16"/>
        <v/>
      </c>
      <c r="W165" s="29" t="str">
        <f t="shared" si="16"/>
        <v/>
      </c>
      <c r="X165" s="29" t="str">
        <f t="shared" si="16"/>
        <v/>
      </c>
      <c r="Y165" s="29" t="str">
        <f t="shared" si="16"/>
        <v/>
      </c>
      <c r="Z165" s="30" t="str">
        <f t="shared" si="16"/>
        <v/>
      </c>
    </row>
    <row r="166" spans="20:26" x14ac:dyDescent="0.3">
      <c r="T166" s="25">
        <f t="shared" si="13"/>
        <v>164</v>
      </c>
      <c r="U166" s="29">
        <f t="shared" si="14"/>
        <v>8.14267530865237E-5</v>
      </c>
      <c r="V166" s="29">
        <f t="shared" si="16"/>
        <v>-100</v>
      </c>
      <c r="W166" s="29">
        <f t="shared" si="16"/>
        <v>-100</v>
      </c>
      <c r="X166" s="29">
        <f t="shared" si="16"/>
        <v>-100</v>
      </c>
      <c r="Y166" s="29">
        <f t="shared" si="16"/>
        <v>-100</v>
      </c>
      <c r="Z166" s="30">
        <f t="shared" si="16"/>
        <v>-100</v>
      </c>
    </row>
    <row r="167" spans="20:26" x14ac:dyDescent="0.3">
      <c r="T167" s="25">
        <f t="shared" si="13"/>
        <v>165</v>
      </c>
      <c r="U167" s="29">
        <f t="shared" si="14"/>
        <v>1.4897407929064535E-4</v>
      </c>
      <c r="V167" s="29">
        <f t="shared" si="16"/>
        <v>-100</v>
      </c>
      <c r="W167" s="29">
        <f t="shared" si="16"/>
        <v>-100</v>
      </c>
      <c r="X167" s="29">
        <f t="shared" si="16"/>
        <v>-100</v>
      </c>
      <c r="Y167" s="29">
        <f t="shared" si="16"/>
        <v>-100</v>
      </c>
      <c r="Z167" s="30">
        <f t="shared" si="16"/>
        <v>-100</v>
      </c>
    </row>
    <row r="168" spans="20:26" x14ac:dyDescent="0.3">
      <c r="T168" s="25">
        <f t="shared" si="13"/>
        <v>166</v>
      </c>
      <c r="U168" s="29">
        <f t="shared" si="14"/>
        <v>2.6490852049669143E-4</v>
      </c>
      <c r="V168" s="29">
        <f t="shared" si="16"/>
        <v>-100</v>
      </c>
      <c r="W168" s="29">
        <f t="shared" si="16"/>
        <v>-100</v>
      </c>
      <c r="X168" s="29">
        <f t="shared" si="16"/>
        <v>-100</v>
      </c>
      <c r="Y168" s="29">
        <f t="shared" si="16"/>
        <v>-100</v>
      </c>
      <c r="Z168" s="30">
        <f t="shared" si="16"/>
        <v>-100</v>
      </c>
    </row>
    <row r="169" spans="20:26" x14ac:dyDescent="0.3">
      <c r="T169" s="25">
        <f t="shared" si="13"/>
        <v>167</v>
      </c>
      <c r="U169" s="29">
        <f t="shared" si="14"/>
        <v>4.5784952596233009E-4</v>
      </c>
      <c r="V169" s="29">
        <f t="shared" si="16"/>
        <v>-100</v>
      </c>
      <c r="W169" s="29">
        <f t="shared" si="16"/>
        <v>-100</v>
      </c>
      <c r="X169" s="29">
        <f t="shared" si="16"/>
        <v>-100</v>
      </c>
      <c r="Y169" s="29">
        <f t="shared" si="16"/>
        <v>-100</v>
      </c>
      <c r="Z169" s="30">
        <f t="shared" si="16"/>
        <v>-100</v>
      </c>
    </row>
    <row r="170" spans="20:26" x14ac:dyDescent="0.3">
      <c r="T170" s="25">
        <f t="shared" si="13"/>
        <v>168</v>
      </c>
      <c r="U170" s="29">
        <f t="shared" si="14"/>
        <v>7.691149181467792E-4</v>
      </c>
      <c r="V170" s="29">
        <f t="shared" si="16"/>
        <v>-100</v>
      </c>
      <c r="W170" s="29">
        <f t="shared" si="16"/>
        <v>-100</v>
      </c>
      <c r="X170" s="29">
        <f t="shared" si="16"/>
        <v>-100</v>
      </c>
      <c r="Y170" s="29">
        <f t="shared" si="16"/>
        <v>-100</v>
      </c>
      <c r="Z170" s="30">
        <f t="shared" si="16"/>
        <v>-100</v>
      </c>
    </row>
    <row r="171" spans="20:26" x14ac:dyDescent="0.3">
      <c r="T171" s="25">
        <f t="shared" si="13"/>
        <v>169</v>
      </c>
      <c r="U171" s="29">
        <f t="shared" si="14"/>
        <v>1.2557446201065729E-3</v>
      </c>
      <c r="V171" s="29">
        <f t="shared" si="16"/>
        <v>-100</v>
      </c>
      <c r="W171" s="29">
        <f t="shared" si="16"/>
        <v>-100</v>
      </c>
      <c r="X171" s="29">
        <f t="shared" si="16"/>
        <v>-100</v>
      </c>
      <c r="Y171" s="29">
        <f t="shared" si="16"/>
        <v>-100</v>
      </c>
      <c r="Z171" s="30">
        <f t="shared" si="16"/>
        <v>-100</v>
      </c>
    </row>
    <row r="172" spans="20:26" x14ac:dyDescent="0.3">
      <c r="T172" s="25">
        <f t="shared" si="13"/>
        <v>170</v>
      </c>
      <c r="U172" s="29">
        <f t="shared" si="14"/>
        <v>1.9927510279415736E-3</v>
      </c>
      <c r="V172" s="29">
        <f t="shared" si="16"/>
        <v>-100</v>
      </c>
      <c r="W172" s="29">
        <f t="shared" si="16"/>
        <v>-100</v>
      </c>
      <c r="X172" s="29">
        <f t="shared" si="16"/>
        <v>-100</v>
      </c>
      <c r="Y172" s="29">
        <f t="shared" si="16"/>
        <v>-100</v>
      </c>
      <c r="Z172" s="30">
        <f t="shared" si="16"/>
        <v>-100</v>
      </c>
    </row>
    <row r="173" spans="20:26" x14ac:dyDescent="0.3">
      <c r="T173" s="25">
        <f t="shared" si="13"/>
        <v>171</v>
      </c>
      <c r="U173" s="29">
        <f t="shared" si="14"/>
        <v>3.073593167253232E-3</v>
      </c>
      <c r="V173" s="29">
        <f t="shared" si="16"/>
        <v>-100</v>
      </c>
      <c r="W173" s="29">
        <f t="shared" si="16"/>
        <v>-100</v>
      </c>
      <c r="X173" s="29">
        <f t="shared" si="16"/>
        <v>-100</v>
      </c>
      <c r="Y173" s="29">
        <f t="shared" si="16"/>
        <v>-100</v>
      </c>
      <c r="Z173" s="30">
        <f t="shared" si="16"/>
        <v>-100</v>
      </c>
    </row>
    <row r="174" spans="20:26" x14ac:dyDescent="0.3">
      <c r="T174" s="25">
        <f t="shared" si="13"/>
        <v>172</v>
      </c>
      <c r="U174" s="29">
        <f t="shared" si="14"/>
        <v>4.607669781801574E-3</v>
      </c>
      <c r="V174" s="29">
        <f t="shared" si="16"/>
        <v>-100</v>
      </c>
      <c r="W174" s="29">
        <f t="shared" si="16"/>
        <v>-100</v>
      </c>
      <c r="X174" s="29">
        <f t="shared" si="16"/>
        <v>-100</v>
      </c>
      <c r="Y174" s="29">
        <f t="shared" si="16"/>
        <v>-100</v>
      </c>
      <c r="Z174" s="30">
        <f t="shared" si="16"/>
        <v>-100</v>
      </c>
    </row>
    <row r="175" spans="20:26" x14ac:dyDescent="0.3">
      <c r="T175" s="25">
        <f t="shared" si="13"/>
        <v>173</v>
      </c>
      <c r="U175" s="29">
        <f t="shared" si="14"/>
        <v>6.7136382481553453E-3</v>
      </c>
      <c r="V175" s="29">
        <f t="shared" si="16"/>
        <v>-100</v>
      </c>
      <c r="W175" s="29">
        <f t="shared" si="16"/>
        <v>-100</v>
      </c>
      <c r="X175" s="29">
        <f t="shared" si="16"/>
        <v>-100</v>
      </c>
      <c r="Y175" s="29">
        <f t="shared" si="16"/>
        <v>-100</v>
      </c>
      <c r="Z175" s="30">
        <f t="shared" si="16"/>
        <v>-100</v>
      </c>
    </row>
    <row r="176" spans="20:26" x14ac:dyDescent="0.3">
      <c r="T176" s="25">
        <f t="shared" si="13"/>
        <v>174</v>
      </c>
      <c r="U176" s="29">
        <f t="shared" si="14"/>
        <v>9.5077149017093448E-3</v>
      </c>
      <c r="V176" s="29">
        <f t="shared" si="16"/>
        <v>-100</v>
      </c>
      <c r="W176" s="29">
        <f t="shared" si="16"/>
        <v>-100</v>
      </c>
      <c r="X176" s="29">
        <f t="shared" si="16"/>
        <v>-100</v>
      </c>
      <c r="Y176" s="29">
        <f t="shared" si="16"/>
        <v>-100</v>
      </c>
      <c r="Z176" s="30">
        <f t="shared" si="16"/>
        <v>-100</v>
      </c>
    </row>
    <row r="177" spans="20:26" x14ac:dyDescent="0.3">
      <c r="T177" s="25">
        <f t="shared" si="13"/>
        <v>175</v>
      </c>
      <c r="U177" s="29">
        <f t="shared" si="14"/>
        <v>1.3086876054098253E-2</v>
      </c>
      <c r="V177" s="29">
        <f t="shared" si="16"/>
        <v>-100</v>
      </c>
      <c r="W177" s="29">
        <f t="shared" si="16"/>
        <v>-100</v>
      </c>
      <c r="X177" s="29">
        <f t="shared" si="16"/>
        <v>-100</v>
      </c>
      <c r="Y177" s="29">
        <f t="shared" si="16"/>
        <v>-100</v>
      </c>
      <c r="Z177" s="30">
        <f t="shared" si="16"/>
        <v>-100</v>
      </c>
    </row>
    <row r="178" spans="20:26" x14ac:dyDescent="0.3">
      <c r="T178" s="25">
        <f t="shared" si="13"/>
        <v>176</v>
      </c>
      <c r="U178" s="29">
        <f t="shared" si="14"/>
        <v>1.7508036872318597E-2</v>
      </c>
      <c r="V178" s="29">
        <f t="shared" si="16"/>
        <v>-100</v>
      </c>
      <c r="W178" s="29">
        <f t="shared" si="16"/>
        <v>-100</v>
      </c>
      <c r="X178" s="29">
        <f t="shared" si="16"/>
        <v>-100</v>
      </c>
      <c r="Y178" s="29">
        <f t="shared" si="16"/>
        <v>-100</v>
      </c>
      <c r="Z178" s="30">
        <f t="shared" si="16"/>
        <v>-100</v>
      </c>
    </row>
    <row r="179" spans="20:26" x14ac:dyDescent="0.3">
      <c r="T179" s="25">
        <f t="shared" si="13"/>
        <v>177</v>
      </c>
      <c r="U179" s="29">
        <f t="shared" si="14"/>
        <v>2.2765675467918731E-2</v>
      </c>
      <c r="V179" s="29">
        <f t="shared" si="16"/>
        <v>-100</v>
      </c>
      <c r="W179" s="29">
        <f t="shared" si="16"/>
        <v>-100</v>
      </c>
      <c r="X179" s="29">
        <f t="shared" si="16"/>
        <v>-100</v>
      </c>
      <c r="Y179" s="29">
        <f t="shared" si="16"/>
        <v>-100</v>
      </c>
      <c r="Z179" s="30">
        <f t="shared" si="16"/>
        <v>-100</v>
      </c>
    </row>
    <row r="180" spans="20:26" x14ac:dyDescent="0.3">
      <c r="T180" s="25">
        <f t="shared" si="13"/>
        <v>178</v>
      </c>
      <c r="U180" s="29">
        <f t="shared" si="14"/>
        <v>2.8771682102440733E-2</v>
      </c>
      <c r="V180" s="29">
        <f t="shared" si="16"/>
        <v>-100</v>
      </c>
      <c r="W180" s="29">
        <f t="shared" si="16"/>
        <v>-100</v>
      </c>
      <c r="X180" s="29">
        <f t="shared" si="16"/>
        <v>-100</v>
      </c>
      <c r="Y180" s="29">
        <f t="shared" si="16"/>
        <v>-100</v>
      </c>
      <c r="Z180" s="30">
        <f t="shared" si="16"/>
        <v>-100</v>
      </c>
    </row>
    <row r="181" spans="20:26" x14ac:dyDescent="0.3">
      <c r="T181" s="25">
        <f t="shared" si="13"/>
        <v>179</v>
      </c>
      <c r="U181" s="29">
        <f t="shared" si="14"/>
        <v>3.5342038070530421E-2</v>
      </c>
      <c r="V181" s="29">
        <f t="shared" si="16"/>
        <v>-100</v>
      </c>
      <c r="W181" s="29">
        <f t="shared" si="16"/>
        <v>-100</v>
      </c>
      <c r="X181" s="29">
        <f t="shared" si="16"/>
        <v>-100</v>
      </c>
      <c r="Y181" s="29">
        <f t="shared" si="16"/>
        <v>-100</v>
      </c>
      <c r="Z181" s="30">
        <f t="shared" si="16"/>
        <v>-100</v>
      </c>
    </row>
    <row r="182" spans="20:26" x14ac:dyDescent="0.3">
      <c r="T182" s="25">
        <f t="shared" si="13"/>
        <v>180</v>
      </c>
      <c r="U182" s="29">
        <f t="shared" si="14"/>
        <v>4.219486018963306E-2</v>
      </c>
      <c r="V182" s="29">
        <f t="shared" si="16"/>
        <v>-100</v>
      </c>
      <c r="W182" s="29">
        <f t="shared" si="16"/>
        <v>-100</v>
      </c>
      <c r="X182" s="29">
        <f t="shared" si="16"/>
        <v>-100</v>
      </c>
      <c r="Y182" s="29">
        <f t="shared" si="16"/>
        <v>-100</v>
      </c>
      <c r="Z182" s="30">
        <f t="shared" si="16"/>
        <v>-100</v>
      </c>
    </row>
    <row r="183" spans="20:26" x14ac:dyDescent="0.3">
      <c r="T183" s="25">
        <f t="shared" si="13"/>
        <v>181</v>
      </c>
      <c r="U183" s="29">
        <f t="shared" si="14"/>
        <v>4.8963126177764452E-2</v>
      </c>
      <c r="V183" s="29">
        <f t="shared" si="16"/>
        <v>-100</v>
      </c>
      <c r="W183" s="29">
        <f t="shared" si="16"/>
        <v>-100</v>
      </c>
      <c r="X183" s="29">
        <f t="shared" si="16"/>
        <v>-100</v>
      </c>
      <c r="Y183" s="29">
        <f t="shared" si="16"/>
        <v>-100</v>
      </c>
      <c r="Z183" s="30">
        <f t="shared" si="16"/>
        <v>-100</v>
      </c>
    </row>
    <row r="184" spans="20:26" x14ac:dyDescent="0.3">
      <c r="T184" s="25">
        <f t="shared" si="13"/>
        <v>182</v>
      </c>
      <c r="U184" s="29">
        <f t="shared" si="14"/>
        <v>5.5223044974606277E-2</v>
      </c>
      <c r="V184" s="29">
        <f t="shared" ref="V184:Z203" si="17">IF($T184&gt;=V$2,$U184,-100)</f>
        <v>-100</v>
      </c>
      <c r="W184" s="29">
        <f t="shared" si="17"/>
        <v>-100</v>
      </c>
      <c r="X184" s="29">
        <f t="shared" si="17"/>
        <v>-100</v>
      </c>
      <c r="Y184" s="29">
        <f t="shared" si="17"/>
        <v>-100</v>
      </c>
      <c r="Z184" s="30">
        <f t="shared" si="17"/>
        <v>-100</v>
      </c>
    </row>
    <row r="185" spans="20:26" x14ac:dyDescent="0.3">
      <c r="T185" s="25">
        <f t="shared" si="13"/>
        <v>183</v>
      </c>
      <c r="U185" s="29">
        <f t="shared" si="14"/>
        <v>6.053592536089096E-2</v>
      </c>
      <c r="V185" s="29">
        <f t="shared" si="17"/>
        <v>-100</v>
      </c>
      <c r="W185" s="29">
        <f t="shared" si="17"/>
        <v>-100</v>
      </c>
      <c r="X185" s="29">
        <f t="shared" si="17"/>
        <v>-100</v>
      </c>
      <c r="Y185" s="29">
        <f t="shared" si="17"/>
        <v>-100</v>
      </c>
      <c r="Z185" s="30">
        <f t="shared" si="17"/>
        <v>-100</v>
      </c>
    </row>
    <row r="186" spans="20:26" x14ac:dyDescent="0.3">
      <c r="T186" s="25">
        <f t="shared" si="13"/>
        <v>184</v>
      </c>
      <c r="U186" s="29">
        <f t="shared" si="14"/>
        <v>6.4498207604645946E-2</v>
      </c>
      <c r="V186" s="29">
        <f t="shared" si="17"/>
        <v>-100</v>
      </c>
      <c r="W186" s="29">
        <f t="shared" si="17"/>
        <v>-100</v>
      </c>
      <c r="X186" s="29">
        <f t="shared" si="17"/>
        <v>-100</v>
      </c>
      <c r="Y186" s="29">
        <f t="shared" si="17"/>
        <v>-100</v>
      </c>
      <c r="Z186" s="30">
        <f t="shared" si="17"/>
        <v>-100</v>
      </c>
    </row>
    <row r="187" spans="20:26" x14ac:dyDescent="0.3">
      <c r="T187" s="25">
        <f t="shared" si="13"/>
        <v>185</v>
      </c>
      <c r="U187" s="29">
        <f t="shared" si="14"/>
        <v>6.6791889689947342E-2</v>
      </c>
      <c r="V187" s="29">
        <f t="shared" si="17"/>
        <v>-100</v>
      </c>
      <c r="W187" s="29">
        <f t="shared" si="17"/>
        <v>-100</v>
      </c>
      <c r="X187" s="29">
        <f t="shared" si="17"/>
        <v>-100</v>
      </c>
      <c r="Y187" s="29">
        <f t="shared" si="17"/>
        <v>-100</v>
      </c>
      <c r="Z187" s="30">
        <f t="shared" si="17"/>
        <v>-100</v>
      </c>
    </row>
    <row r="188" spans="20:26" x14ac:dyDescent="0.3">
      <c r="T188" s="25">
        <f t="shared" si="13"/>
        <v>186</v>
      </c>
      <c r="U188" s="29">
        <f t="shared" si="14"/>
        <v>6.7226645370714683E-2</v>
      </c>
      <c r="V188" s="29">
        <f t="shared" si="17"/>
        <v>-100</v>
      </c>
      <c r="W188" s="29">
        <f t="shared" si="17"/>
        <v>-100</v>
      </c>
      <c r="X188" s="29">
        <f t="shared" si="17"/>
        <v>-100</v>
      </c>
      <c r="Y188" s="29">
        <f t="shared" si="17"/>
        <v>-100</v>
      </c>
      <c r="Z188" s="30">
        <f t="shared" si="17"/>
        <v>-100</v>
      </c>
    </row>
    <row r="189" spans="20:26" x14ac:dyDescent="0.3">
      <c r="T189" s="25">
        <f t="shared" si="13"/>
        <v>187</v>
      </c>
      <c r="U189" s="29">
        <f t="shared" si="14"/>
        <v>6.5765901031769894E-2</v>
      </c>
      <c r="V189" s="29">
        <f t="shared" si="17"/>
        <v>-100</v>
      </c>
      <c r="W189" s="29">
        <f t="shared" si="17"/>
        <v>-100</v>
      </c>
      <c r="X189" s="29">
        <f t="shared" si="17"/>
        <v>-100</v>
      </c>
      <c r="Y189" s="29">
        <f t="shared" si="17"/>
        <v>-100</v>
      </c>
      <c r="Z189" s="30">
        <f t="shared" si="17"/>
        <v>-100</v>
      </c>
    </row>
    <row r="190" spans="20:26" x14ac:dyDescent="0.3">
      <c r="T190" s="25">
        <f t="shared" si="13"/>
        <v>188</v>
      </c>
      <c r="U190" s="29">
        <f t="shared" si="14"/>
        <v>6.2531915653726414E-2</v>
      </c>
      <c r="V190" s="29">
        <f t="shared" si="17"/>
        <v>-100</v>
      </c>
      <c r="W190" s="29">
        <f t="shared" si="17"/>
        <v>-100</v>
      </c>
      <c r="X190" s="29">
        <f t="shared" si="17"/>
        <v>-100</v>
      </c>
      <c r="Y190" s="29">
        <f t="shared" si="17"/>
        <v>-100</v>
      </c>
      <c r="Z190" s="30">
        <f t="shared" si="17"/>
        <v>-100</v>
      </c>
    </row>
    <row r="191" spans="20:26" x14ac:dyDescent="0.3">
      <c r="T191" s="25">
        <f t="shared" si="13"/>
        <v>189</v>
      </c>
      <c r="U191" s="29">
        <f t="shared" si="14"/>
        <v>5.7788885234557906E-2</v>
      </c>
      <c r="V191" s="29">
        <f t="shared" si="17"/>
        <v>-100</v>
      </c>
      <c r="W191" s="29">
        <f t="shared" si="17"/>
        <v>-100</v>
      </c>
      <c r="X191" s="29">
        <f t="shared" si="17"/>
        <v>-100</v>
      </c>
      <c r="Y191" s="29">
        <f t="shared" si="17"/>
        <v>-100</v>
      </c>
      <c r="Z191" s="30">
        <f t="shared" si="17"/>
        <v>-100</v>
      </c>
    </row>
    <row r="192" spans="20:26" x14ac:dyDescent="0.3">
      <c r="T192" s="25">
        <f t="shared" si="13"/>
        <v>190</v>
      </c>
      <c r="U192" s="29">
        <f t="shared" si="14"/>
        <v>5.1907310238573166E-2</v>
      </c>
      <c r="V192" s="29">
        <f t="shared" si="17"/>
        <v>5.1907310238573166E-2</v>
      </c>
      <c r="W192" s="29">
        <f t="shared" si="17"/>
        <v>-100</v>
      </c>
      <c r="X192" s="29">
        <f t="shared" si="17"/>
        <v>-100</v>
      </c>
      <c r="Y192" s="29">
        <f t="shared" si="17"/>
        <v>-100</v>
      </c>
      <c r="Z192" s="30">
        <f t="shared" si="17"/>
        <v>-100</v>
      </c>
    </row>
    <row r="193" spans="20:26" x14ac:dyDescent="0.3">
      <c r="T193" s="25">
        <f t="shared" si="13"/>
        <v>191</v>
      </c>
      <c r="U193" s="29">
        <f t="shared" si="14"/>
        <v>4.5316291071700571E-2</v>
      </c>
      <c r="V193" s="29">
        <f t="shared" si="17"/>
        <v>4.5316291071700571E-2</v>
      </c>
      <c r="W193" s="29">
        <f t="shared" si="17"/>
        <v>4.5316291071700571E-2</v>
      </c>
      <c r="X193" s="29">
        <f t="shared" si="17"/>
        <v>-100</v>
      </c>
      <c r="Y193" s="29">
        <f t="shared" si="17"/>
        <v>-100</v>
      </c>
      <c r="Z193" s="30">
        <f t="shared" si="17"/>
        <v>-100</v>
      </c>
    </row>
    <row r="194" spans="20:26" x14ac:dyDescent="0.3">
      <c r="T194" s="25">
        <f t="shared" si="13"/>
        <v>192</v>
      </c>
      <c r="U194" s="29">
        <f t="shared" si="14"/>
        <v>3.8452255112123697E-2</v>
      </c>
      <c r="V194" s="29">
        <f t="shared" si="17"/>
        <v>3.8452255112123697E-2</v>
      </c>
      <c r="W194" s="29">
        <f t="shared" si="17"/>
        <v>3.8452255112123697E-2</v>
      </c>
      <c r="X194" s="29">
        <f t="shared" si="17"/>
        <v>3.8452255112123697E-2</v>
      </c>
      <c r="Y194" s="29">
        <f t="shared" si="17"/>
        <v>-100</v>
      </c>
      <c r="Z194" s="30">
        <f t="shared" si="17"/>
        <v>-100</v>
      </c>
    </row>
    <row r="195" spans="20:26" x14ac:dyDescent="0.3">
      <c r="T195" s="25">
        <f t="shared" ref="T195:T258" si="18">IF(ROW()-2&lt;=$Q$4*$Q$27,"",IF(ROW()-2&gt;$Q$24*$Q$26,"",ROW()-2))</f>
        <v>193</v>
      </c>
      <c r="U195" s="29">
        <f t="shared" si="14"/>
        <v>3.1712530428085382E-2</v>
      </c>
      <c r="V195" s="29">
        <f t="shared" si="17"/>
        <v>3.1712530428085382E-2</v>
      </c>
      <c r="W195" s="29">
        <f t="shared" si="17"/>
        <v>3.1712530428085382E-2</v>
      </c>
      <c r="X195" s="29">
        <f t="shared" si="17"/>
        <v>3.1712530428085382E-2</v>
      </c>
      <c r="Y195" s="29">
        <f t="shared" si="17"/>
        <v>3.1712530428085382E-2</v>
      </c>
      <c r="Z195" s="30">
        <f t="shared" si="17"/>
        <v>-100</v>
      </c>
    </row>
    <row r="196" spans="20:26" x14ac:dyDescent="0.3">
      <c r="T196" s="25">
        <f t="shared" si="18"/>
        <v>194</v>
      </c>
      <c r="U196" s="29">
        <f t="shared" ref="U196:U259" si="19">IFERROR(_xlfn.NORM.DIST(T196,$Q$1,$Q$2,FALSE),"")</f>
        <v>2.542035454607568E-2</v>
      </c>
      <c r="V196" s="29">
        <f t="shared" si="17"/>
        <v>2.542035454607568E-2</v>
      </c>
      <c r="W196" s="29">
        <f t="shared" si="17"/>
        <v>2.542035454607568E-2</v>
      </c>
      <c r="X196" s="29">
        <f t="shared" si="17"/>
        <v>2.542035454607568E-2</v>
      </c>
      <c r="Y196" s="29">
        <f t="shared" si="17"/>
        <v>2.542035454607568E-2</v>
      </c>
      <c r="Z196" s="30">
        <f t="shared" si="17"/>
        <v>-100</v>
      </c>
    </row>
    <row r="197" spans="20:26" x14ac:dyDescent="0.3">
      <c r="T197" s="25">
        <f t="shared" si="18"/>
        <v>195</v>
      </c>
      <c r="U197" s="29">
        <f t="shared" si="19"/>
        <v>1.9804958408849275E-2</v>
      </c>
      <c r="V197" s="29">
        <f t="shared" si="17"/>
        <v>1.9804958408849275E-2</v>
      </c>
      <c r="W197" s="29">
        <f t="shared" si="17"/>
        <v>1.9804958408849275E-2</v>
      </c>
      <c r="X197" s="29">
        <f t="shared" si="17"/>
        <v>1.9804958408849275E-2</v>
      </c>
      <c r="Y197" s="29">
        <f t="shared" si="17"/>
        <v>1.9804958408849275E-2</v>
      </c>
      <c r="Z197" s="30">
        <f t="shared" si="17"/>
        <v>1.9804958408849275E-2</v>
      </c>
    </row>
    <row r="198" spans="20:26" x14ac:dyDescent="0.3">
      <c r="T198" s="25">
        <f t="shared" si="18"/>
        <v>196</v>
      </c>
      <c r="U198" s="29">
        <f t="shared" si="19"/>
        <v>1.4997120829426776E-2</v>
      </c>
      <c r="V198" s="29">
        <f t="shared" si="17"/>
        <v>1.4997120829426776E-2</v>
      </c>
      <c r="W198" s="29">
        <f t="shared" si="17"/>
        <v>1.4997120829426776E-2</v>
      </c>
      <c r="X198" s="29">
        <f t="shared" si="17"/>
        <v>1.4997120829426776E-2</v>
      </c>
      <c r="Y198" s="29">
        <f t="shared" si="17"/>
        <v>1.4997120829426776E-2</v>
      </c>
      <c r="Z198" s="30">
        <f t="shared" si="17"/>
        <v>1.4997120829426776E-2</v>
      </c>
    </row>
    <row r="199" spans="20:26" x14ac:dyDescent="0.3">
      <c r="T199" s="25">
        <f t="shared" si="18"/>
        <v>197</v>
      </c>
      <c r="U199" s="29">
        <f t="shared" si="19"/>
        <v>1.1037824154753932E-2</v>
      </c>
      <c r="V199" s="29">
        <f t="shared" si="17"/>
        <v>1.1037824154753932E-2</v>
      </c>
      <c r="W199" s="29">
        <f t="shared" si="17"/>
        <v>1.1037824154753932E-2</v>
      </c>
      <c r="X199" s="29">
        <f t="shared" si="17"/>
        <v>1.1037824154753932E-2</v>
      </c>
      <c r="Y199" s="29">
        <f t="shared" si="17"/>
        <v>1.1037824154753932E-2</v>
      </c>
      <c r="Z199" s="30">
        <f t="shared" si="17"/>
        <v>1.1037824154753932E-2</v>
      </c>
    </row>
    <row r="200" spans="20:26" x14ac:dyDescent="0.3">
      <c r="T200" s="25">
        <f t="shared" si="18"/>
        <v>198</v>
      </c>
      <c r="U200" s="29">
        <f t="shared" si="19"/>
        <v>7.8958824844361248E-3</v>
      </c>
      <c r="V200" s="29">
        <f t="shared" si="17"/>
        <v>7.8958824844361248E-3</v>
      </c>
      <c r="W200" s="29">
        <f t="shared" si="17"/>
        <v>7.8958824844361248E-3</v>
      </c>
      <c r="X200" s="29">
        <f t="shared" si="17"/>
        <v>7.8958824844361248E-3</v>
      </c>
      <c r="Y200" s="29">
        <f t="shared" si="17"/>
        <v>7.8958824844361248E-3</v>
      </c>
      <c r="Z200" s="30">
        <f t="shared" si="17"/>
        <v>7.8958824844361248E-3</v>
      </c>
    </row>
    <row r="201" spans="20:26" x14ac:dyDescent="0.3">
      <c r="T201" s="25">
        <f t="shared" si="18"/>
        <v>199</v>
      </c>
      <c r="U201" s="29">
        <f t="shared" si="19"/>
        <v>5.4898377057237321E-3</v>
      </c>
      <c r="V201" s="29">
        <f t="shared" si="17"/>
        <v>5.4898377057237321E-3</v>
      </c>
      <c r="W201" s="29">
        <f t="shared" si="17"/>
        <v>5.4898377057237321E-3</v>
      </c>
      <c r="X201" s="29">
        <f t="shared" si="17"/>
        <v>5.4898377057237321E-3</v>
      </c>
      <c r="Y201" s="29">
        <f t="shared" si="17"/>
        <v>5.4898377057237321E-3</v>
      </c>
      <c r="Z201" s="30">
        <f t="shared" si="17"/>
        <v>5.4898377057237321E-3</v>
      </c>
    </row>
    <row r="202" spans="20:26" x14ac:dyDescent="0.3">
      <c r="T202" s="25">
        <f t="shared" si="18"/>
        <v>200</v>
      </c>
      <c r="U202" s="29">
        <f t="shared" si="19"/>
        <v>3.7098808364888487E-3</v>
      </c>
      <c r="V202" s="29">
        <f t="shared" si="17"/>
        <v>3.7098808364888487E-3</v>
      </c>
      <c r="W202" s="29">
        <f t="shared" si="17"/>
        <v>3.7098808364888487E-3</v>
      </c>
      <c r="X202" s="29">
        <f t="shared" si="17"/>
        <v>3.7098808364888487E-3</v>
      </c>
      <c r="Y202" s="29">
        <f t="shared" si="17"/>
        <v>3.7098808364888487E-3</v>
      </c>
      <c r="Z202" s="30">
        <f t="shared" si="17"/>
        <v>3.7098808364888487E-3</v>
      </c>
    </row>
    <row r="203" spans="20:26" x14ac:dyDescent="0.3">
      <c r="T203" s="25">
        <f t="shared" si="18"/>
        <v>201</v>
      </c>
      <c r="U203" s="29">
        <f t="shared" si="19"/>
        <v>2.4366998636080176E-3</v>
      </c>
      <c r="V203" s="29">
        <f t="shared" si="17"/>
        <v>2.4366998636080176E-3</v>
      </c>
      <c r="W203" s="29">
        <f t="shared" si="17"/>
        <v>2.4366998636080176E-3</v>
      </c>
      <c r="X203" s="29">
        <f t="shared" si="17"/>
        <v>2.4366998636080176E-3</v>
      </c>
      <c r="Y203" s="29">
        <f t="shared" si="17"/>
        <v>2.4366998636080176E-3</v>
      </c>
      <c r="Z203" s="30">
        <f t="shared" si="17"/>
        <v>2.4366998636080176E-3</v>
      </c>
    </row>
    <row r="204" spans="20:26" x14ac:dyDescent="0.3">
      <c r="T204" s="25">
        <f t="shared" si="18"/>
        <v>202</v>
      </c>
      <c r="U204" s="29">
        <f t="shared" si="19"/>
        <v>1.5555563303466648E-3</v>
      </c>
      <c r="V204" s="29">
        <f t="shared" ref="V204:Z223" si="20">IF($T204&gt;=V$2,$U204,-100)</f>
        <v>1.5555563303466648E-3</v>
      </c>
      <c r="W204" s="29">
        <f t="shared" si="20"/>
        <v>1.5555563303466648E-3</v>
      </c>
      <c r="X204" s="29">
        <f t="shared" si="20"/>
        <v>1.5555563303466648E-3</v>
      </c>
      <c r="Y204" s="29">
        <f t="shared" si="20"/>
        <v>1.5555563303466648E-3</v>
      </c>
      <c r="Z204" s="30">
        <f t="shared" si="20"/>
        <v>1.5555563303466648E-3</v>
      </c>
    </row>
    <row r="205" spans="20:26" x14ac:dyDescent="0.3">
      <c r="T205" s="25">
        <f t="shared" si="18"/>
        <v>203</v>
      </c>
      <c r="U205" s="29">
        <f t="shared" si="19"/>
        <v>9.651861264280136E-4</v>
      </c>
      <c r="V205" s="29">
        <f t="shared" si="20"/>
        <v>9.651861264280136E-4</v>
      </c>
      <c r="W205" s="29">
        <f t="shared" si="20"/>
        <v>9.651861264280136E-4</v>
      </c>
      <c r="X205" s="29">
        <f t="shared" si="20"/>
        <v>9.651861264280136E-4</v>
      </c>
      <c r="Y205" s="29">
        <f t="shared" si="20"/>
        <v>9.651861264280136E-4</v>
      </c>
      <c r="Z205" s="30">
        <f t="shared" si="20"/>
        <v>9.651861264280136E-4</v>
      </c>
    </row>
    <row r="206" spans="20:26" x14ac:dyDescent="0.3">
      <c r="T206" s="25">
        <f t="shared" si="18"/>
        <v>204</v>
      </c>
      <c r="U206" s="29">
        <f t="shared" si="19"/>
        <v>5.8207376255140267E-4</v>
      </c>
      <c r="V206" s="29">
        <f t="shared" si="20"/>
        <v>5.8207376255140267E-4</v>
      </c>
      <c r="W206" s="29">
        <f t="shared" si="20"/>
        <v>5.8207376255140267E-4</v>
      </c>
      <c r="X206" s="29">
        <f t="shared" si="20"/>
        <v>5.8207376255140267E-4</v>
      </c>
      <c r="Y206" s="29">
        <f t="shared" si="20"/>
        <v>5.8207376255140267E-4</v>
      </c>
      <c r="Z206" s="30">
        <f t="shared" si="20"/>
        <v>5.8207376255140267E-4</v>
      </c>
    </row>
    <row r="207" spans="20:26" x14ac:dyDescent="0.3">
      <c r="T207" s="25" t="str">
        <f t="shared" si="18"/>
        <v/>
      </c>
      <c r="U207" s="29" t="str">
        <f t="shared" si="19"/>
        <v/>
      </c>
      <c r="V207" s="29" t="str">
        <f t="shared" si="20"/>
        <v/>
      </c>
      <c r="W207" s="29" t="str">
        <f t="shared" si="20"/>
        <v/>
      </c>
      <c r="X207" s="29" t="str">
        <f t="shared" si="20"/>
        <v/>
      </c>
      <c r="Y207" s="29" t="str">
        <f t="shared" si="20"/>
        <v/>
      </c>
      <c r="Z207" s="30" t="str">
        <f t="shared" si="20"/>
        <v/>
      </c>
    </row>
    <row r="208" spans="20:26" x14ac:dyDescent="0.3">
      <c r="T208" s="25" t="str">
        <f t="shared" si="18"/>
        <v/>
      </c>
      <c r="U208" s="29" t="str">
        <f t="shared" si="19"/>
        <v/>
      </c>
      <c r="V208" s="29" t="str">
        <f t="shared" si="20"/>
        <v/>
      </c>
      <c r="W208" s="29" t="str">
        <f t="shared" si="20"/>
        <v/>
      </c>
      <c r="X208" s="29" t="str">
        <f t="shared" si="20"/>
        <v/>
      </c>
      <c r="Y208" s="29" t="str">
        <f t="shared" si="20"/>
        <v/>
      </c>
      <c r="Z208" s="30" t="str">
        <f t="shared" si="20"/>
        <v/>
      </c>
    </row>
    <row r="209" spans="20:26" x14ac:dyDescent="0.3">
      <c r="T209" s="25" t="str">
        <f t="shared" si="18"/>
        <v/>
      </c>
      <c r="U209" s="29" t="str">
        <f t="shared" si="19"/>
        <v/>
      </c>
      <c r="V209" s="29" t="str">
        <f t="shared" si="20"/>
        <v/>
      </c>
      <c r="W209" s="29" t="str">
        <f t="shared" si="20"/>
        <v/>
      </c>
      <c r="X209" s="29" t="str">
        <f t="shared" si="20"/>
        <v/>
      </c>
      <c r="Y209" s="29" t="str">
        <f t="shared" si="20"/>
        <v/>
      </c>
      <c r="Z209" s="30" t="str">
        <f t="shared" si="20"/>
        <v/>
      </c>
    </row>
    <row r="210" spans="20:26" x14ac:dyDescent="0.3">
      <c r="T210" s="25" t="str">
        <f t="shared" si="18"/>
        <v/>
      </c>
      <c r="U210" s="29" t="str">
        <f t="shared" si="19"/>
        <v/>
      </c>
      <c r="V210" s="29" t="str">
        <f t="shared" si="20"/>
        <v/>
      </c>
      <c r="W210" s="29" t="str">
        <f t="shared" si="20"/>
        <v/>
      </c>
      <c r="X210" s="29" t="str">
        <f t="shared" si="20"/>
        <v/>
      </c>
      <c r="Y210" s="29" t="str">
        <f t="shared" si="20"/>
        <v/>
      </c>
      <c r="Z210" s="30" t="str">
        <f t="shared" si="20"/>
        <v/>
      </c>
    </row>
    <row r="211" spans="20:26" x14ac:dyDescent="0.3">
      <c r="T211" s="25" t="str">
        <f t="shared" si="18"/>
        <v/>
      </c>
      <c r="U211" s="29" t="str">
        <f t="shared" si="19"/>
        <v/>
      </c>
      <c r="V211" s="29" t="str">
        <f t="shared" si="20"/>
        <v/>
      </c>
      <c r="W211" s="29" t="str">
        <f t="shared" si="20"/>
        <v/>
      </c>
      <c r="X211" s="29" t="str">
        <f t="shared" si="20"/>
        <v/>
      </c>
      <c r="Y211" s="29" t="str">
        <f t="shared" si="20"/>
        <v/>
      </c>
      <c r="Z211" s="30" t="str">
        <f t="shared" si="20"/>
        <v/>
      </c>
    </row>
    <row r="212" spans="20:26" x14ac:dyDescent="0.3">
      <c r="T212" s="25" t="str">
        <f t="shared" si="18"/>
        <v/>
      </c>
      <c r="U212" s="29" t="str">
        <f t="shared" si="19"/>
        <v/>
      </c>
      <c r="V212" s="29" t="str">
        <f t="shared" si="20"/>
        <v/>
      </c>
      <c r="W212" s="29" t="str">
        <f t="shared" si="20"/>
        <v/>
      </c>
      <c r="X212" s="29" t="str">
        <f t="shared" si="20"/>
        <v/>
      </c>
      <c r="Y212" s="29" t="str">
        <f t="shared" si="20"/>
        <v/>
      </c>
      <c r="Z212" s="30" t="str">
        <f t="shared" si="20"/>
        <v/>
      </c>
    </row>
    <row r="213" spans="20:26" x14ac:dyDescent="0.3">
      <c r="T213" s="25" t="str">
        <f t="shared" si="18"/>
        <v/>
      </c>
      <c r="U213" s="29" t="str">
        <f t="shared" si="19"/>
        <v/>
      </c>
      <c r="V213" s="29" t="str">
        <f t="shared" si="20"/>
        <v/>
      </c>
      <c r="W213" s="29" t="str">
        <f t="shared" si="20"/>
        <v/>
      </c>
      <c r="X213" s="29" t="str">
        <f t="shared" si="20"/>
        <v/>
      </c>
      <c r="Y213" s="29" t="str">
        <f t="shared" si="20"/>
        <v/>
      </c>
      <c r="Z213" s="30" t="str">
        <f t="shared" si="20"/>
        <v/>
      </c>
    </row>
    <row r="214" spans="20:26" x14ac:dyDescent="0.3">
      <c r="T214" s="25" t="str">
        <f t="shared" si="18"/>
        <v/>
      </c>
      <c r="U214" s="29" t="str">
        <f t="shared" si="19"/>
        <v/>
      </c>
      <c r="V214" s="29" t="str">
        <f t="shared" si="20"/>
        <v/>
      </c>
      <c r="W214" s="29" t="str">
        <f t="shared" si="20"/>
        <v/>
      </c>
      <c r="X214" s="29" t="str">
        <f t="shared" si="20"/>
        <v/>
      </c>
      <c r="Y214" s="29" t="str">
        <f t="shared" si="20"/>
        <v/>
      </c>
      <c r="Z214" s="30" t="str">
        <f t="shared" si="20"/>
        <v/>
      </c>
    </row>
    <row r="215" spans="20:26" x14ac:dyDescent="0.3">
      <c r="T215" s="25" t="str">
        <f t="shared" si="18"/>
        <v/>
      </c>
      <c r="U215" s="29" t="str">
        <f t="shared" si="19"/>
        <v/>
      </c>
      <c r="V215" s="29" t="str">
        <f t="shared" si="20"/>
        <v/>
      </c>
      <c r="W215" s="29" t="str">
        <f t="shared" si="20"/>
        <v/>
      </c>
      <c r="X215" s="29" t="str">
        <f t="shared" si="20"/>
        <v/>
      </c>
      <c r="Y215" s="29" t="str">
        <f t="shared" si="20"/>
        <v/>
      </c>
      <c r="Z215" s="30" t="str">
        <f t="shared" si="20"/>
        <v/>
      </c>
    </row>
    <row r="216" spans="20:26" x14ac:dyDescent="0.3">
      <c r="T216" s="25" t="str">
        <f t="shared" si="18"/>
        <v/>
      </c>
      <c r="U216" s="29" t="str">
        <f t="shared" si="19"/>
        <v/>
      </c>
      <c r="V216" s="29" t="str">
        <f t="shared" si="20"/>
        <v/>
      </c>
      <c r="W216" s="29" t="str">
        <f t="shared" si="20"/>
        <v/>
      </c>
      <c r="X216" s="29" t="str">
        <f t="shared" si="20"/>
        <v/>
      </c>
      <c r="Y216" s="29" t="str">
        <f t="shared" si="20"/>
        <v/>
      </c>
      <c r="Z216" s="30" t="str">
        <f t="shared" si="20"/>
        <v/>
      </c>
    </row>
    <row r="217" spans="20:26" x14ac:dyDescent="0.3">
      <c r="T217" s="25" t="str">
        <f t="shared" si="18"/>
        <v/>
      </c>
      <c r="U217" s="29" t="str">
        <f t="shared" si="19"/>
        <v/>
      </c>
      <c r="V217" s="29" t="str">
        <f t="shared" si="20"/>
        <v/>
      </c>
      <c r="W217" s="29" t="str">
        <f t="shared" si="20"/>
        <v/>
      </c>
      <c r="X217" s="29" t="str">
        <f t="shared" si="20"/>
        <v/>
      </c>
      <c r="Y217" s="29" t="str">
        <f t="shared" si="20"/>
        <v/>
      </c>
      <c r="Z217" s="30" t="str">
        <f t="shared" si="20"/>
        <v/>
      </c>
    </row>
    <row r="218" spans="20:26" x14ac:dyDescent="0.3">
      <c r="T218" s="25" t="str">
        <f t="shared" si="18"/>
        <v/>
      </c>
      <c r="U218" s="29" t="str">
        <f t="shared" si="19"/>
        <v/>
      </c>
      <c r="V218" s="29" t="str">
        <f t="shared" si="20"/>
        <v/>
      </c>
      <c r="W218" s="29" t="str">
        <f t="shared" si="20"/>
        <v/>
      </c>
      <c r="X218" s="29" t="str">
        <f t="shared" si="20"/>
        <v/>
      </c>
      <c r="Y218" s="29" t="str">
        <f t="shared" si="20"/>
        <v/>
      </c>
      <c r="Z218" s="30" t="str">
        <f t="shared" si="20"/>
        <v/>
      </c>
    </row>
    <row r="219" spans="20:26" x14ac:dyDescent="0.3">
      <c r="T219" s="25" t="str">
        <f t="shared" si="18"/>
        <v/>
      </c>
      <c r="U219" s="29" t="str">
        <f t="shared" si="19"/>
        <v/>
      </c>
      <c r="V219" s="29" t="str">
        <f t="shared" si="20"/>
        <v/>
      </c>
      <c r="W219" s="29" t="str">
        <f t="shared" si="20"/>
        <v/>
      </c>
      <c r="X219" s="29" t="str">
        <f t="shared" si="20"/>
        <v/>
      </c>
      <c r="Y219" s="29" t="str">
        <f t="shared" si="20"/>
        <v/>
      </c>
      <c r="Z219" s="30" t="str">
        <f t="shared" si="20"/>
        <v/>
      </c>
    </row>
    <row r="220" spans="20:26" x14ac:dyDescent="0.3">
      <c r="T220" s="25" t="str">
        <f t="shared" si="18"/>
        <v/>
      </c>
      <c r="U220" s="29" t="str">
        <f t="shared" si="19"/>
        <v/>
      </c>
      <c r="V220" s="29" t="str">
        <f t="shared" si="20"/>
        <v/>
      </c>
      <c r="W220" s="29" t="str">
        <f t="shared" si="20"/>
        <v/>
      </c>
      <c r="X220" s="29" t="str">
        <f t="shared" si="20"/>
        <v/>
      </c>
      <c r="Y220" s="29" t="str">
        <f t="shared" si="20"/>
        <v/>
      </c>
      <c r="Z220" s="30" t="str">
        <f t="shared" si="20"/>
        <v/>
      </c>
    </row>
    <row r="221" spans="20:26" x14ac:dyDescent="0.3">
      <c r="T221" s="25" t="str">
        <f t="shared" si="18"/>
        <v/>
      </c>
      <c r="U221" s="29" t="str">
        <f t="shared" si="19"/>
        <v/>
      </c>
      <c r="V221" s="29" t="str">
        <f t="shared" si="20"/>
        <v/>
      </c>
      <c r="W221" s="29" t="str">
        <f t="shared" si="20"/>
        <v/>
      </c>
      <c r="X221" s="29" t="str">
        <f t="shared" si="20"/>
        <v/>
      </c>
      <c r="Y221" s="29" t="str">
        <f t="shared" si="20"/>
        <v/>
      </c>
      <c r="Z221" s="30" t="str">
        <f t="shared" si="20"/>
        <v/>
      </c>
    </row>
    <row r="222" spans="20:26" x14ac:dyDescent="0.3">
      <c r="T222" s="25" t="str">
        <f t="shared" si="18"/>
        <v/>
      </c>
      <c r="U222" s="29" t="str">
        <f t="shared" si="19"/>
        <v/>
      </c>
      <c r="V222" s="29" t="str">
        <f t="shared" si="20"/>
        <v/>
      </c>
      <c r="W222" s="29" t="str">
        <f t="shared" si="20"/>
        <v/>
      </c>
      <c r="X222" s="29" t="str">
        <f t="shared" si="20"/>
        <v/>
      </c>
      <c r="Y222" s="29" t="str">
        <f t="shared" si="20"/>
        <v/>
      </c>
      <c r="Z222" s="30" t="str">
        <f t="shared" si="20"/>
        <v/>
      </c>
    </row>
    <row r="223" spans="20:26" x14ac:dyDescent="0.3">
      <c r="T223" s="25" t="str">
        <f t="shared" si="18"/>
        <v/>
      </c>
      <c r="U223" s="29" t="str">
        <f t="shared" si="19"/>
        <v/>
      </c>
      <c r="V223" s="29" t="str">
        <f t="shared" si="20"/>
        <v/>
      </c>
      <c r="W223" s="29" t="str">
        <f t="shared" si="20"/>
        <v/>
      </c>
      <c r="X223" s="29" t="str">
        <f t="shared" si="20"/>
        <v/>
      </c>
      <c r="Y223" s="29" t="str">
        <f t="shared" si="20"/>
        <v/>
      </c>
      <c r="Z223" s="30" t="str">
        <f t="shared" si="20"/>
        <v/>
      </c>
    </row>
    <row r="224" spans="20:26" x14ac:dyDescent="0.3">
      <c r="T224" s="25" t="str">
        <f t="shared" si="18"/>
        <v/>
      </c>
      <c r="U224" s="29" t="str">
        <f t="shared" si="19"/>
        <v/>
      </c>
      <c r="V224" s="29" t="str">
        <f t="shared" ref="V224:Z243" si="21">IF($T224&gt;=V$2,$U224,-100)</f>
        <v/>
      </c>
      <c r="W224" s="29" t="str">
        <f t="shared" si="21"/>
        <v/>
      </c>
      <c r="X224" s="29" t="str">
        <f t="shared" si="21"/>
        <v/>
      </c>
      <c r="Y224" s="29" t="str">
        <f t="shared" si="21"/>
        <v/>
      </c>
      <c r="Z224" s="30" t="str">
        <f t="shared" si="21"/>
        <v/>
      </c>
    </row>
    <row r="225" spans="20:26" x14ac:dyDescent="0.3">
      <c r="T225" s="25" t="str">
        <f t="shared" si="18"/>
        <v/>
      </c>
      <c r="U225" s="29" t="str">
        <f t="shared" si="19"/>
        <v/>
      </c>
      <c r="V225" s="29" t="str">
        <f t="shared" si="21"/>
        <v/>
      </c>
      <c r="W225" s="29" t="str">
        <f t="shared" si="21"/>
        <v/>
      </c>
      <c r="X225" s="29" t="str">
        <f t="shared" si="21"/>
        <v/>
      </c>
      <c r="Y225" s="29" t="str">
        <f t="shared" si="21"/>
        <v/>
      </c>
      <c r="Z225" s="30" t="str">
        <f t="shared" si="21"/>
        <v/>
      </c>
    </row>
    <row r="226" spans="20:26" x14ac:dyDescent="0.3">
      <c r="T226" s="25" t="str">
        <f t="shared" si="18"/>
        <v/>
      </c>
      <c r="U226" s="29" t="str">
        <f t="shared" si="19"/>
        <v/>
      </c>
      <c r="V226" s="29" t="str">
        <f t="shared" si="21"/>
        <v/>
      </c>
      <c r="W226" s="29" t="str">
        <f t="shared" si="21"/>
        <v/>
      </c>
      <c r="X226" s="29" t="str">
        <f t="shared" si="21"/>
        <v/>
      </c>
      <c r="Y226" s="29" t="str">
        <f t="shared" si="21"/>
        <v/>
      </c>
      <c r="Z226" s="30" t="str">
        <f t="shared" si="21"/>
        <v/>
      </c>
    </row>
    <row r="227" spans="20:26" x14ac:dyDescent="0.3">
      <c r="T227" s="25" t="str">
        <f t="shared" si="18"/>
        <v/>
      </c>
      <c r="U227" s="29" t="str">
        <f t="shared" si="19"/>
        <v/>
      </c>
      <c r="V227" s="29" t="str">
        <f t="shared" si="21"/>
        <v/>
      </c>
      <c r="W227" s="29" t="str">
        <f t="shared" si="21"/>
        <v/>
      </c>
      <c r="X227" s="29" t="str">
        <f t="shared" si="21"/>
        <v/>
      </c>
      <c r="Y227" s="29" t="str">
        <f t="shared" si="21"/>
        <v/>
      </c>
      <c r="Z227" s="30" t="str">
        <f t="shared" si="21"/>
        <v/>
      </c>
    </row>
    <row r="228" spans="20:26" x14ac:dyDescent="0.3">
      <c r="T228" s="25" t="str">
        <f t="shared" si="18"/>
        <v/>
      </c>
      <c r="U228" s="29" t="str">
        <f t="shared" si="19"/>
        <v/>
      </c>
      <c r="V228" s="29" t="str">
        <f t="shared" si="21"/>
        <v/>
      </c>
      <c r="W228" s="29" t="str">
        <f t="shared" si="21"/>
        <v/>
      </c>
      <c r="X228" s="29" t="str">
        <f t="shared" si="21"/>
        <v/>
      </c>
      <c r="Y228" s="29" t="str">
        <f t="shared" si="21"/>
        <v/>
      </c>
      <c r="Z228" s="30" t="str">
        <f t="shared" si="21"/>
        <v/>
      </c>
    </row>
    <row r="229" spans="20:26" x14ac:dyDescent="0.3">
      <c r="T229" s="25" t="str">
        <f t="shared" si="18"/>
        <v/>
      </c>
      <c r="U229" s="29" t="str">
        <f t="shared" si="19"/>
        <v/>
      </c>
      <c r="V229" s="29" t="str">
        <f t="shared" si="21"/>
        <v/>
      </c>
      <c r="W229" s="29" t="str">
        <f t="shared" si="21"/>
        <v/>
      </c>
      <c r="X229" s="29" t="str">
        <f t="shared" si="21"/>
        <v/>
      </c>
      <c r="Y229" s="29" t="str">
        <f t="shared" si="21"/>
        <v/>
      </c>
      <c r="Z229" s="30" t="str">
        <f t="shared" si="21"/>
        <v/>
      </c>
    </row>
    <row r="230" spans="20:26" x14ac:dyDescent="0.3">
      <c r="T230" s="25" t="str">
        <f t="shared" si="18"/>
        <v/>
      </c>
      <c r="U230" s="29" t="str">
        <f t="shared" si="19"/>
        <v/>
      </c>
      <c r="V230" s="29" t="str">
        <f t="shared" si="21"/>
        <v/>
      </c>
      <c r="W230" s="29" t="str">
        <f t="shared" si="21"/>
        <v/>
      </c>
      <c r="X230" s="29" t="str">
        <f t="shared" si="21"/>
        <v/>
      </c>
      <c r="Y230" s="29" t="str">
        <f t="shared" si="21"/>
        <v/>
      </c>
      <c r="Z230" s="30" t="str">
        <f t="shared" si="21"/>
        <v/>
      </c>
    </row>
    <row r="231" spans="20:26" x14ac:dyDescent="0.3">
      <c r="T231" s="25" t="str">
        <f t="shared" si="18"/>
        <v/>
      </c>
      <c r="U231" s="29" t="str">
        <f t="shared" si="19"/>
        <v/>
      </c>
      <c r="V231" s="29" t="str">
        <f t="shared" si="21"/>
        <v/>
      </c>
      <c r="W231" s="29" t="str">
        <f t="shared" si="21"/>
        <v/>
      </c>
      <c r="X231" s="29" t="str">
        <f t="shared" si="21"/>
        <v/>
      </c>
      <c r="Y231" s="29" t="str">
        <f t="shared" si="21"/>
        <v/>
      </c>
      <c r="Z231" s="30" t="str">
        <f t="shared" si="21"/>
        <v/>
      </c>
    </row>
    <row r="232" spans="20:26" x14ac:dyDescent="0.3">
      <c r="T232" s="25" t="str">
        <f t="shared" si="18"/>
        <v/>
      </c>
      <c r="U232" s="29" t="str">
        <f t="shared" si="19"/>
        <v/>
      </c>
      <c r="V232" s="29" t="str">
        <f t="shared" si="21"/>
        <v/>
      </c>
      <c r="W232" s="29" t="str">
        <f t="shared" si="21"/>
        <v/>
      </c>
      <c r="X232" s="29" t="str">
        <f t="shared" si="21"/>
        <v/>
      </c>
      <c r="Y232" s="29" t="str">
        <f t="shared" si="21"/>
        <v/>
      </c>
      <c r="Z232" s="30" t="str">
        <f t="shared" si="21"/>
        <v/>
      </c>
    </row>
    <row r="233" spans="20:26" x14ac:dyDescent="0.3">
      <c r="T233" s="25" t="str">
        <f t="shared" si="18"/>
        <v/>
      </c>
      <c r="U233" s="29" t="str">
        <f t="shared" si="19"/>
        <v/>
      </c>
      <c r="V233" s="29" t="str">
        <f t="shared" si="21"/>
        <v/>
      </c>
      <c r="W233" s="29" t="str">
        <f t="shared" si="21"/>
        <v/>
      </c>
      <c r="X233" s="29" t="str">
        <f t="shared" si="21"/>
        <v/>
      </c>
      <c r="Y233" s="29" t="str">
        <f t="shared" si="21"/>
        <v/>
      </c>
      <c r="Z233" s="30" t="str">
        <f t="shared" si="21"/>
        <v/>
      </c>
    </row>
    <row r="234" spans="20:26" x14ac:dyDescent="0.3">
      <c r="T234" s="25" t="str">
        <f t="shared" si="18"/>
        <v/>
      </c>
      <c r="U234" s="29" t="str">
        <f t="shared" si="19"/>
        <v/>
      </c>
      <c r="V234" s="29" t="str">
        <f t="shared" si="21"/>
        <v/>
      </c>
      <c r="W234" s="29" t="str">
        <f t="shared" si="21"/>
        <v/>
      </c>
      <c r="X234" s="29" t="str">
        <f t="shared" si="21"/>
        <v/>
      </c>
      <c r="Y234" s="29" t="str">
        <f t="shared" si="21"/>
        <v/>
      </c>
      <c r="Z234" s="30" t="str">
        <f t="shared" si="21"/>
        <v/>
      </c>
    </row>
    <row r="235" spans="20:26" x14ac:dyDescent="0.3">
      <c r="T235" s="25" t="str">
        <f t="shared" si="18"/>
        <v/>
      </c>
      <c r="U235" s="29" t="str">
        <f t="shared" si="19"/>
        <v/>
      </c>
      <c r="V235" s="29" t="str">
        <f t="shared" si="21"/>
        <v/>
      </c>
      <c r="W235" s="29" t="str">
        <f t="shared" si="21"/>
        <v/>
      </c>
      <c r="X235" s="29" t="str">
        <f t="shared" si="21"/>
        <v/>
      </c>
      <c r="Y235" s="29" t="str">
        <f t="shared" si="21"/>
        <v/>
      </c>
      <c r="Z235" s="30" t="str">
        <f t="shared" si="21"/>
        <v/>
      </c>
    </row>
    <row r="236" spans="20:26" x14ac:dyDescent="0.3">
      <c r="T236" s="25" t="str">
        <f t="shared" si="18"/>
        <v/>
      </c>
      <c r="U236" s="29" t="str">
        <f t="shared" si="19"/>
        <v/>
      </c>
      <c r="V236" s="29" t="str">
        <f t="shared" si="21"/>
        <v/>
      </c>
      <c r="W236" s="29" t="str">
        <f t="shared" si="21"/>
        <v/>
      </c>
      <c r="X236" s="29" t="str">
        <f t="shared" si="21"/>
        <v/>
      </c>
      <c r="Y236" s="29" t="str">
        <f t="shared" si="21"/>
        <v/>
      </c>
      <c r="Z236" s="30" t="str">
        <f t="shared" si="21"/>
        <v/>
      </c>
    </row>
    <row r="237" spans="20:26" x14ac:dyDescent="0.3">
      <c r="T237" s="25" t="str">
        <f t="shared" si="18"/>
        <v/>
      </c>
      <c r="U237" s="29" t="str">
        <f t="shared" si="19"/>
        <v/>
      </c>
      <c r="V237" s="29" t="str">
        <f t="shared" si="21"/>
        <v/>
      </c>
      <c r="W237" s="29" t="str">
        <f t="shared" si="21"/>
        <v/>
      </c>
      <c r="X237" s="29" t="str">
        <f t="shared" si="21"/>
        <v/>
      </c>
      <c r="Y237" s="29" t="str">
        <f t="shared" si="21"/>
        <v/>
      </c>
      <c r="Z237" s="30" t="str">
        <f t="shared" si="21"/>
        <v/>
      </c>
    </row>
    <row r="238" spans="20:26" x14ac:dyDescent="0.3">
      <c r="T238" s="25" t="str">
        <f t="shared" si="18"/>
        <v/>
      </c>
      <c r="U238" s="29" t="str">
        <f t="shared" si="19"/>
        <v/>
      </c>
      <c r="V238" s="29" t="str">
        <f t="shared" si="21"/>
        <v/>
      </c>
      <c r="W238" s="29" t="str">
        <f t="shared" si="21"/>
        <v/>
      </c>
      <c r="X238" s="29" t="str">
        <f t="shared" si="21"/>
        <v/>
      </c>
      <c r="Y238" s="29" t="str">
        <f t="shared" si="21"/>
        <v/>
      </c>
      <c r="Z238" s="30" t="str">
        <f t="shared" si="21"/>
        <v/>
      </c>
    </row>
    <row r="239" spans="20:26" x14ac:dyDescent="0.3">
      <c r="T239" s="25" t="str">
        <f t="shared" si="18"/>
        <v/>
      </c>
      <c r="U239" s="29" t="str">
        <f t="shared" si="19"/>
        <v/>
      </c>
      <c r="V239" s="29" t="str">
        <f t="shared" si="21"/>
        <v/>
      </c>
      <c r="W239" s="29" t="str">
        <f t="shared" si="21"/>
        <v/>
      </c>
      <c r="X239" s="29" t="str">
        <f t="shared" si="21"/>
        <v/>
      </c>
      <c r="Y239" s="29" t="str">
        <f t="shared" si="21"/>
        <v/>
      </c>
      <c r="Z239" s="30" t="str">
        <f t="shared" si="21"/>
        <v/>
      </c>
    </row>
    <row r="240" spans="20:26" x14ac:dyDescent="0.3">
      <c r="T240" s="25" t="str">
        <f t="shared" si="18"/>
        <v/>
      </c>
      <c r="U240" s="29" t="str">
        <f t="shared" si="19"/>
        <v/>
      </c>
      <c r="V240" s="29" t="str">
        <f t="shared" si="21"/>
        <v/>
      </c>
      <c r="W240" s="29" t="str">
        <f t="shared" si="21"/>
        <v/>
      </c>
      <c r="X240" s="29" t="str">
        <f t="shared" si="21"/>
        <v/>
      </c>
      <c r="Y240" s="29" t="str">
        <f t="shared" si="21"/>
        <v/>
      </c>
      <c r="Z240" s="30" t="str">
        <f t="shared" si="21"/>
        <v/>
      </c>
    </row>
    <row r="241" spans="20:26" x14ac:dyDescent="0.3">
      <c r="T241" s="25" t="str">
        <f t="shared" si="18"/>
        <v/>
      </c>
      <c r="U241" s="29" t="str">
        <f t="shared" si="19"/>
        <v/>
      </c>
      <c r="V241" s="29" t="str">
        <f t="shared" si="21"/>
        <v/>
      </c>
      <c r="W241" s="29" t="str">
        <f t="shared" si="21"/>
        <v/>
      </c>
      <c r="X241" s="29" t="str">
        <f t="shared" si="21"/>
        <v/>
      </c>
      <c r="Y241" s="29" t="str">
        <f t="shared" si="21"/>
        <v/>
      </c>
      <c r="Z241" s="30" t="str">
        <f t="shared" si="21"/>
        <v/>
      </c>
    </row>
    <row r="242" spans="20:26" x14ac:dyDescent="0.3">
      <c r="T242" s="25" t="str">
        <f t="shared" si="18"/>
        <v/>
      </c>
      <c r="U242" s="29" t="str">
        <f t="shared" si="19"/>
        <v/>
      </c>
      <c r="V242" s="29" t="str">
        <f t="shared" si="21"/>
        <v/>
      </c>
      <c r="W242" s="29" t="str">
        <f t="shared" si="21"/>
        <v/>
      </c>
      <c r="X242" s="29" t="str">
        <f t="shared" si="21"/>
        <v/>
      </c>
      <c r="Y242" s="29" t="str">
        <f t="shared" si="21"/>
        <v/>
      </c>
      <c r="Z242" s="30" t="str">
        <f t="shared" si="21"/>
        <v/>
      </c>
    </row>
    <row r="243" spans="20:26" x14ac:dyDescent="0.3">
      <c r="T243" s="25" t="str">
        <f t="shared" si="18"/>
        <v/>
      </c>
      <c r="U243" s="29" t="str">
        <f t="shared" si="19"/>
        <v/>
      </c>
      <c r="V243" s="29" t="str">
        <f t="shared" si="21"/>
        <v/>
      </c>
      <c r="W243" s="29" t="str">
        <f t="shared" si="21"/>
        <v/>
      </c>
      <c r="X243" s="29" t="str">
        <f t="shared" si="21"/>
        <v/>
      </c>
      <c r="Y243" s="29" t="str">
        <f t="shared" si="21"/>
        <v/>
      </c>
      <c r="Z243" s="30" t="str">
        <f t="shared" si="21"/>
        <v/>
      </c>
    </row>
    <row r="244" spans="20:26" x14ac:dyDescent="0.3">
      <c r="T244" s="25" t="str">
        <f t="shared" si="18"/>
        <v/>
      </c>
      <c r="U244" s="29" t="str">
        <f t="shared" si="19"/>
        <v/>
      </c>
      <c r="V244" s="29" t="str">
        <f t="shared" ref="V244:Z263" si="22">IF($T244&gt;=V$2,$U244,-100)</f>
        <v/>
      </c>
      <c r="W244" s="29" t="str">
        <f t="shared" si="22"/>
        <v/>
      </c>
      <c r="X244" s="29" t="str">
        <f t="shared" si="22"/>
        <v/>
      </c>
      <c r="Y244" s="29" t="str">
        <f t="shared" si="22"/>
        <v/>
      </c>
      <c r="Z244" s="30" t="str">
        <f t="shared" si="22"/>
        <v/>
      </c>
    </row>
    <row r="245" spans="20:26" x14ac:dyDescent="0.3">
      <c r="T245" s="25" t="str">
        <f t="shared" si="18"/>
        <v/>
      </c>
      <c r="U245" s="29" t="str">
        <f t="shared" si="19"/>
        <v/>
      </c>
      <c r="V245" s="29" t="str">
        <f t="shared" si="22"/>
        <v/>
      </c>
      <c r="W245" s="29" t="str">
        <f t="shared" si="22"/>
        <v/>
      </c>
      <c r="X245" s="29" t="str">
        <f t="shared" si="22"/>
        <v/>
      </c>
      <c r="Y245" s="29" t="str">
        <f t="shared" si="22"/>
        <v/>
      </c>
      <c r="Z245" s="30" t="str">
        <f t="shared" si="22"/>
        <v/>
      </c>
    </row>
    <row r="246" spans="20:26" x14ac:dyDescent="0.3">
      <c r="T246" s="25" t="str">
        <f t="shared" si="18"/>
        <v/>
      </c>
      <c r="U246" s="29" t="str">
        <f t="shared" si="19"/>
        <v/>
      </c>
      <c r="V246" s="29" t="str">
        <f t="shared" si="22"/>
        <v/>
      </c>
      <c r="W246" s="29" t="str">
        <f t="shared" si="22"/>
        <v/>
      </c>
      <c r="X246" s="29" t="str">
        <f t="shared" si="22"/>
        <v/>
      </c>
      <c r="Y246" s="29" t="str">
        <f t="shared" si="22"/>
        <v/>
      </c>
      <c r="Z246" s="30" t="str">
        <f t="shared" si="22"/>
        <v/>
      </c>
    </row>
    <row r="247" spans="20:26" x14ac:dyDescent="0.3">
      <c r="T247" s="25" t="str">
        <f t="shared" si="18"/>
        <v/>
      </c>
      <c r="U247" s="29" t="str">
        <f t="shared" si="19"/>
        <v/>
      </c>
      <c r="V247" s="29" t="str">
        <f t="shared" si="22"/>
        <v/>
      </c>
      <c r="W247" s="29" t="str">
        <f t="shared" si="22"/>
        <v/>
      </c>
      <c r="X247" s="29" t="str">
        <f t="shared" si="22"/>
        <v/>
      </c>
      <c r="Y247" s="29" t="str">
        <f t="shared" si="22"/>
        <v/>
      </c>
      <c r="Z247" s="30" t="str">
        <f t="shared" si="22"/>
        <v/>
      </c>
    </row>
    <row r="248" spans="20:26" x14ac:dyDescent="0.3">
      <c r="T248" s="25" t="str">
        <f t="shared" si="18"/>
        <v/>
      </c>
      <c r="U248" s="29" t="str">
        <f t="shared" si="19"/>
        <v/>
      </c>
      <c r="V248" s="29" t="str">
        <f t="shared" si="22"/>
        <v/>
      </c>
      <c r="W248" s="29" t="str">
        <f t="shared" si="22"/>
        <v/>
      </c>
      <c r="X248" s="29" t="str">
        <f t="shared" si="22"/>
        <v/>
      </c>
      <c r="Y248" s="29" t="str">
        <f t="shared" si="22"/>
        <v/>
      </c>
      <c r="Z248" s="30" t="str">
        <f t="shared" si="22"/>
        <v/>
      </c>
    </row>
    <row r="249" spans="20:26" x14ac:dyDescent="0.3">
      <c r="T249" s="25" t="str">
        <f t="shared" si="18"/>
        <v/>
      </c>
      <c r="U249" s="29" t="str">
        <f t="shared" si="19"/>
        <v/>
      </c>
      <c r="V249" s="29" t="str">
        <f t="shared" si="22"/>
        <v/>
      </c>
      <c r="W249" s="29" t="str">
        <f t="shared" si="22"/>
        <v/>
      </c>
      <c r="X249" s="29" t="str">
        <f t="shared" si="22"/>
        <v/>
      </c>
      <c r="Y249" s="29" t="str">
        <f t="shared" si="22"/>
        <v/>
      </c>
      <c r="Z249" s="30" t="str">
        <f t="shared" si="22"/>
        <v/>
      </c>
    </row>
    <row r="250" spans="20:26" x14ac:dyDescent="0.3">
      <c r="T250" s="25" t="str">
        <f t="shared" si="18"/>
        <v/>
      </c>
      <c r="U250" s="29" t="str">
        <f t="shared" si="19"/>
        <v/>
      </c>
      <c r="V250" s="29" t="str">
        <f t="shared" si="22"/>
        <v/>
      </c>
      <c r="W250" s="29" t="str">
        <f t="shared" si="22"/>
        <v/>
      </c>
      <c r="X250" s="29" t="str">
        <f t="shared" si="22"/>
        <v/>
      </c>
      <c r="Y250" s="29" t="str">
        <f t="shared" si="22"/>
        <v/>
      </c>
      <c r="Z250" s="30" t="str">
        <f t="shared" si="22"/>
        <v/>
      </c>
    </row>
    <row r="251" spans="20:26" x14ac:dyDescent="0.3">
      <c r="T251" s="25" t="str">
        <f t="shared" si="18"/>
        <v/>
      </c>
      <c r="U251" s="29" t="str">
        <f t="shared" si="19"/>
        <v/>
      </c>
      <c r="V251" s="29" t="str">
        <f t="shared" si="22"/>
        <v/>
      </c>
      <c r="W251" s="29" t="str">
        <f t="shared" si="22"/>
        <v/>
      </c>
      <c r="X251" s="29" t="str">
        <f t="shared" si="22"/>
        <v/>
      </c>
      <c r="Y251" s="29" t="str">
        <f t="shared" si="22"/>
        <v/>
      </c>
      <c r="Z251" s="30" t="str">
        <f t="shared" si="22"/>
        <v/>
      </c>
    </row>
    <row r="252" spans="20:26" x14ac:dyDescent="0.3">
      <c r="T252" s="25" t="str">
        <f t="shared" si="18"/>
        <v/>
      </c>
      <c r="U252" s="29" t="str">
        <f t="shared" si="19"/>
        <v/>
      </c>
      <c r="V252" s="29" t="str">
        <f t="shared" si="22"/>
        <v/>
      </c>
      <c r="W252" s="29" t="str">
        <f t="shared" si="22"/>
        <v/>
      </c>
      <c r="X252" s="29" t="str">
        <f t="shared" si="22"/>
        <v/>
      </c>
      <c r="Y252" s="29" t="str">
        <f t="shared" si="22"/>
        <v/>
      </c>
      <c r="Z252" s="30" t="str">
        <f t="shared" si="22"/>
        <v/>
      </c>
    </row>
    <row r="253" spans="20:26" x14ac:dyDescent="0.3">
      <c r="T253" s="25" t="str">
        <f t="shared" si="18"/>
        <v/>
      </c>
      <c r="U253" s="29" t="str">
        <f t="shared" si="19"/>
        <v/>
      </c>
      <c r="V253" s="29" t="str">
        <f t="shared" si="22"/>
        <v/>
      </c>
      <c r="W253" s="29" t="str">
        <f t="shared" si="22"/>
        <v/>
      </c>
      <c r="X253" s="29" t="str">
        <f t="shared" si="22"/>
        <v/>
      </c>
      <c r="Y253" s="29" t="str">
        <f t="shared" si="22"/>
        <v/>
      </c>
      <c r="Z253" s="30" t="str">
        <f t="shared" si="22"/>
        <v/>
      </c>
    </row>
    <row r="254" spans="20:26" x14ac:dyDescent="0.3">
      <c r="T254" s="25" t="str">
        <f t="shared" si="18"/>
        <v/>
      </c>
      <c r="U254" s="29" t="str">
        <f t="shared" si="19"/>
        <v/>
      </c>
      <c r="V254" s="29" t="str">
        <f t="shared" si="22"/>
        <v/>
      </c>
      <c r="W254" s="29" t="str">
        <f t="shared" si="22"/>
        <v/>
      </c>
      <c r="X254" s="29" t="str">
        <f t="shared" si="22"/>
        <v/>
      </c>
      <c r="Y254" s="29" t="str">
        <f t="shared" si="22"/>
        <v/>
      </c>
      <c r="Z254" s="30" t="str">
        <f t="shared" si="22"/>
        <v/>
      </c>
    </row>
    <row r="255" spans="20:26" x14ac:dyDescent="0.3">
      <c r="T255" s="25" t="str">
        <f t="shared" si="18"/>
        <v/>
      </c>
      <c r="U255" s="29" t="str">
        <f t="shared" si="19"/>
        <v/>
      </c>
      <c r="V255" s="29" t="str">
        <f t="shared" si="22"/>
        <v/>
      </c>
      <c r="W255" s="29" t="str">
        <f t="shared" si="22"/>
        <v/>
      </c>
      <c r="X255" s="29" t="str">
        <f t="shared" si="22"/>
        <v/>
      </c>
      <c r="Y255" s="29" t="str">
        <f t="shared" si="22"/>
        <v/>
      </c>
      <c r="Z255" s="30" t="str">
        <f t="shared" si="22"/>
        <v/>
      </c>
    </row>
    <row r="256" spans="20:26" x14ac:dyDescent="0.3">
      <c r="T256" s="25" t="str">
        <f t="shared" si="18"/>
        <v/>
      </c>
      <c r="U256" s="29" t="str">
        <f t="shared" si="19"/>
        <v/>
      </c>
      <c r="V256" s="29" t="str">
        <f t="shared" si="22"/>
        <v/>
      </c>
      <c r="W256" s="29" t="str">
        <f t="shared" si="22"/>
        <v/>
      </c>
      <c r="X256" s="29" t="str">
        <f t="shared" si="22"/>
        <v/>
      </c>
      <c r="Y256" s="29" t="str">
        <f t="shared" si="22"/>
        <v/>
      </c>
      <c r="Z256" s="30" t="str">
        <f t="shared" si="22"/>
        <v/>
      </c>
    </row>
    <row r="257" spans="20:26" x14ac:dyDescent="0.3">
      <c r="T257" s="25" t="str">
        <f t="shared" si="18"/>
        <v/>
      </c>
      <c r="U257" s="29" t="str">
        <f t="shared" si="19"/>
        <v/>
      </c>
      <c r="V257" s="29" t="str">
        <f t="shared" si="22"/>
        <v/>
      </c>
      <c r="W257" s="29" t="str">
        <f t="shared" si="22"/>
        <v/>
      </c>
      <c r="X257" s="29" t="str">
        <f t="shared" si="22"/>
        <v/>
      </c>
      <c r="Y257" s="29" t="str">
        <f t="shared" si="22"/>
        <v/>
      </c>
      <c r="Z257" s="30" t="str">
        <f t="shared" si="22"/>
        <v/>
      </c>
    </row>
    <row r="258" spans="20:26" x14ac:dyDescent="0.3">
      <c r="T258" s="25" t="str">
        <f t="shared" si="18"/>
        <v/>
      </c>
      <c r="U258" s="29" t="str">
        <f t="shared" si="19"/>
        <v/>
      </c>
      <c r="V258" s="29" t="str">
        <f t="shared" si="22"/>
        <v/>
      </c>
      <c r="W258" s="29" t="str">
        <f t="shared" si="22"/>
        <v/>
      </c>
      <c r="X258" s="29" t="str">
        <f t="shared" si="22"/>
        <v/>
      </c>
      <c r="Y258" s="29" t="str">
        <f t="shared" si="22"/>
        <v/>
      </c>
      <c r="Z258" s="30" t="str">
        <f t="shared" si="22"/>
        <v/>
      </c>
    </row>
    <row r="259" spans="20:26" x14ac:dyDescent="0.3">
      <c r="T259" s="25" t="str">
        <f t="shared" ref="T259:T322" si="23">IF(ROW()-2&lt;=$Q$4*$Q$27,"",IF(ROW()-2&gt;$Q$24*$Q$26,"",ROW()-2))</f>
        <v/>
      </c>
      <c r="U259" s="29" t="str">
        <f t="shared" si="19"/>
        <v/>
      </c>
      <c r="V259" s="29" t="str">
        <f t="shared" si="22"/>
        <v/>
      </c>
      <c r="W259" s="29" t="str">
        <f t="shared" si="22"/>
        <v/>
      </c>
      <c r="X259" s="29" t="str">
        <f t="shared" si="22"/>
        <v/>
      </c>
      <c r="Y259" s="29" t="str">
        <f t="shared" si="22"/>
        <v/>
      </c>
      <c r="Z259" s="30" t="str">
        <f t="shared" si="22"/>
        <v/>
      </c>
    </row>
    <row r="260" spans="20:26" x14ac:dyDescent="0.3">
      <c r="T260" s="25" t="str">
        <f t="shared" si="23"/>
        <v/>
      </c>
      <c r="U260" s="29" t="str">
        <f t="shared" ref="U260:U323" si="24">IFERROR(_xlfn.NORM.DIST(T260,$Q$1,$Q$2,FALSE),"")</f>
        <v/>
      </c>
      <c r="V260" s="29" t="str">
        <f t="shared" si="22"/>
        <v/>
      </c>
      <c r="W260" s="29" t="str">
        <f t="shared" si="22"/>
        <v/>
      </c>
      <c r="X260" s="29" t="str">
        <f t="shared" si="22"/>
        <v/>
      </c>
      <c r="Y260" s="29" t="str">
        <f t="shared" si="22"/>
        <v/>
      </c>
      <c r="Z260" s="30" t="str">
        <f t="shared" si="22"/>
        <v/>
      </c>
    </row>
    <row r="261" spans="20:26" x14ac:dyDescent="0.3">
      <c r="T261" s="25" t="str">
        <f t="shared" si="23"/>
        <v/>
      </c>
      <c r="U261" s="29" t="str">
        <f t="shared" si="24"/>
        <v/>
      </c>
      <c r="V261" s="29" t="str">
        <f t="shared" si="22"/>
        <v/>
      </c>
      <c r="W261" s="29" t="str">
        <f t="shared" si="22"/>
        <v/>
      </c>
      <c r="X261" s="29" t="str">
        <f t="shared" si="22"/>
        <v/>
      </c>
      <c r="Y261" s="29" t="str">
        <f t="shared" si="22"/>
        <v/>
      </c>
      <c r="Z261" s="30" t="str">
        <f t="shared" si="22"/>
        <v/>
      </c>
    </row>
    <row r="262" spans="20:26" x14ac:dyDescent="0.3">
      <c r="T262" s="25" t="str">
        <f t="shared" si="23"/>
        <v/>
      </c>
      <c r="U262" s="29" t="str">
        <f t="shared" si="24"/>
        <v/>
      </c>
      <c r="V262" s="29" t="str">
        <f t="shared" si="22"/>
        <v/>
      </c>
      <c r="W262" s="29" t="str">
        <f t="shared" si="22"/>
        <v/>
      </c>
      <c r="X262" s="29" t="str">
        <f t="shared" si="22"/>
        <v/>
      </c>
      <c r="Y262" s="29" t="str">
        <f t="shared" si="22"/>
        <v/>
      </c>
      <c r="Z262" s="30" t="str">
        <f t="shared" si="22"/>
        <v/>
      </c>
    </row>
    <row r="263" spans="20:26" x14ac:dyDescent="0.3">
      <c r="T263" s="25" t="str">
        <f t="shared" si="23"/>
        <v/>
      </c>
      <c r="U263" s="29" t="str">
        <f t="shared" si="24"/>
        <v/>
      </c>
      <c r="V263" s="29" t="str">
        <f t="shared" si="22"/>
        <v/>
      </c>
      <c r="W263" s="29" t="str">
        <f t="shared" si="22"/>
        <v/>
      </c>
      <c r="X263" s="29" t="str">
        <f t="shared" si="22"/>
        <v/>
      </c>
      <c r="Y263" s="29" t="str">
        <f t="shared" si="22"/>
        <v/>
      </c>
      <c r="Z263" s="30" t="str">
        <f t="shared" si="22"/>
        <v/>
      </c>
    </row>
    <row r="264" spans="20:26" x14ac:dyDescent="0.3">
      <c r="T264" s="25" t="str">
        <f t="shared" si="23"/>
        <v/>
      </c>
      <c r="U264" s="29" t="str">
        <f t="shared" si="24"/>
        <v/>
      </c>
      <c r="V264" s="29" t="str">
        <f t="shared" ref="V264:Z283" si="25">IF($T264&gt;=V$2,$U264,-100)</f>
        <v/>
      </c>
      <c r="W264" s="29" t="str">
        <f t="shared" si="25"/>
        <v/>
      </c>
      <c r="X264" s="29" t="str">
        <f t="shared" si="25"/>
        <v/>
      </c>
      <c r="Y264" s="29" t="str">
        <f t="shared" si="25"/>
        <v/>
      </c>
      <c r="Z264" s="30" t="str">
        <f t="shared" si="25"/>
        <v/>
      </c>
    </row>
    <row r="265" spans="20:26" x14ac:dyDescent="0.3">
      <c r="T265" s="25" t="str">
        <f t="shared" si="23"/>
        <v/>
      </c>
      <c r="U265" s="29" t="str">
        <f t="shared" si="24"/>
        <v/>
      </c>
      <c r="V265" s="29" t="str">
        <f t="shared" si="25"/>
        <v/>
      </c>
      <c r="W265" s="29" t="str">
        <f t="shared" si="25"/>
        <v/>
      </c>
      <c r="X265" s="29" t="str">
        <f t="shared" si="25"/>
        <v/>
      </c>
      <c r="Y265" s="29" t="str">
        <f t="shared" si="25"/>
        <v/>
      </c>
      <c r="Z265" s="30" t="str">
        <f t="shared" si="25"/>
        <v/>
      </c>
    </row>
    <row r="266" spans="20:26" x14ac:dyDescent="0.3">
      <c r="T266" s="25" t="str">
        <f t="shared" si="23"/>
        <v/>
      </c>
      <c r="U266" s="29" t="str">
        <f t="shared" si="24"/>
        <v/>
      </c>
      <c r="V266" s="29" t="str">
        <f t="shared" si="25"/>
        <v/>
      </c>
      <c r="W266" s="29" t="str">
        <f t="shared" si="25"/>
        <v/>
      </c>
      <c r="X266" s="29" t="str">
        <f t="shared" si="25"/>
        <v/>
      </c>
      <c r="Y266" s="29" t="str">
        <f t="shared" si="25"/>
        <v/>
      </c>
      <c r="Z266" s="30" t="str">
        <f t="shared" si="25"/>
        <v/>
      </c>
    </row>
    <row r="267" spans="20:26" x14ac:dyDescent="0.3">
      <c r="T267" s="25" t="str">
        <f t="shared" si="23"/>
        <v/>
      </c>
      <c r="U267" s="29" t="str">
        <f t="shared" si="24"/>
        <v/>
      </c>
      <c r="V267" s="29" t="str">
        <f t="shared" si="25"/>
        <v/>
      </c>
      <c r="W267" s="29" t="str">
        <f t="shared" si="25"/>
        <v/>
      </c>
      <c r="X267" s="29" t="str">
        <f t="shared" si="25"/>
        <v/>
      </c>
      <c r="Y267" s="29" t="str">
        <f t="shared" si="25"/>
        <v/>
      </c>
      <c r="Z267" s="30" t="str">
        <f t="shared" si="25"/>
        <v/>
      </c>
    </row>
    <row r="268" spans="20:26" x14ac:dyDescent="0.3">
      <c r="T268" s="25" t="str">
        <f t="shared" si="23"/>
        <v/>
      </c>
      <c r="U268" s="29" t="str">
        <f t="shared" si="24"/>
        <v/>
      </c>
      <c r="V268" s="29" t="str">
        <f t="shared" si="25"/>
        <v/>
      </c>
      <c r="W268" s="29" t="str">
        <f t="shared" si="25"/>
        <v/>
      </c>
      <c r="X268" s="29" t="str">
        <f t="shared" si="25"/>
        <v/>
      </c>
      <c r="Y268" s="29" t="str">
        <f t="shared" si="25"/>
        <v/>
      </c>
      <c r="Z268" s="30" t="str">
        <f t="shared" si="25"/>
        <v/>
      </c>
    </row>
    <row r="269" spans="20:26" x14ac:dyDescent="0.3">
      <c r="T269" s="25" t="str">
        <f t="shared" si="23"/>
        <v/>
      </c>
      <c r="U269" s="29" t="str">
        <f t="shared" si="24"/>
        <v/>
      </c>
      <c r="V269" s="29" t="str">
        <f t="shared" si="25"/>
        <v/>
      </c>
      <c r="W269" s="29" t="str">
        <f t="shared" si="25"/>
        <v/>
      </c>
      <c r="X269" s="29" t="str">
        <f t="shared" si="25"/>
        <v/>
      </c>
      <c r="Y269" s="29" t="str">
        <f t="shared" si="25"/>
        <v/>
      </c>
      <c r="Z269" s="30" t="str">
        <f t="shared" si="25"/>
        <v/>
      </c>
    </row>
    <row r="270" spans="20:26" x14ac:dyDescent="0.3">
      <c r="T270" s="25" t="str">
        <f t="shared" si="23"/>
        <v/>
      </c>
      <c r="U270" s="29" t="str">
        <f t="shared" si="24"/>
        <v/>
      </c>
      <c r="V270" s="29" t="str">
        <f t="shared" si="25"/>
        <v/>
      </c>
      <c r="W270" s="29" t="str">
        <f t="shared" si="25"/>
        <v/>
      </c>
      <c r="X270" s="29" t="str">
        <f t="shared" si="25"/>
        <v/>
      </c>
      <c r="Y270" s="29" t="str">
        <f t="shared" si="25"/>
        <v/>
      </c>
      <c r="Z270" s="30" t="str">
        <f t="shared" si="25"/>
        <v/>
      </c>
    </row>
    <row r="271" spans="20:26" x14ac:dyDescent="0.3">
      <c r="T271" s="25" t="str">
        <f t="shared" si="23"/>
        <v/>
      </c>
      <c r="U271" s="29" t="str">
        <f t="shared" si="24"/>
        <v/>
      </c>
      <c r="V271" s="29" t="str">
        <f t="shared" si="25"/>
        <v/>
      </c>
      <c r="W271" s="29" t="str">
        <f t="shared" si="25"/>
        <v/>
      </c>
      <c r="X271" s="29" t="str">
        <f t="shared" si="25"/>
        <v/>
      </c>
      <c r="Y271" s="29" t="str">
        <f t="shared" si="25"/>
        <v/>
      </c>
      <c r="Z271" s="30" t="str">
        <f t="shared" si="25"/>
        <v/>
      </c>
    </row>
    <row r="272" spans="20:26" x14ac:dyDescent="0.3">
      <c r="T272" s="25" t="str">
        <f t="shared" si="23"/>
        <v/>
      </c>
      <c r="U272" s="29" t="str">
        <f t="shared" si="24"/>
        <v/>
      </c>
      <c r="V272" s="29" t="str">
        <f t="shared" si="25"/>
        <v/>
      </c>
      <c r="W272" s="29" t="str">
        <f t="shared" si="25"/>
        <v/>
      </c>
      <c r="X272" s="29" t="str">
        <f t="shared" si="25"/>
        <v/>
      </c>
      <c r="Y272" s="29" t="str">
        <f t="shared" si="25"/>
        <v/>
      </c>
      <c r="Z272" s="30" t="str">
        <f t="shared" si="25"/>
        <v/>
      </c>
    </row>
    <row r="273" spans="20:26" x14ac:dyDescent="0.3">
      <c r="T273" s="25" t="str">
        <f t="shared" si="23"/>
        <v/>
      </c>
      <c r="U273" s="29" t="str">
        <f t="shared" si="24"/>
        <v/>
      </c>
      <c r="V273" s="29" t="str">
        <f t="shared" si="25"/>
        <v/>
      </c>
      <c r="W273" s="29" t="str">
        <f t="shared" si="25"/>
        <v/>
      </c>
      <c r="X273" s="29" t="str">
        <f t="shared" si="25"/>
        <v/>
      </c>
      <c r="Y273" s="29" t="str">
        <f t="shared" si="25"/>
        <v/>
      </c>
      <c r="Z273" s="30" t="str">
        <f t="shared" si="25"/>
        <v/>
      </c>
    </row>
    <row r="274" spans="20:26" x14ac:dyDescent="0.3">
      <c r="T274" s="25" t="str">
        <f t="shared" si="23"/>
        <v/>
      </c>
      <c r="U274" s="29" t="str">
        <f t="shared" si="24"/>
        <v/>
      </c>
      <c r="V274" s="29" t="str">
        <f t="shared" si="25"/>
        <v/>
      </c>
      <c r="W274" s="29" t="str">
        <f t="shared" si="25"/>
        <v/>
      </c>
      <c r="X274" s="29" t="str">
        <f t="shared" si="25"/>
        <v/>
      </c>
      <c r="Y274" s="29" t="str">
        <f t="shared" si="25"/>
        <v/>
      </c>
      <c r="Z274" s="30" t="str">
        <f t="shared" si="25"/>
        <v/>
      </c>
    </row>
    <row r="275" spans="20:26" x14ac:dyDescent="0.3">
      <c r="T275" s="25" t="str">
        <f t="shared" si="23"/>
        <v/>
      </c>
      <c r="U275" s="29" t="str">
        <f t="shared" si="24"/>
        <v/>
      </c>
      <c r="V275" s="29" t="str">
        <f t="shared" si="25"/>
        <v/>
      </c>
      <c r="W275" s="29" t="str">
        <f t="shared" si="25"/>
        <v/>
      </c>
      <c r="X275" s="29" t="str">
        <f t="shared" si="25"/>
        <v/>
      </c>
      <c r="Y275" s="29" t="str">
        <f t="shared" si="25"/>
        <v/>
      </c>
      <c r="Z275" s="30" t="str">
        <f t="shared" si="25"/>
        <v/>
      </c>
    </row>
    <row r="276" spans="20:26" x14ac:dyDescent="0.3">
      <c r="T276" s="25" t="str">
        <f t="shared" si="23"/>
        <v/>
      </c>
      <c r="U276" s="29" t="str">
        <f t="shared" si="24"/>
        <v/>
      </c>
      <c r="V276" s="29" t="str">
        <f t="shared" si="25"/>
        <v/>
      </c>
      <c r="W276" s="29" t="str">
        <f t="shared" si="25"/>
        <v/>
      </c>
      <c r="X276" s="29" t="str">
        <f t="shared" si="25"/>
        <v/>
      </c>
      <c r="Y276" s="29" t="str">
        <f t="shared" si="25"/>
        <v/>
      </c>
      <c r="Z276" s="30" t="str">
        <f t="shared" si="25"/>
        <v/>
      </c>
    </row>
    <row r="277" spans="20:26" x14ac:dyDescent="0.3">
      <c r="T277" s="25" t="str">
        <f t="shared" si="23"/>
        <v/>
      </c>
      <c r="U277" s="29" t="str">
        <f t="shared" si="24"/>
        <v/>
      </c>
      <c r="V277" s="29" t="str">
        <f t="shared" si="25"/>
        <v/>
      </c>
      <c r="W277" s="29" t="str">
        <f t="shared" si="25"/>
        <v/>
      </c>
      <c r="X277" s="29" t="str">
        <f t="shared" si="25"/>
        <v/>
      </c>
      <c r="Y277" s="29" t="str">
        <f t="shared" si="25"/>
        <v/>
      </c>
      <c r="Z277" s="30" t="str">
        <f t="shared" si="25"/>
        <v/>
      </c>
    </row>
    <row r="278" spans="20:26" x14ac:dyDescent="0.3">
      <c r="T278" s="25" t="str">
        <f t="shared" si="23"/>
        <v/>
      </c>
      <c r="U278" s="29" t="str">
        <f t="shared" si="24"/>
        <v/>
      </c>
      <c r="V278" s="29" t="str">
        <f t="shared" si="25"/>
        <v/>
      </c>
      <c r="W278" s="29" t="str">
        <f t="shared" si="25"/>
        <v/>
      </c>
      <c r="X278" s="29" t="str">
        <f t="shared" si="25"/>
        <v/>
      </c>
      <c r="Y278" s="29" t="str">
        <f t="shared" si="25"/>
        <v/>
      </c>
      <c r="Z278" s="30" t="str">
        <f t="shared" si="25"/>
        <v/>
      </c>
    </row>
    <row r="279" spans="20:26" x14ac:dyDescent="0.3">
      <c r="T279" s="25" t="str">
        <f t="shared" si="23"/>
        <v/>
      </c>
      <c r="U279" s="29" t="str">
        <f t="shared" si="24"/>
        <v/>
      </c>
      <c r="V279" s="29" t="str">
        <f t="shared" si="25"/>
        <v/>
      </c>
      <c r="W279" s="29" t="str">
        <f t="shared" si="25"/>
        <v/>
      </c>
      <c r="X279" s="29" t="str">
        <f t="shared" si="25"/>
        <v/>
      </c>
      <c r="Y279" s="29" t="str">
        <f t="shared" si="25"/>
        <v/>
      </c>
      <c r="Z279" s="30" t="str">
        <f t="shared" si="25"/>
        <v/>
      </c>
    </row>
    <row r="280" spans="20:26" x14ac:dyDescent="0.3">
      <c r="T280" s="25" t="str">
        <f t="shared" si="23"/>
        <v/>
      </c>
      <c r="U280" s="29" t="str">
        <f t="shared" si="24"/>
        <v/>
      </c>
      <c r="V280" s="29" t="str">
        <f t="shared" si="25"/>
        <v/>
      </c>
      <c r="W280" s="29" t="str">
        <f t="shared" si="25"/>
        <v/>
      </c>
      <c r="X280" s="29" t="str">
        <f t="shared" si="25"/>
        <v/>
      </c>
      <c r="Y280" s="29" t="str">
        <f t="shared" si="25"/>
        <v/>
      </c>
      <c r="Z280" s="30" t="str">
        <f t="shared" si="25"/>
        <v/>
      </c>
    </row>
    <row r="281" spans="20:26" x14ac:dyDescent="0.3">
      <c r="T281" s="25" t="str">
        <f t="shared" si="23"/>
        <v/>
      </c>
      <c r="U281" s="29" t="str">
        <f t="shared" si="24"/>
        <v/>
      </c>
      <c r="V281" s="29" t="str">
        <f t="shared" si="25"/>
        <v/>
      </c>
      <c r="W281" s="29" t="str">
        <f t="shared" si="25"/>
        <v/>
      </c>
      <c r="X281" s="29" t="str">
        <f t="shared" si="25"/>
        <v/>
      </c>
      <c r="Y281" s="29" t="str">
        <f t="shared" si="25"/>
        <v/>
      </c>
      <c r="Z281" s="30" t="str">
        <f t="shared" si="25"/>
        <v/>
      </c>
    </row>
    <row r="282" spans="20:26" x14ac:dyDescent="0.3">
      <c r="T282" s="25" t="str">
        <f t="shared" si="23"/>
        <v/>
      </c>
      <c r="U282" s="29" t="str">
        <f t="shared" si="24"/>
        <v/>
      </c>
      <c r="V282" s="29" t="str">
        <f t="shared" si="25"/>
        <v/>
      </c>
      <c r="W282" s="29" t="str">
        <f t="shared" si="25"/>
        <v/>
      </c>
      <c r="X282" s="29" t="str">
        <f t="shared" si="25"/>
        <v/>
      </c>
      <c r="Y282" s="29" t="str">
        <f t="shared" si="25"/>
        <v/>
      </c>
      <c r="Z282" s="30" t="str">
        <f t="shared" si="25"/>
        <v/>
      </c>
    </row>
    <row r="283" spans="20:26" x14ac:dyDescent="0.3">
      <c r="T283" s="25" t="str">
        <f t="shared" si="23"/>
        <v/>
      </c>
      <c r="U283" s="29" t="str">
        <f t="shared" si="24"/>
        <v/>
      </c>
      <c r="V283" s="29" t="str">
        <f t="shared" si="25"/>
        <v/>
      </c>
      <c r="W283" s="29" t="str">
        <f t="shared" si="25"/>
        <v/>
      </c>
      <c r="X283" s="29" t="str">
        <f t="shared" si="25"/>
        <v/>
      </c>
      <c r="Y283" s="29" t="str">
        <f t="shared" si="25"/>
        <v/>
      </c>
      <c r="Z283" s="30" t="str">
        <f t="shared" si="25"/>
        <v/>
      </c>
    </row>
    <row r="284" spans="20:26" x14ac:dyDescent="0.3">
      <c r="T284" s="25" t="str">
        <f t="shared" si="23"/>
        <v/>
      </c>
      <c r="U284" s="29" t="str">
        <f t="shared" si="24"/>
        <v/>
      </c>
      <c r="V284" s="29" t="str">
        <f t="shared" ref="V284:Z303" si="26">IF($T284&gt;=V$2,$U284,-100)</f>
        <v/>
      </c>
      <c r="W284" s="29" t="str">
        <f t="shared" si="26"/>
        <v/>
      </c>
      <c r="X284" s="29" t="str">
        <f t="shared" si="26"/>
        <v/>
      </c>
      <c r="Y284" s="29" t="str">
        <f t="shared" si="26"/>
        <v/>
      </c>
      <c r="Z284" s="30" t="str">
        <f t="shared" si="26"/>
        <v/>
      </c>
    </row>
    <row r="285" spans="20:26" x14ac:dyDescent="0.3">
      <c r="T285" s="25" t="str">
        <f t="shared" si="23"/>
        <v/>
      </c>
      <c r="U285" s="29" t="str">
        <f t="shared" si="24"/>
        <v/>
      </c>
      <c r="V285" s="29" t="str">
        <f t="shared" si="26"/>
        <v/>
      </c>
      <c r="W285" s="29" t="str">
        <f t="shared" si="26"/>
        <v/>
      </c>
      <c r="X285" s="29" t="str">
        <f t="shared" si="26"/>
        <v/>
      </c>
      <c r="Y285" s="29" t="str">
        <f t="shared" si="26"/>
        <v/>
      </c>
      <c r="Z285" s="30" t="str">
        <f t="shared" si="26"/>
        <v/>
      </c>
    </row>
    <row r="286" spans="20:26" x14ac:dyDescent="0.3">
      <c r="T286" s="25" t="str">
        <f t="shared" si="23"/>
        <v/>
      </c>
      <c r="U286" s="29" t="str">
        <f t="shared" si="24"/>
        <v/>
      </c>
      <c r="V286" s="29" t="str">
        <f t="shared" si="26"/>
        <v/>
      </c>
      <c r="W286" s="29" t="str">
        <f t="shared" si="26"/>
        <v/>
      </c>
      <c r="X286" s="29" t="str">
        <f t="shared" si="26"/>
        <v/>
      </c>
      <c r="Y286" s="29" t="str">
        <f t="shared" si="26"/>
        <v/>
      </c>
      <c r="Z286" s="30" t="str">
        <f t="shared" si="26"/>
        <v/>
      </c>
    </row>
    <row r="287" spans="20:26" x14ac:dyDescent="0.3">
      <c r="T287" s="25" t="str">
        <f t="shared" si="23"/>
        <v/>
      </c>
      <c r="U287" s="29" t="str">
        <f t="shared" si="24"/>
        <v/>
      </c>
      <c r="V287" s="29" t="str">
        <f t="shared" si="26"/>
        <v/>
      </c>
      <c r="W287" s="29" t="str">
        <f t="shared" si="26"/>
        <v/>
      </c>
      <c r="X287" s="29" t="str">
        <f t="shared" si="26"/>
        <v/>
      </c>
      <c r="Y287" s="29" t="str">
        <f t="shared" si="26"/>
        <v/>
      </c>
      <c r="Z287" s="30" t="str">
        <f t="shared" si="26"/>
        <v/>
      </c>
    </row>
    <row r="288" spans="20:26" x14ac:dyDescent="0.3">
      <c r="T288" s="25" t="str">
        <f t="shared" si="23"/>
        <v/>
      </c>
      <c r="U288" s="29" t="str">
        <f t="shared" si="24"/>
        <v/>
      </c>
      <c r="V288" s="29" t="str">
        <f t="shared" si="26"/>
        <v/>
      </c>
      <c r="W288" s="29" t="str">
        <f t="shared" si="26"/>
        <v/>
      </c>
      <c r="X288" s="29" t="str">
        <f t="shared" si="26"/>
        <v/>
      </c>
      <c r="Y288" s="29" t="str">
        <f t="shared" si="26"/>
        <v/>
      </c>
      <c r="Z288" s="30" t="str">
        <f t="shared" si="26"/>
        <v/>
      </c>
    </row>
    <row r="289" spans="20:26" x14ac:dyDescent="0.3">
      <c r="T289" s="25" t="str">
        <f t="shared" si="23"/>
        <v/>
      </c>
      <c r="U289" s="29" t="str">
        <f t="shared" si="24"/>
        <v/>
      </c>
      <c r="V289" s="29" t="str">
        <f t="shared" si="26"/>
        <v/>
      </c>
      <c r="W289" s="29" t="str">
        <f t="shared" si="26"/>
        <v/>
      </c>
      <c r="X289" s="29" t="str">
        <f t="shared" si="26"/>
        <v/>
      </c>
      <c r="Y289" s="29" t="str">
        <f t="shared" si="26"/>
        <v/>
      </c>
      <c r="Z289" s="30" t="str">
        <f t="shared" si="26"/>
        <v/>
      </c>
    </row>
    <row r="290" spans="20:26" x14ac:dyDescent="0.3">
      <c r="T290" s="25" t="str">
        <f t="shared" si="23"/>
        <v/>
      </c>
      <c r="U290" s="29" t="str">
        <f t="shared" si="24"/>
        <v/>
      </c>
      <c r="V290" s="29" t="str">
        <f t="shared" si="26"/>
        <v/>
      </c>
      <c r="W290" s="29" t="str">
        <f t="shared" si="26"/>
        <v/>
      </c>
      <c r="X290" s="29" t="str">
        <f t="shared" si="26"/>
        <v/>
      </c>
      <c r="Y290" s="29" t="str">
        <f t="shared" si="26"/>
        <v/>
      </c>
      <c r="Z290" s="30" t="str">
        <f t="shared" si="26"/>
        <v/>
      </c>
    </row>
    <row r="291" spans="20:26" x14ac:dyDescent="0.3">
      <c r="T291" s="25" t="str">
        <f t="shared" si="23"/>
        <v/>
      </c>
      <c r="U291" s="29" t="str">
        <f t="shared" si="24"/>
        <v/>
      </c>
      <c r="V291" s="29" t="str">
        <f t="shared" si="26"/>
        <v/>
      </c>
      <c r="W291" s="29" t="str">
        <f t="shared" si="26"/>
        <v/>
      </c>
      <c r="X291" s="29" t="str">
        <f t="shared" si="26"/>
        <v/>
      </c>
      <c r="Y291" s="29" t="str">
        <f t="shared" si="26"/>
        <v/>
      </c>
      <c r="Z291" s="30" t="str">
        <f t="shared" si="26"/>
        <v/>
      </c>
    </row>
    <row r="292" spans="20:26" x14ac:dyDescent="0.3">
      <c r="T292" s="25" t="str">
        <f t="shared" si="23"/>
        <v/>
      </c>
      <c r="U292" s="29" t="str">
        <f t="shared" si="24"/>
        <v/>
      </c>
      <c r="V292" s="29" t="str">
        <f t="shared" si="26"/>
        <v/>
      </c>
      <c r="W292" s="29" t="str">
        <f t="shared" si="26"/>
        <v/>
      </c>
      <c r="X292" s="29" t="str">
        <f t="shared" si="26"/>
        <v/>
      </c>
      <c r="Y292" s="29" t="str">
        <f t="shared" si="26"/>
        <v/>
      </c>
      <c r="Z292" s="30" t="str">
        <f t="shared" si="26"/>
        <v/>
      </c>
    </row>
    <row r="293" spans="20:26" x14ac:dyDescent="0.3">
      <c r="T293" s="25" t="str">
        <f t="shared" si="23"/>
        <v/>
      </c>
      <c r="U293" s="29" t="str">
        <f t="shared" si="24"/>
        <v/>
      </c>
      <c r="V293" s="29" t="str">
        <f t="shared" si="26"/>
        <v/>
      </c>
      <c r="W293" s="29" t="str">
        <f t="shared" si="26"/>
        <v/>
      </c>
      <c r="X293" s="29" t="str">
        <f t="shared" si="26"/>
        <v/>
      </c>
      <c r="Y293" s="29" t="str">
        <f t="shared" si="26"/>
        <v/>
      </c>
      <c r="Z293" s="30" t="str">
        <f t="shared" si="26"/>
        <v/>
      </c>
    </row>
    <row r="294" spans="20:26" x14ac:dyDescent="0.3">
      <c r="T294" s="25" t="str">
        <f t="shared" si="23"/>
        <v/>
      </c>
      <c r="U294" s="29" t="str">
        <f t="shared" si="24"/>
        <v/>
      </c>
      <c r="V294" s="29" t="str">
        <f t="shared" si="26"/>
        <v/>
      </c>
      <c r="W294" s="29" t="str">
        <f t="shared" si="26"/>
        <v/>
      </c>
      <c r="X294" s="29" t="str">
        <f t="shared" si="26"/>
        <v/>
      </c>
      <c r="Y294" s="29" t="str">
        <f t="shared" si="26"/>
        <v/>
      </c>
      <c r="Z294" s="30" t="str">
        <f t="shared" si="26"/>
        <v/>
      </c>
    </row>
    <row r="295" spans="20:26" x14ac:dyDescent="0.3">
      <c r="T295" s="25" t="str">
        <f t="shared" si="23"/>
        <v/>
      </c>
      <c r="U295" s="29" t="str">
        <f t="shared" si="24"/>
        <v/>
      </c>
      <c r="V295" s="29" t="str">
        <f t="shared" si="26"/>
        <v/>
      </c>
      <c r="W295" s="29" t="str">
        <f t="shared" si="26"/>
        <v/>
      </c>
      <c r="X295" s="29" t="str">
        <f t="shared" si="26"/>
        <v/>
      </c>
      <c r="Y295" s="29" t="str">
        <f t="shared" si="26"/>
        <v/>
      </c>
      <c r="Z295" s="30" t="str">
        <f t="shared" si="26"/>
        <v/>
      </c>
    </row>
    <row r="296" spans="20:26" x14ac:dyDescent="0.3">
      <c r="T296" s="25" t="str">
        <f t="shared" si="23"/>
        <v/>
      </c>
      <c r="U296" s="29" t="str">
        <f t="shared" si="24"/>
        <v/>
      </c>
      <c r="V296" s="29" t="str">
        <f t="shared" si="26"/>
        <v/>
      </c>
      <c r="W296" s="29" t="str">
        <f t="shared" si="26"/>
        <v/>
      </c>
      <c r="X296" s="29" t="str">
        <f t="shared" si="26"/>
        <v/>
      </c>
      <c r="Y296" s="29" t="str">
        <f t="shared" si="26"/>
        <v/>
      </c>
      <c r="Z296" s="30" t="str">
        <f t="shared" si="26"/>
        <v/>
      </c>
    </row>
    <row r="297" spans="20:26" x14ac:dyDescent="0.3">
      <c r="T297" s="25" t="str">
        <f t="shared" si="23"/>
        <v/>
      </c>
      <c r="U297" s="29" t="str">
        <f t="shared" si="24"/>
        <v/>
      </c>
      <c r="V297" s="29" t="str">
        <f t="shared" si="26"/>
        <v/>
      </c>
      <c r="W297" s="29" t="str">
        <f t="shared" si="26"/>
        <v/>
      </c>
      <c r="X297" s="29" t="str">
        <f t="shared" si="26"/>
        <v/>
      </c>
      <c r="Y297" s="29" t="str">
        <f t="shared" si="26"/>
        <v/>
      </c>
      <c r="Z297" s="30" t="str">
        <f t="shared" si="26"/>
        <v/>
      </c>
    </row>
    <row r="298" spans="20:26" x14ac:dyDescent="0.3">
      <c r="T298" s="25" t="str">
        <f t="shared" si="23"/>
        <v/>
      </c>
      <c r="U298" s="29" t="str">
        <f t="shared" si="24"/>
        <v/>
      </c>
      <c r="V298" s="29" t="str">
        <f t="shared" si="26"/>
        <v/>
      </c>
      <c r="W298" s="29" t="str">
        <f t="shared" si="26"/>
        <v/>
      </c>
      <c r="X298" s="29" t="str">
        <f t="shared" si="26"/>
        <v/>
      </c>
      <c r="Y298" s="29" t="str">
        <f t="shared" si="26"/>
        <v/>
      </c>
      <c r="Z298" s="30" t="str">
        <f t="shared" si="26"/>
        <v/>
      </c>
    </row>
    <row r="299" spans="20:26" x14ac:dyDescent="0.3">
      <c r="T299" s="25" t="str">
        <f t="shared" si="23"/>
        <v/>
      </c>
      <c r="U299" s="29" t="str">
        <f t="shared" si="24"/>
        <v/>
      </c>
      <c r="V299" s="29" t="str">
        <f t="shared" si="26"/>
        <v/>
      </c>
      <c r="W299" s="29" t="str">
        <f t="shared" si="26"/>
        <v/>
      </c>
      <c r="X299" s="29" t="str">
        <f t="shared" si="26"/>
        <v/>
      </c>
      <c r="Y299" s="29" t="str">
        <f t="shared" si="26"/>
        <v/>
      </c>
      <c r="Z299" s="30" t="str">
        <f t="shared" si="26"/>
        <v/>
      </c>
    </row>
    <row r="300" spans="20:26" x14ac:dyDescent="0.3">
      <c r="T300" s="25" t="str">
        <f t="shared" si="23"/>
        <v/>
      </c>
      <c r="U300" s="29" t="str">
        <f t="shared" si="24"/>
        <v/>
      </c>
      <c r="V300" s="29" t="str">
        <f t="shared" si="26"/>
        <v/>
      </c>
      <c r="W300" s="29" t="str">
        <f t="shared" si="26"/>
        <v/>
      </c>
      <c r="X300" s="29" t="str">
        <f t="shared" si="26"/>
        <v/>
      </c>
      <c r="Y300" s="29" t="str">
        <f t="shared" si="26"/>
        <v/>
      </c>
      <c r="Z300" s="30" t="str">
        <f t="shared" si="26"/>
        <v/>
      </c>
    </row>
    <row r="301" spans="20:26" x14ac:dyDescent="0.3">
      <c r="T301" s="25" t="str">
        <f t="shared" si="23"/>
        <v/>
      </c>
      <c r="U301" s="29" t="str">
        <f t="shared" si="24"/>
        <v/>
      </c>
      <c r="V301" s="29" t="str">
        <f t="shared" si="26"/>
        <v/>
      </c>
      <c r="W301" s="29" t="str">
        <f t="shared" si="26"/>
        <v/>
      </c>
      <c r="X301" s="29" t="str">
        <f t="shared" si="26"/>
        <v/>
      </c>
      <c r="Y301" s="29" t="str">
        <f t="shared" si="26"/>
        <v/>
      </c>
      <c r="Z301" s="30" t="str">
        <f t="shared" si="26"/>
        <v/>
      </c>
    </row>
    <row r="302" spans="20:26" x14ac:dyDescent="0.3">
      <c r="T302" s="25" t="str">
        <f t="shared" si="23"/>
        <v/>
      </c>
      <c r="U302" s="29" t="str">
        <f t="shared" si="24"/>
        <v/>
      </c>
      <c r="V302" s="29" t="str">
        <f t="shared" si="26"/>
        <v/>
      </c>
      <c r="W302" s="29" t="str">
        <f t="shared" si="26"/>
        <v/>
      </c>
      <c r="X302" s="29" t="str">
        <f t="shared" si="26"/>
        <v/>
      </c>
      <c r="Y302" s="29" t="str">
        <f t="shared" si="26"/>
        <v/>
      </c>
      <c r="Z302" s="30" t="str">
        <f t="shared" si="26"/>
        <v/>
      </c>
    </row>
    <row r="303" spans="20:26" x14ac:dyDescent="0.3">
      <c r="T303" s="25" t="str">
        <f t="shared" si="23"/>
        <v/>
      </c>
      <c r="U303" s="29" t="str">
        <f t="shared" si="24"/>
        <v/>
      </c>
      <c r="V303" s="29" t="str">
        <f t="shared" si="26"/>
        <v/>
      </c>
      <c r="W303" s="29" t="str">
        <f t="shared" si="26"/>
        <v/>
      </c>
      <c r="X303" s="29" t="str">
        <f t="shared" si="26"/>
        <v/>
      </c>
      <c r="Y303" s="29" t="str">
        <f t="shared" si="26"/>
        <v/>
      </c>
      <c r="Z303" s="30" t="str">
        <f t="shared" si="26"/>
        <v/>
      </c>
    </row>
    <row r="304" spans="20:26" x14ac:dyDescent="0.3">
      <c r="T304" s="25" t="str">
        <f t="shared" si="23"/>
        <v/>
      </c>
      <c r="U304" s="29" t="str">
        <f t="shared" si="24"/>
        <v/>
      </c>
      <c r="V304" s="29" t="str">
        <f t="shared" ref="V304:Z323" si="27">IF($T304&gt;=V$2,$U304,-100)</f>
        <v/>
      </c>
      <c r="W304" s="29" t="str">
        <f t="shared" si="27"/>
        <v/>
      </c>
      <c r="X304" s="29" t="str">
        <f t="shared" si="27"/>
        <v/>
      </c>
      <c r="Y304" s="29" t="str">
        <f t="shared" si="27"/>
        <v/>
      </c>
      <c r="Z304" s="30" t="str">
        <f t="shared" si="27"/>
        <v/>
      </c>
    </row>
    <row r="305" spans="20:26" x14ac:dyDescent="0.3">
      <c r="T305" s="25" t="str">
        <f t="shared" si="23"/>
        <v/>
      </c>
      <c r="U305" s="29" t="str">
        <f t="shared" si="24"/>
        <v/>
      </c>
      <c r="V305" s="29" t="str">
        <f t="shared" si="27"/>
        <v/>
      </c>
      <c r="W305" s="29" t="str">
        <f t="shared" si="27"/>
        <v/>
      </c>
      <c r="X305" s="29" t="str">
        <f t="shared" si="27"/>
        <v/>
      </c>
      <c r="Y305" s="29" t="str">
        <f t="shared" si="27"/>
        <v/>
      </c>
      <c r="Z305" s="30" t="str">
        <f t="shared" si="27"/>
        <v/>
      </c>
    </row>
    <row r="306" spans="20:26" x14ac:dyDescent="0.3">
      <c r="T306" s="25" t="str">
        <f t="shared" si="23"/>
        <v/>
      </c>
      <c r="U306" s="29" t="str">
        <f t="shared" si="24"/>
        <v/>
      </c>
      <c r="V306" s="29" t="str">
        <f t="shared" si="27"/>
        <v/>
      </c>
      <c r="W306" s="29" t="str">
        <f t="shared" si="27"/>
        <v/>
      </c>
      <c r="X306" s="29" t="str">
        <f t="shared" si="27"/>
        <v/>
      </c>
      <c r="Y306" s="29" t="str">
        <f t="shared" si="27"/>
        <v/>
      </c>
      <c r="Z306" s="30" t="str">
        <f t="shared" si="27"/>
        <v/>
      </c>
    </row>
    <row r="307" spans="20:26" x14ac:dyDescent="0.3">
      <c r="T307" s="25" t="str">
        <f t="shared" si="23"/>
        <v/>
      </c>
      <c r="U307" s="29" t="str">
        <f t="shared" si="24"/>
        <v/>
      </c>
      <c r="V307" s="29" t="str">
        <f t="shared" si="27"/>
        <v/>
      </c>
      <c r="W307" s="29" t="str">
        <f t="shared" si="27"/>
        <v/>
      </c>
      <c r="X307" s="29" t="str">
        <f t="shared" si="27"/>
        <v/>
      </c>
      <c r="Y307" s="29" t="str">
        <f t="shared" si="27"/>
        <v/>
      </c>
      <c r="Z307" s="30" t="str">
        <f t="shared" si="27"/>
        <v/>
      </c>
    </row>
    <row r="308" spans="20:26" x14ac:dyDescent="0.3">
      <c r="T308" s="25" t="str">
        <f t="shared" si="23"/>
        <v/>
      </c>
      <c r="U308" s="29" t="str">
        <f t="shared" si="24"/>
        <v/>
      </c>
      <c r="V308" s="29" t="str">
        <f t="shared" si="27"/>
        <v/>
      </c>
      <c r="W308" s="29" t="str">
        <f t="shared" si="27"/>
        <v/>
      </c>
      <c r="X308" s="29" t="str">
        <f t="shared" si="27"/>
        <v/>
      </c>
      <c r="Y308" s="29" t="str">
        <f t="shared" si="27"/>
        <v/>
      </c>
      <c r="Z308" s="30" t="str">
        <f t="shared" si="27"/>
        <v/>
      </c>
    </row>
    <row r="309" spans="20:26" x14ac:dyDescent="0.3">
      <c r="T309" s="25" t="str">
        <f t="shared" si="23"/>
        <v/>
      </c>
      <c r="U309" s="29" t="str">
        <f t="shared" si="24"/>
        <v/>
      </c>
      <c r="V309" s="29" t="str">
        <f t="shared" si="27"/>
        <v/>
      </c>
      <c r="W309" s="29" t="str">
        <f t="shared" si="27"/>
        <v/>
      </c>
      <c r="X309" s="29" t="str">
        <f t="shared" si="27"/>
        <v/>
      </c>
      <c r="Y309" s="29" t="str">
        <f t="shared" si="27"/>
        <v/>
      </c>
      <c r="Z309" s="30" t="str">
        <f t="shared" si="27"/>
        <v/>
      </c>
    </row>
    <row r="310" spans="20:26" x14ac:dyDescent="0.3">
      <c r="T310" s="25" t="str">
        <f t="shared" si="23"/>
        <v/>
      </c>
      <c r="U310" s="29" t="str">
        <f t="shared" si="24"/>
        <v/>
      </c>
      <c r="V310" s="29" t="str">
        <f t="shared" si="27"/>
        <v/>
      </c>
      <c r="W310" s="29" t="str">
        <f t="shared" si="27"/>
        <v/>
      </c>
      <c r="X310" s="29" t="str">
        <f t="shared" si="27"/>
        <v/>
      </c>
      <c r="Y310" s="29" t="str">
        <f t="shared" si="27"/>
        <v/>
      </c>
      <c r="Z310" s="30" t="str">
        <f t="shared" si="27"/>
        <v/>
      </c>
    </row>
    <row r="311" spans="20:26" x14ac:dyDescent="0.3">
      <c r="T311" s="25" t="str">
        <f t="shared" si="23"/>
        <v/>
      </c>
      <c r="U311" s="29" t="str">
        <f t="shared" si="24"/>
        <v/>
      </c>
      <c r="V311" s="29" t="str">
        <f t="shared" si="27"/>
        <v/>
      </c>
      <c r="W311" s="29" t="str">
        <f t="shared" si="27"/>
        <v/>
      </c>
      <c r="X311" s="29" t="str">
        <f t="shared" si="27"/>
        <v/>
      </c>
      <c r="Y311" s="29" t="str">
        <f t="shared" si="27"/>
        <v/>
      </c>
      <c r="Z311" s="30" t="str">
        <f t="shared" si="27"/>
        <v/>
      </c>
    </row>
    <row r="312" spans="20:26" x14ac:dyDescent="0.3">
      <c r="T312" s="25" t="str">
        <f t="shared" si="23"/>
        <v/>
      </c>
      <c r="U312" s="29" t="str">
        <f t="shared" si="24"/>
        <v/>
      </c>
      <c r="V312" s="29" t="str">
        <f t="shared" si="27"/>
        <v/>
      </c>
      <c r="W312" s="29" t="str">
        <f t="shared" si="27"/>
        <v/>
      </c>
      <c r="X312" s="29" t="str">
        <f t="shared" si="27"/>
        <v/>
      </c>
      <c r="Y312" s="29" t="str">
        <f t="shared" si="27"/>
        <v/>
      </c>
      <c r="Z312" s="30" t="str">
        <f t="shared" si="27"/>
        <v/>
      </c>
    </row>
    <row r="313" spans="20:26" x14ac:dyDescent="0.3">
      <c r="T313" s="25" t="str">
        <f t="shared" si="23"/>
        <v/>
      </c>
      <c r="U313" s="29" t="str">
        <f t="shared" si="24"/>
        <v/>
      </c>
      <c r="V313" s="29" t="str">
        <f t="shared" si="27"/>
        <v/>
      </c>
      <c r="W313" s="29" t="str">
        <f t="shared" si="27"/>
        <v/>
      </c>
      <c r="X313" s="29" t="str">
        <f t="shared" si="27"/>
        <v/>
      </c>
      <c r="Y313" s="29" t="str">
        <f t="shared" si="27"/>
        <v/>
      </c>
      <c r="Z313" s="30" t="str">
        <f t="shared" si="27"/>
        <v/>
      </c>
    </row>
    <row r="314" spans="20:26" x14ac:dyDescent="0.3">
      <c r="T314" s="25" t="str">
        <f t="shared" si="23"/>
        <v/>
      </c>
      <c r="U314" s="29" t="str">
        <f t="shared" si="24"/>
        <v/>
      </c>
      <c r="V314" s="29" t="str">
        <f t="shared" si="27"/>
        <v/>
      </c>
      <c r="W314" s="29" t="str">
        <f t="shared" si="27"/>
        <v/>
      </c>
      <c r="X314" s="29" t="str">
        <f t="shared" si="27"/>
        <v/>
      </c>
      <c r="Y314" s="29" t="str">
        <f t="shared" si="27"/>
        <v/>
      </c>
      <c r="Z314" s="30" t="str">
        <f t="shared" si="27"/>
        <v/>
      </c>
    </row>
    <row r="315" spans="20:26" x14ac:dyDescent="0.3">
      <c r="T315" s="25" t="str">
        <f t="shared" si="23"/>
        <v/>
      </c>
      <c r="U315" s="29" t="str">
        <f t="shared" si="24"/>
        <v/>
      </c>
      <c r="V315" s="29" t="str">
        <f t="shared" si="27"/>
        <v/>
      </c>
      <c r="W315" s="29" t="str">
        <f t="shared" si="27"/>
        <v/>
      </c>
      <c r="X315" s="29" t="str">
        <f t="shared" si="27"/>
        <v/>
      </c>
      <c r="Y315" s="29" t="str">
        <f t="shared" si="27"/>
        <v/>
      </c>
      <c r="Z315" s="30" t="str">
        <f t="shared" si="27"/>
        <v/>
      </c>
    </row>
    <row r="316" spans="20:26" x14ac:dyDescent="0.3">
      <c r="T316" s="25" t="str">
        <f t="shared" si="23"/>
        <v/>
      </c>
      <c r="U316" s="29" t="str">
        <f t="shared" si="24"/>
        <v/>
      </c>
      <c r="V316" s="29" t="str">
        <f t="shared" si="27"/>
        <v/>
      </c>
      <c r="W316" s="29" t="str">
        <f t="shared" si="27"/>
        <v/>
      </c>
      <c r="X316" s="29" t="str">
        <f t="shared" si="27"/>
        <v/>
      </c>
      <c r="Y316" s="29" t="str">
        <f t="shared" si="27"/>
        <v/>
      </c>
      <c r="Z316" s="30" t="str">
        <f t="shared" si="27"/>
        <v/>
      </c>
    </row>
    <row r="317" spans="20:26" x14ac:dyDescent="0.3">
      <c r="T317" s="25" t="str">
        <f t="shared" si="23"/>
        <v/>
      </c>
      <c r="U317" s="29" t="str">
        <f t="shared" si="24"/>
        <v/>
      </c>
      <c r="V317" s="29" t="str">
        <f t="shared" si="27"/>
        <v/>
      </c>
      <c r="W317" s="29" t="str">
        <f t="shared" si="27"/>
        <v/>
      </c>
      <c r="X317" s="29" t="str">
        <f t="shared" si="27"/>
        <v/>
      </c>
      <c r="Y317" s="29" t="str">
        <f t="shared" si="27"/>
        <v/>
      </c>
      <c r="Z317" s="30" t="str">
        <f t="shared" si="27"/>
        <v/>
      </c>
    </row>
    <row r="318" spans="20:26" x14ac:dyDescent="0.3">
      <c r="T318" s="25" t="str">
        <f t="shared" si="23"/>
        <v/>
      </c>
      <c r="U318" s="29" t="str">
        <f t="shared" si="24"/>
        <v/>
      </c>
      <c r="V318" s="29" t="str">
        <f t="shared" si="27"/>
        <v/>
      </c>
      <c r="W318" s="29" t="str">
        <f t="shared" si="27"/>
        <v/>
      </c>
      <c r="X318" s="29" t="str">
        <f t="shared" si="27"/>
        <v/>
      </c>
      <c r="Y318" s="29" t="str">
        <f t="shared" si="27"/>
        <v/>
      </c>
      <c r="Z318" s="30" t="str">
        <f t="shared" si="27"/>
        <v/>
      </c>
    </row>
    <row r="319" spans="20:26" x14ac:dyDescent="0.3">
      <c r="T319" s="25" t="str">
        <f t="shared" si="23"/>
        <v/>
      </c>
      <c r="U319" s="29" t="str">
        <f t="shared" si="24"/>
        <v/>
      </c>
      <c r="V319" s="29" t="str">
        <f t="shared" si="27"/>
        <v/>
      </c>
      <c r="W319" s="29" t="str">
        <f t="shared" si="27"/>
        <v/>
      </c>
      <c r="X319" s="29" t="str">
        <f t="shared" si="27"/>
        <v/>
      </c>
      <c r="Y319" s="29" t="str">
        <f t="shared" si="27"/>
        <v/>
      </c>
      <c r="Z319" s="30" t="str">
        <f t="shared" si="27"/>
        <v/>
      </c>
    </row>
    <row r="320" spans="20:26" x14ac:dyDescent="0.3">
      <c r="T320" s="25" t="str">
        <f t="shared" si="23"/>
        <v/>
      </c>
      <c r="U320" s="29" t="str">
        <f t="shared" si="24"/>
        <v/>
      </c>
      <c r="V320" s="29" t="str">
        <f t="shared" si="27"/>
        <v/>
      </c>
      <c r="W320" s="29" t="str">
        <f t="shared" si="27"/>
        <v/>
      </c>
      <c r="X320" s="29" t="str">
        <f t="shared" si="27"/>
        <v/>
      </c>
      <c r="Y320" s="29" t="str">
        <f t="shared" si="27"/>
        <v/>
      </c>
      <c r="Z320" s="30" t="str">
        <f t="shared" si="27"/>
        <v/>
      </c>
    </row>
    <row r="321" spans="20:26" x14ac:dyDescent="0.3">
      <c r="T321" s="25" t="str">
        <f t="shared" si="23"/>
        <v/>
      </c>
      <c r="U321" s="29" t="str">
        <f t="shared" si="24"/>
        <v/>
      </c>
      <c r="V321" s="29" t="str">
        <f t="shared" si="27"/>
        <v/>
      </c>
      <c r="W321" s="29" t="str">
        <f t="shared" si="27"/>
        <v/>
      </c>
      <c r="X321" s="29" t="str">
        <f t="shared" si="27"/>
        <v/>
      </c>
      <c r="Y321" s="29" t="str">
        <f t="shared" si="27"/>
        <v/>
      </c>
      <c r="Z321" s="30" t="str">
        <f t="shared" si="27"/>
        <v/>
      </c>
    </row>
    <row r="322" spans="20:26" x14ac:dyDescent="0.3">
      <c r="T322" s="25" t="str">
        <f t="shared" si="23"/>
        <v/>
      </c>
      <c r="U322" s="29" t="str">
        <f t="shared" si="24"/>
        <v/>
      </c>
      <c r="V322" s="29" t="str">
        <f t="shared" si="27"/>
        <v/>
      </c>
      <c r="W322" s="29" t="str">
        <f t="shared" si="27"/>
        <v/>
      </c>
      <c r="X322" s="29" t="str">
        <f t="shared" si="27"/>
        <v/>
      </c>
      <c r="Y322" s="29" t="str">
        <f t="shared" si="27"/>
        <v/>
      </c>
      <c r="Z322" s="30" t="str">
        <f t="shared" si="27"/>
        <v/>
      </c>
    </row>
    <row r="323" spans="20:26" x14ac:dyDescent="0.3">
      <c r="T323" s="25" t="str">
        <f t="shared" ref="T323:T386" si="28">IF(ROW()-2&lt;=$Q$4*$Q$27,"",IF(ROW()-2&gt;$Q$24*$Q$26,"",ROW()-2))</f>
        <v/>
      </c>
      <c r="U323" s="29" t="str">
        <f t="shared" si="24"/>
        <v/>
      </c>
      <c r="V323" s="29" t="str">
        <f t="shared" si="27"/>
        <v/>
      </c>
      <c r="W323" s="29" t="str">
        <f t="shared" si="27"/>
        <v/>
      </c>
      <c r="X323" s="29" t="str">
        <f t="shared" si="27"/>
        <v/>
      </c>
      <c r="Y323" s="29" t="str">
        <f t="shared" si="27"/>
        <v/>
      </c>
      <c r="Z323" s="30" t="str">
        <f t="shared" si="27"/>
        <v/>
      </c>
    </row>
    <row r="324" spans="20:26" x14ac:dyDescent="0.3">
      <c r="T324" s="25" t="str">
        <f t="shared" si="28"/>
        <v/>
      </c>
      <c r="U324" s="29" t="str">
        <f t="shared" ref="U324:U387" si="29">IFERROR(_xlfn.NORM.DIST(T324,$Q$1,$Q$2,FALSE),"")</f>
        <v/>
      </c>
      <c r="V324" s="29" t="str">
        <f t="shared" ref="V324:Z343" si="30">IF($T324&gt;=V$2,$U324,-100)</f>
        <v/>
      </c>
      <c r="W324" s="29" t="str">
        <f t="shared" si="30"/>
        <v/>
      </c>
      <c r="X324" s="29" t="str">
        <f t="shared" si="30"/>
        <v/>
      </c>
      <c r="Y324" s="29" t="str">
        <f t="shared" si="30"/>
        <v/>
      </c>
      <c r="Z324" s="30" t="str">
        <f t="shared" si="30"/>
        <v/>
      </c>
    </row>
    <row r="325" spans="20:26" x14ac:dyDescent="0.3">
      <c r="T325" s="25" t="str">
        <f t="shared" si="28"/>
        <v/>
      </c>
      <c r="U325" s="29" t="str">
        <f t="shared" si="29"/>
        <v/>
      </c>
      <c r="V325" s="29" t="str">
        <f t="shared" si="30"/>
        <v/>
      </c>
      <c r="W325" s="29" t="str">
        <f t="shared" si="30"/>
        <v/>
      </c>
      <c r="X325" s="29" t="str">
        <f t="shared" si="30"/>
        <v/>
      </c>
      <c r="Y325" s="29" t="str">
        <f t="shared" si="30"/>
        <v/>
      </c>
      <c r="Z325" s="30" t="str">
        <f t="shared" si="30"/>
        <v/>
      </c>
    </row>
    <row r="326" spans="20:26" x14ac:dyDescent="0.3">
      <c r="T326" s="25" t="str">
        <f t="shared" si="28"/>
        <v/>
      </c>
      <c r="U326" s="29" t="str">
        <f t="shared" si="29"/>
        <v/>
      </c>
      <c r="V326" s="29" t="str">
        <f t="shared" si="30"/>
        <v/>
      </c>
      <c r="W326" s="29" t="str">
        <f t="shared" si="30"/>
        <v/>
      </c>
      <c r="X326" s="29" t="str">
        <f t="shared" si="30"/>
        <v/>
      </c>
      <c r="Y326" s="29" t="str">
        <f t="shared" si="30"/>
        <v/>
      </c>
      <c r="Z326" s="30" t="str">
        <f t="shared" si="30"/>
        <v/>
      </c>
    </row>
    <row r="327" spans="20:26" x14ac:dyDescent="0.3">
      <c r="T327" s="25" t="str">
        <f t="shared" si="28"/>
        <v/>
      </c>
      <c r="U327" s="29" t="str">
        <f t="shared" si="29"/>
        <v/>
      </c>
      <c r="V327" s="29" t="str">
        <f t="shared" si="30"/>
        <v/>
      </c>
      <c r="W327" s="29" t="str">
        <f t="shared" si="30"/>
        <v/>
      </c>
      <c r="X327" s="29" t="str">
        <f t="shared" si="30"/>
        <v/>
      </c>
      <c r="Y327" s="29" t="str">
        <f t="shared" si="30"/>
        <v/>
      </c>
      <c r="Z327" s="30" t="str">
        <f t="shared" si="30"/>
        <v/>
      </c>
    </row>
    <row r="328" spans="20:26" x14ac:dyDescent="0.3">
      <c r="T328" s="25" t="str">
        <f t="shared" si="28"/>
        <v/>
      </c>
      <c r="U328" s="29" t="str">
        <f t="shared" si="29"/>
        <v/>
      </c>
      <c r="V328" s="29" t="str">
        <f t="shared" si="30"/>
        <v/>
      </c>
      <c r="W328" s="29" t="str">
        <f t="shared" si="30"/>
        <v/>
      </c>
      <c r="X328" s="29" t="str">
        <f t="shared" si="30"/>
        <v/>
      </c>
      <c r="Y328" s="29" t="str">
        <f t="shared" si="30"/>
        <v/>
      </c>
      <c r="Z328" s="30" t="str">
        <f t="shared" si="30"/>
        <v/>
      </c>
    </row>
    <row r="329" spans="20:26" x14ac:dyDescent="0.3">
      <c r="T329" s="25" t="str">
        <f t="shared" si="28"/>
        <v/>
      </c>
      <c r="U329" s="29" t="str">
        <f t="shared" si="29"/>
        <v/>
      </c>
      <c r="V329" s="29" t="str">
        <f t="shared" si="30"/>
        <v/>
      </c>
      <c r="W329" s="29" t="str">
        <f t="shared" si="30"/>
        <v/>
      </c>
      <c r="X329" s="29" t="str">
        <f t="shared" si="30"/>
        <v/>
      </c>
      <c r="Y329" s="29" t="str">
        <f t="shared" si="30"/>
        <v/>
      </c>
      <c r="Z329" s="30" t="str">
        <f t="shared" si="30"/>
        <v/>
      </c>
    </row>
    <row r="330" spans="20:26" x14ac:dyDescent="0.3">
      <c r="T330" s="25" t="str">
        <f t="shared" si="28"/>
        <v/>
      </c>
      <c r="U330" s="29" t="str">
        <f t="shared" si="29"/>
        <v/>
      </c>
      <c r="V330" s="29" t="str">
        <f t="shared" si="30"/>
        <v/>
      </c>
      <c r="W330" s="29" t="str">
        <f t="shared" si="30"/>
        <v/>
      </c>
      <c r="X330" s="29" t="str">
        <f t="shared" si="30"/>
        <v/>
      </c>
      <c r="Y330" s="29" t="str">
        <f t="shared" si="30"/>
        <v/>
      </c>
      <c r="Z330" s="30" t="str">
        <f t="shared" si="30"/>
        <v/>
      </c>
    </row>
    <row r="331" spans="20:26" x14ac:dyDescent="0.3">
      <c r="T331" s="25" t="str">
        <f t="shared" si="28"/>
        <v/>
      </c>
      <c r="U331" s="29" t="str">
        <f t="shared" si="29"/>
        <v/>
      </c>
      <c r="V331" s="29" t="str">
        <f t="shared" si="30"/>
        <v/>
      </c>
      <c r="W331" s="29" t="str">
        <f t="shared" si="30"/>
        <v/>
      </c>
      <c r="X331" s="29" t="str">
        <f t="shared" si="30"/>
        <v/>
      </c>
      <c r="Y331" s="29" t="str">
        <f t="shared" si="30"/>
        <v/>
      </c>
      <c r="Z331" s="30" t="str">
        <f t="shared" si="30"/>
        <v/>
      </c>
    </row>
    <row r="332" spans="20:26" x14ac:dyDescent="0.3">
      <c r="T332" s="25" t="str">
        <f t="shared" si="28"/>
        <v/>
      </c>
      <c r="U332" s="29" t="str">
        <f t="shared" si="29"/>
        <v/>
      </c>
      <c r="V332" s="29" t="str">
        <f t="shared" si="30"/>
        <v/>
      </c>
      <c r="W332" s="29" t="str">
        <f t="shared" si="30"/>
        <v/>
      </c>
      <c r="X332" s="29" t="str">
        <f t="shared" si="30"/>
        <v/>
      </c>
      <c r="Y332" s="29" t="str">
        <f t="shared" si="30"/>
        <v/>
      </c>
      <c r="Z332" s="30" t="str">
        <f t="shared" si="30"/>
        <v/>
      </c>
    </row>
    <row r="333" spans="20:26" x14ac:dyDescent="0.3">
      <c r="T333" s="25" t="str">
        <f t="shared" si="28"/>
        <v/>
      </c>
      <c r="U333" s="29" t="str">
        <f t="shared" si="29"/>
        <v/>
      </c>
      <c r="V333" s="29" t="str">
        <f t="shared" si="30"/>
        <v/>
      </c>
      <c r="W333" s="29" t="str">
        <f t="shared" si="30"/>
        <v/>
      </c>
      <c r="X333" s="29" t="str">
        <f t="shared" si="30"/>
        <v/>
      </c>
      <c r="Y333" s="29" t="str">
        <f t="shared" si="30"/>
        <v/>
      </c>
      <c r="Z333" s="30" t="str">
        <f t="shared" si="30"/>
        <v/>
      </c>
    </row>
    <row r="334" spans="20:26" x14ac:dyDescent="0.3">
      <c r="T334" s="25" t="str">
        <f t="shared" si="28"/>
        <v/>
      </c>
      <c r="U334" s="29" t="str">
        <f t="shared" si="29"/>
        <v/>
      </c>
      <c r="V334" s="29" t="str">
        <f t="shared" si="30"/>
        <v/>
      </c>
      <c r="W334" s="29" t="str">
        <f t="shared" si="30"/>
        <v/>
      </c>
      <c r="X334" s="29" t="str">
        <f t="shared" si="30"/>
        <v/>
      </c>
      <c r="Y334" s="29" t="str">
        <f t="shared" si="30"/>
        <v/>
      </c>
      <c r="Z334" s="30" t="str">
        <f t="shared" si="30"/>
        <v/>
      </c>
    </row>
    <row r="335" spans="20:26" x14ac:dyDescent="0.3">
      <c r="T335" s="25" t="str">
        <f t="shared" si="28"/>
        <v/>
      </c>
      <c r="U335" s="29" t="str">
        <f t="shared" si="29"/>
        <v/>
      </c>
      <c r="V335" s="29" t="str">
        <f t="shared" si="30"/>
        <v/>
      </c>
      <c r="W335" s="29" t="str">
        <f t="shared" si="30"/>
        <v/>
      </c>
      <c r="X335" s="29" t="str">
        <f t="shared" si="30"/>
        <v/>
      </c>
      <c r="Y335" s="29" t="str">
        <f t="shared" si="30"/>
        <v/>
      </c>
      <c r="Z335" s="30" t="str">
        <f t="shared" si="30"/>
        <v/>
      </c>
    </row>
    <row r="336" spans="20:26" x14ac:dyDescent="0.3">
      <c r="T336" s="25" t="str">
        <f t="shared" si="28"/>
        <v/>
      </c>
      <c r="U336" s="29" t="str">
        <f t="shared" si="29"/>
        <v/>
      </c>
      <c r="V336" s="29" t="str">
        <f t="shared" si="30"/>
        <v/>
      </c>
      <c r="W336" s="29" t="str">
        <f t="shared" si="30"/>
        <v/>
      </c>
      <c r="X336" s="29" t="str">
        <f t="shared" si="30"/>
        <v/>
      </c>
      <c r="Y336" s="29" t="str">
        <f t="shared" si="30"/>
        <v/>
      </c>
      <c r="Z336" s="30" t="str">
        <f t="shared" si="30"/>
        <v/>
      </c>
    </row>
    <row r="337" spans="20:26" x14ac:dyDescent="0.3">
      <c r="T337" s="25" t="str">
        <f t="shared" si="28"/>
        <v/>
      </c>
      <c r="U337" s="29" t="str">
        <f t="shared" si="29"/>
        <v/>
      </c>
      <c r="V337" s="29" t="str">
        <f t="shared" si="30"/>
        <v/>
      </c>
      <c r="W337" s="29" t="str">
        <f t="shared" si="30"/>
        <v/>
      </c>
      <c r="X337" s="29" t="str">
        <f t="shared" si="30"/>
        <v/>
      </c>
      <c r="Y337" s="29" t="str">
        <f t="shared" si="30"/>
        <v/>
      </c>
      <c r="Z337" s="30" t="str">
        <f t="shared" si="30"/>
        <v/>
      </c>
    </row>
    <row r="338" spans="20:26" x14ac:dyDescent="0.3">
      <c r="T338" s="25" t="str">
        <f t="shared" si="28"/>
        <v/>
      </c>
      <c r="U338" s="29" t="str">
        <f t="shared" si="29"/>
        <v/>
      </c>
      <c r="V338" s="29" t="str">
        <f t="shared" si="30"/>
        <v/>
      </c>
      <c r="W338" s="29" t="str">
        <f t="shared" si="30"/>
        <v/>
      </c>
      <c r="X338" s="29" t="str">
        <f t="shared" si="30"/>
        <v/>
      </c>
      <c r="Y338" s="29" t="str">
        <f t="shared" si="30"/>
        <v/>
      </c>
      <c r="Z338" s="30" t="str">
        <f t="shared" si="30"/>
        <v/>
      </c>
    </row>
    <row r="339" spans="20:26" x14ac:dyDescent="0.3">
      <c r="T339" s="25" t="str">
        <f t="shared" si="28"/>
        <v/>
      </c>
      <c r="U339" s="29" t="str">
        <f t="shared" si="29"/>
        <v/>
      </c>
      <c r="V339" s="29" t="str">
        <f t="shared" si="30"/>
        <v/>
      </c>
      <c r="W339" s="29" t="str">
        <f t="shared" si="30"/>
        <v/>
      </c>
      <c r="X339" s="29" t="str">
        <f t="shared" si="30"/>
        <v/>
      </c>
      <c r="Y339" s="29" t="str">
        <f t="shared" si="30"/>
        <v/>
      </c>
      <c r="Z339" s="30" t="str">
        <f t="shared" si="30"/>
        <v/>
      </c>
    </row>
    <row r="340" spans="20:26" x14ac:dyDescent="0.3">
      <c r="T340" s="25" t="str">
        <f t="shared" si="28"/>
        <v/>
      </c>
      <c r="U340" s="29" t="str">
        <f t="shared" si="29"/>
        <v/>
      </c>
      <c r="V340" s="29" t="str">
        <f t="shared" si="30"/>
        <v/>
      </c>
      <c r="W340" s="29" t="str">
        <f t="shared" si="30"/>
        <v/>
      </c>
      <c r="X340" s="29" t="str">
        <f t="shared" si="30"/>
        <v/>
      </c>
      <c r="Y340" s="29" t="str">
        <f t="shared" si="30"/>
        <v/>
      </c>
      <c r="Z340" s="30" t="str">
        <f t="shared" si="30"/>
        <v/>
      </c>
    </row>
    <row r="341" spans="20:26" x14ac:dyDescent="0.3">
      <c r="T341" s="25" t="str">
        <f t="shared" si="28"/>
        <v/>
      </c>
      <c r="U341" s="29" t="str">
        <f t="shared" si="29"/>
        <v/>
      </c>
      <c r="V341" s="29" t="str">
        <f t="shared" si="30"/>
        <v/>
      </c>
      <c r="W341" s="29" t="str">
        <f t="shared" si="30"/>
        <v/>
      </c>
      <c r="X341" s="29" t="str">
        <f t="shared" si="30"/>
        <v/>
      </c>
      <c r="Y341" s="29" t="str">
        <f t="shared" si="30"/>
        <v/>
      </c>
      <c r="Z341" s="30" t="str">
        <f t="shared" si="30"/>
        <v/>
      </c>
    </row>
    <row r="342" spans="20:26" x14ac:dyDescent="0.3">
      <c r="T342" s="25" t="str">
        <f t="shared" si="28"/>
        <v/>
      </c>
      <c r="U342" s="29" t="str">
        <f t="shared" si="29"/>
        <v/>
      </c>
      <c r="V342" s="29" t="str">
        <f t="shared" si="30"/>
        <v/>
      </c>
      <c r="W342" s="29" t="str">
        <f t="shared" si="30"/>
        <v/>
      </c>
      <c r="X342" s="29" t="str">
        <f t="shared" si="30"/>
        <v/>
      </c>
      <c r="Y342" s="29" t="str">
        <f t="shared" si="30"/>
        <v/>
      </c>
      <c r="Z342" s="30" t="str">
        <f t="shared" si="30"/>
        <v/>
      </c>
    </row>
    <row r="343" spans="20:26" x14ac:dyDescent="0.3">
      <c r="T343" s="25" t="str">
        <f t="shared" si="28"/>
        <v/>
      </c>
      <c r="U343" s="29" t="str">
        <f t="shared" si="29"/>
        <v/>
      </c>
      <c r="V343" s="29" t="str">
        <f t="shared" si="30"/>
        <v/>
      </c>
      <c r="W343" s="29" t="str">
        <f t="shared" si="30"/>
        <v/>
      </c>
      <c r="X343" s="29" t="str">
        <f t="shared" si="30"/>
        <v/>
      </c>
      <c r="Y343" s="29" t="str">
        <f t="shared" si="30"/>
        <v/>
      </c>
      <c r="Z343" s="30" t="str">
        <f t="shared" si="30"/>
        <v/>
      </c>
    </row>
    <row r="344" spans="20:26" x14ac:dyDescent="0.3">
      <c r="T344" s="25" t="str">
        <f t="shared" si="28"/>
        <v/>
      </c>
      <c r="U344" s="29" t="str">
        <f t="shared" si="29"/>
        <v/>
      </c>
      <c r="V344" s="29" t="str">
        <f t="shared" ref="V344:Z363" si="31">IF($T344&gt;=V$2,$U344,-100)</f>
        <v/>
      </c>
      <c r="W344" s="29" t="str">
        <f t="shared" si="31"/>
        <v/>
      </c>
      <c r="X344" s="29" t="str">
        <f t="shared" si="31"/>
        <v/>
      </c>
      <c r="Y344" s="29" t="str">
        <f t="shared" si="31"/>
        <v/>
      </c>
      <c r="Z344" s="30" t="str">
        <f t="shared" si="31"/>
        <v/>
      </c>
    </row>
    <row r="345" spans="20:26" x14ac:dyDescent="0.3">
      <c r="T345" s="25" t="str">
        <f t="shared" si="28"/>
        <v/>
      </c>
      <c r="U345" s="29" t="str">
        <f t="shared" si="29"/>
        <v/>
      </c>
      <c r="V345" s="29" t="str">
        <f t="shared" si="31"/>
        <v/>
      </c>
      <c r="W345" s="29" t="str">
        <f t="shared" si="31"/>
        <v/>
      </c>
      <c r="X345" s="29" t="str">
        <f t="shared" si="31"/>
        <v/>
      </c>
      <c r="Y345" s="29" t="str">
        <f t="shared" si="31"/>
        <v/>
      </c>
      <c r="Z345" s="30" t="str">
        <f t="shared" si="31"/>
        <v/>
      </c>
    </row>
    <row r="346" spans="20:26" x14ac:dyDescent="0.3">
      <c r="T346" s="25" t="str">
        <f t="shared" si="28"/>
        <v/>
      </c>
      <c r="U346" s="29" t="str">
        <f t="shared" si="29"/>
        <v/>
      </c>
      <c r="V346" s="29" t="str">
        <f t="shared" si="31"/>
        <v/>
      </c>
      <c r="W346" s="29" t="str">
        <f t="shared" si="31"/>
        <v/>
      </c>
      <c r="X346" s="29" t="str">
        <f t="shared" si="31"/>
        <v/>
      </c>
      <c r="Y346" s="29" t="str">
        <f t="shared" si="31"/>
        <v/>
      </c>
      <c r="Z346" s="30" t="str">
        <f t="shared" si="31"/>
        <v/>
      </c>
    </row>
    <row r="347" spans="20:26" x14ac:dyDescent="0.3">
      <c r="T347" s="25" t="str">
        <f t="shared" si="28"/>
        <v/>
      </c>
      <c r="U347" s="29" t="str">
        <f t="shared" si="29"/>
        <v/>
      </c>
      <c r="V347" s="29" t="str">
        <f t="shared" si="31"/>
        <v/>
      </c>
      <c r="W347" s="29" t="str">
        <f t="shared" si="31"/>
        <v/>
      </c>
      <c r="X347" s="29" t="str">
        <f t="shared" si="31"/>
        <v/>
      </c>
      <c r="Y347" s="29" t="str">
        <f t="shared" si="31"/>
        <v/>
      </c>
      <c r="Z347" s="30" t="str">
        <f t="shared" si="31"/>
        <v/>
      </c>
    </row>
    <row r="348" spans="20:26" x14ac:dyDescent="0.3">
      <c r="T348" s="25" t="str">
        <f t="shared" si="28"/>
        <v/>
      </c>
      <c r="U348" s="29" t="str">
        <f t="shared" si="29"/>
        <v/>
      </c>
      <c r="V348" s="29" t="str">
        <f t="shared" si="31"/>
        <v/>
      </c>
      <c r="W348" s="29" t="str">
        <f t="shared" si="31"/>
        <v/>
      </c>
      <c r="X348" s="29" t="str">
        <f t="shared" si="31"/>
        <v/>
      </c>
      <c r="Y348" s="29" t="str">
        <f t="shared" si="31"/>
        <v/>
      </c>
      <c r="Z348" s="30" t="str">
        <f t="shared" si="31"/>
        <v/>
      </c>
    </row>
    <row r="349" spans="20:26" x14ac:dyDescent="0.3">
      <c r="T349" s="25" t="str">
        <f t="shared" si="28"/>
        <v/>
      </c>
      <c r="U349" s="29" t="str">
        <f t="shared" si="29"/>
        <v/>
      </c>
      <c r="V349" s="29" t="str">
        <f t="shared" si="31"/>
        <v/>
      </c>
      <c r="W349" s="29" t="str">
        <f t="shared" si="31"/>
        <v/>
      </c>
      <c r="X349" s="29" t="str">
        <f t="shared" si="31"/>
        <v/>
      </c>
      <c r="Y349" s="29" t="str">
        <f t="shared" si="31"/>
        <v/>
      </c>
      <c r="Z349" s="30" t="str">
        <f t="shared" si="31"/>
        <v/>
      </c>
    </row>
    <row r="350" spans="20:26" x14ac:dyDescent="0.3">
      <c r="T350" s="25" t="str">
        <f t="shared" si="28"/>
        <v/>
      </c>
      <c r="U350" s="29" t="str">
        <f t="shared" si="29"/>
        <v/>
      </c>
      <c r="V350" s="29" t="str">
        <f t="shared" si="31"/>
        <v/>
      </c>
      <c r="W350" s="29" t="str">
        <f t="shared" si="31"/>
        <v/>
      </c>
      <c r="X350" s="29" t="str">
        <f t="shared" si="31"/>
        <v/>
      </c>
      <c r="Y350" s="29" t="str">
        <f t="shared" si="31"/>
        <v/>
      </c>
      <c r="Z350" s="30" t="str">
        <f t="shared" si="31"/>
        <v/>
      </c>
    </row>
    <row r="351" spans="20:26" x14ac:dyDescent="0.3">
      <c r="T351" s="25" t="str">
        <f t="shared" si="28"/>
        <v/>
      </c>
      <c r="U351" s="29" t="str">
        <f t="shared" si="29"/>
        <v/>
      </c>
      <c r="V351" s="29" t="str">
        <f t="shared" si="31"/>
        <v/>
      </c>
      <c r="W351" s="29" t="str">
        <f t="shared" si="31"/>
        <v/>
      </c>
      <c r="X351" s="29" t="str">
        <f t="shared" si="31"/>
        <v/>
      </c>
      <c r="Y351" s="29" t="str">
        <f t="shared" si="31"/>
        <v/>
      </c>
      <c r="Z351" s="30" t="str">
        <f t="shared" si="31"/>
        <v/>
      </c>
    </row>
    <row r="352" spans="20:26" x14ac:dyDescent="0.3">
      <c r="T352" s="25" t="str">
        <f t="shared" si="28"/>
        <v/>
      </c>
      <c r="U352" s="29" t="str">
        <f t="shared" si="29"/>
        <v/>
      </c>
      <c r="V352" s="29" t="str">
        <f t="shared" si="31"/>
        <v/>
      </c>
      <c r="W352" s="29" t="str">
        <f t="shared" si="31"/>
        <v/>
      </c>
      <c r="X352" s="29" t="str">
        <f t="shared" si="31"/>
        <v/>
      </c>
      <c r="Y352" s="29" t="str">
        <f t="shared" si="31"/>
        <v/>
      </c>
      <c r="Z352" s="30" t="str">
        <f t="shared" si="31"/>
        <v/>
      </c>
    </row>
    <row r="353" spans="20:26" x14ac:dyDescent="0.3">
      <c r="T353" s="25" t="str">
        <f t="shared" si="28"/>
        <v/>
      </c>
      <c r="U353" s="29" t="str">
        <f t="shared" si="29"/>
        <v/>
      </c>
      <c r="V353" s="29" t="str">
        <f t="shared" si="31"/>
        <v/>
      </c>
      <c r="W353" s="29" t="str">
        <f t="shared" si="31"/>
        <v/>
      </c>
      <c r="X353" s="29" t="str">
        <f t="shared" si="31"/>
        <v/>
      </c>
      <c r="Y353" s="29" t="str">
        <f t="shared" si="31"/>
        <v/>
      </c>
      <c r="Z353" s="30" t="str">
        <f t="shared" si="31"/>
        <v/>
      </c>
    </row>
    <row r="354" spans="20:26" x14ac:dyDescent="0.3">
      <c r="T354" s="25" t="str">
        <f t="shared" si="28"/>
        <v/>
      </c>
      <c r="U354" s="29" t="str">
        <f t="shared" si="29"/>
        <v/>
      </c>
      <c r="V354" s="29" t="str">
        <f t="shared" si="31"/>
        <v/>
      </c>
      <c r="W354" s="29" t="str">
        <f t="shared" si="31"/>
        <v/>
      </c>
      <c r="X354" s="29" t="str">
        <f t="shared" si="31"/>
        <v/>
      </c>
      <c r="Y354" s="29" t="str">
        <f t="shared" si="31"/>
        <v/>
      </c>
      <c r="Z354" s="30" t="str">
        <f t="shared" si="31"/>
        <v/>
      </c>
    </row>
    <row r="355" spans="20:26" x14ac:dyDescent="0.3">
      <c r="T355" s="25" t="str">
        <f t="shared" si="28"/>
        <v/>
      </c>
      <c r="U355" s="29" t="str">
        <f t="shared" si="29"/>
        <v/>
      </c>
      <c r="V355" s="29" t="str">
        <f t="shared" si="31"/>
        <v/>
      </c>
      <c r="W355" s="29" t="str">
        <f t="shared" si="31"/>
        <v/>
      </c>
      <c r="X355" s="29" t="str">
        <f t="shared" si="31"/>
        <v/>
      </c>
      <c r="Y355" s="29" t="str">
        <f t="shared" si="31"/>
        <v/>
      </c>
      <c r="Z355" s="30" t="str">
        <f t="shared" si="31"/>
        <v/>
      </c>
    </row>
    <row r="356" spans="20:26" x14ac:dyDescent="0.3">
      <c r="T356" s="25" t="str">
        <f t="shared" si="28"/>
        <v/>
      </c>
      <c r="U356" s="29" t="str">
        <f t="shared" si="29"/>
        <v/>
      </c>
      <c r="V356" s="29" t="str">
        <f t="shared" si="31"/>
        <v/>
      </c>
      <c r="W356" s="29" t="str">
        <f t="shared" si="31"/>
        <v/>
      </c>
      <c r="X356" s="29" t="str">
        <f t="shared" si="31"/>
        <v/>
      </c>
      <c r="Y356" s="29" t="str">
        <f t="shared" si="31"/>
        <v/>
      </c>
      <c r="Z356" s="30" t="str">
        <f t="shared" si="31"/>
        <v/>
      </c>
    </row>
    <row r="357" spans="20:26" x14ac:dyDescent="0.3">
      <c r="T357" s="25" t="str">
        <f t="shared" si="28"/>
        <v/>
      </c>
      <c r="U357" s="29" t="str">
        <f t="shared" si="29"/>
        <v/>
      </c>
      <c r="V357" s="29" t="str">
        <f t="shared" si="31"/>
        <v/>
      </c>
      <c r="W357" s="29" t="str">
        <f t="shared" si="31"/>
        <v/>
      </c>
      <c r="X357" s="29" t="str">
        <f t="shared" si="31"/>
        <v/>
      </c>
      <c r="Y357" s="29" t="str">
        <f t="shared" si="31"/>
        <v/>
      </c>
      <c r="Z357" s="30" t="str">
        <f t="shared" si="31"/>
        <v/>
      </c>
    </row>
    <row r="358" spans="20:26" x14ac:dyDescent="0.3">
      <c r="T358" s="25" t="str">
        <f t="shared" si="28"/>
        <v/>
      </c>
      <c r="U358" s="29" t="str">
        <f t="shared" si="29"/>
        <v/>
      </c>
      <c r="V358" s="29" t="str">
        <f t="shared" si="31"/>
        <v/>
      </c>
      <c r="W358" s="29" t="str">
        <f t="shared" si="31"/>
        <v/>
      </c>
      <c r="X358" s="29" t="str">
        <f t="shared" si="31"/>
        <v/>
      </c>
      <c r="Y358" s="29" t="str">
        <f t="shared" si="31"/>
        <v/>
      </c>
      <c r="Z358" s="30" t="str">
        <f t="shared" si="31"/>
        <v/>
      </c>
    </row>
    <row r="359" spans="20:26" x14ac:dyDescent="0.3">
      <c r="T359" s="25" t="str">
        <f t="shared" si="28"/>
        <v/>
      </c>
      <c r="U359" s="29" t="str">
        <f t="shared" si="29"/>
        <v/>
      </c>
      <c r="V359" s="29" t="str">
        <f t="shared" si="31"/>
        <v/>
      </c>
      <c r="W359" s="29" t="str">
        <f t="shared" si="31"/>
        <v/>
      </c>
      <c r="X359" s="29" t="str">
        <f t="shared" si="31"/>
        <v/>
      </c>
      <c r="Y359" s="29" t="str">
        <f t="shared" si="31"/>
        <v/>
      </c>
      <c r="Z359" s="30" t="str">
        <f t="shared" si="31"/>
        <v/>
      </c>
    </row>
    <row r="360" spans="20:26" x14ac:dyDescent="0.3">
      <c r="T360" s="25" t="str">
        <f t="shared" si="28"/>
        <v/>
      </c>
      <c r="U360" s="29" t="str">
        <f t="shared" si="29"/>
        <v/>
      </c>
      <c r="V360" s="29" t="str">
        <f t="shared" si="31"/>
        <v/>
      </c>
      <c r="W360" s="29" t="str">
        <f t="shared" si="31"/>
        <v/>
      </c>
      <c r="X360" s="29" t="str">
        <f t="shared" si="31"/>
        <v/>
      </c>
      <c r="Y360" s="29" t="str">
        <f t="shared" si="31"/>
        <v/>
      </c>
      <c r="Z360" s="30" t="str">
        <f t="shared" si="31"/>
        <v/>
      </c>
    </row>
    <row r="361" spans="20:26" x14ac:dyDescent="0.3">
      <c r="T361" s="25" t="str">
        <f t="shared" si="28"/>
        <v/>
      </c>
      <c r="U361" s="29" t="str">
        <f t="shared" si="29"/>
        <v/>
      </c>
      <c r="V361" s="29" t="str">
        <f t="shared" si="31"/>
        <v/>
      </c>
      <c r="W361" s="29" t="str">
        <f t="shared" si="31"/>
        <v/>
      </c>
      <c r="X361" s="29" t="str">
        <f t="shared" si="31"/>
        <v/>
      </c>
      <c r="Y361" s="29" t="str">
        <f t="shared" si="31"/>
        <v/>
      </c>
      <c r="Z361" s="30" t="str">
        <f t="shared" si="31"/>
        <v/>
      </c>
    </row>
    <row r="362" spans="20:26" x14ac:dyDescent="0.3">
      <c r="T362" s="25" t="str">
        <f t="shared" si="28"/>
        <v/>
      </c>
      <c r="U362" s="29" t="str">
        <f t="shared" si="29"/>
        <v/>
      </c>
      <c r="V362" s="29" t="str">
        <f t="shared" si="31"/>
        <v/>
      </c>
      <c r="W362" s="29" t="str">
        <f t="shared" si="31"/>
        <v/>
      </c>
      <c r="X362" s="29" t="str">
        <f t="shared" si="31"/>
        <v/>
      </c>
      <c r="Y362" s="29" t="str">
        <f t="shared" si="31"/>
        <v/>
      </c>
      <c r="Z362" s="30" t="str">
        <f t="shared" si="31"/>
        <v/>
      </c>
    </row>
    <row r="363" spans="20:26" x14ac:dyDescent="0.3">
      <c r="T363" s="25" t="str">
        <f t="shared" si="28"/>
        <v/>
      </c>
      <c r="U363" s="29" t="str">
        <f t="shared" si="29"/>
        <v/>
      </c>
      <c r="V363" s="29" t="str">
        <f t="shared" si="31"/>
        <v/>
      </c>
      <c r="W363" s="29" t="str">
        <f t="shared" si="31"/>
        <v/>
      </c>
      <c r="X363" s="29" t="str">
        <f t="shared" si="31"/>
        <v/>
      </c>
      <c r="Y363" s="29" t="str">
        <f t="shared" si="31"/>
        <v/>
      </c>
      <c r="Z363" s="30" t="str">
        <f t="shared" si="31"/>
        <v/>
      </c>
    </row>
    <row r="364" spans="20:26" x14ac:dyDescent="0.3">
      <c r="T364" s="25" t="str">
        <f t="shared" si="28"/>
        <v/>
      </c>
      <c r="U364" s="29" t="str">
        <f t="shared" si="29"/>
        <v/>
      </c>
      <c r="V364" s="29" t="str">
        <f t="shared" ref="V364:Z383" si="32">IF($T364&gt;=V$2,$U364,-100)</f>
        <v/>
      </c>
      <c r="W364" s="29" t="str">
        <f t="shared" si="32"/>
        <v/>
      </c>
      <c r="X364" s="29" t="str">
        <f t="shared" si="32"/>
        <v/>
      </c>
      <c r="Y364" s="29" t="str">
        <f t="shared" si="32"/>
        <v/>
      </c>
      <c r="Z364" s="30" t="str">
        <f t="shared" si="32"/>
        <v/>
      </c>
    </row>
    <row r="365" spans="20:26" x14ac:dyDescent="0.3">
      <c r="T365" s="25" t="str">
        <f t="shared" si="28"/>
        <v/>
      </c>
      <c r="U365" s="29" t="str">
        <f t="shared" si="29"/>
        <v/>
      </c>
      <c r="V365" s="29" t="str">
        <f t="shared" si="32"/>
        <v/>
      </c>
      <c r="W365" s="29" t="str">
        <f t="shared" si="32"/>
        <v/>
      </c>
      <c r="X365" s="29" t="str">
        <f t="shared" si="32"/>
        <v/>
      </c>
      <c r="Y365" s="29" t="str">
        <f t="shared" si="32"/>
        <v/>
      </c>
      <c r="Z365" s="30" t="str">
        <f t="shared" si="32"/>
        <v/>
      </c>
    </row>
    <row r="366" spans="20:26" x14ac:dyDescent="0.3">
      <c r="T366" s="25" t="str">
        <f t="shared" si="28"/>
        <v/>
      </c>
      <c r="U366" s="29" t="str">
        <f t="shared" si="29"/>
        <v/>
      </c>
      <c r="V366" s="29" t="str">
        <f t="shared" si="32"/>
        <v/>
      </c>
      <c r="W366" s="29" t="str">
        <f t="shared" si="32"/>
        <v/>
      </c>
      <c r="X366" s="29" t="str">
        <f t="shared" si="32"/>
        <v/>
      </c>
      <c r="Y366" s="29" t="str">
        <f t="shared" si="32"/>
        <v/>
      </c>
      <c r="Z366" s="30" t="str">
        <f t="shared" si="32"/>
        <v/>
      </c>
    </row>
    <row r="367" spans="20:26" x14ac:dyDescent="0.3">
      <c r="T367" s="25" t="str">
        <f t="shared" si="28"/>
        <v/>
      </c>
      <c r="U367" s="29" t="str">
        <f t="shared" si="29"/>
        <v/>
      </c>
      <c r="V367" s="29" t="str">
        <f t="shared" si="32"/>
        <v/>
      </c>
      <c r="W367" s="29" t="str">
        <f t="shared" si="32"/>
        <v/>
      </c>
      <c r="X367" s="29" t="str">
        <f t="shared" si="32"/>
        <v/>
      </c>
      <c r="Y367" s="29" t="str">
        <f t="shared" si="32"/>
        <v/>
      </c>
      <c r="Z367" s="30" t="str">
        <f t="shared" si="32"/>
        <v/>
      </c>
    </row>
    <row r="368" spans="20:26" x14ac:dyDescent="0.3">
      <c r="T368" s="25" t="str">
        <f t="shared" si="28"/>
        <v/>
      </c>
      <c r="U368" s="29" t="str">
        <f t="shared" si="29"/>
        <v/>
      </c>
      <c r="V368" s="29" t="str">
        <f t="shared" si="32"/>
        <v/>
      </c>
      <c r="W368" s="29" t="str">
        <f t="shared" si="32"/>
        <v/>
      </c>
      <c r="X368" s="29" t="str">
        <f t="shared" si="32"/>
        <v/>
      </c>
      <c r="Y368" s="29" t="str">
        <f t="shared" si="32"/>
        <v/>
      </c>
      <c r="Z368" s="30" t="str">
        <f t="shared" si="32"/>
        <v/>
      </c>
    </row>
    <row r="369" spans="20:26" x14ac:dyDescent="0.3">
      <c r="T369" s="25" t="str">
        <f t="shared" si="28"/>
        <v/>
      </c>
      <c r="U369" s="29" t="str">
        <f t="shared" si="29"/>
        <v/>
      </c>
      <c r="V369" s="29" t="str">
        <f t="shared" si="32"/>
        <v/>
      </c>
      <c r="W369" s="29" t="str">
        <f t="shared" si="32"/>
        <v/>
      </c>
      <c r="X369" s="29" t="str">
        <f t="shared" si="32"/>
        <v/>
      </c>
      <c r="Y369" s="29" t="str">
        <f t="shared" si="32"/>
        <v/>
      </c>
      <c r="Z369" s="30" t="str">
        <f t="shared" si="32"/>
        <v/>
      </c>
    </row>
    <row r="370" spans="20:26" x14ac:dyDescent="0.3">
      <c r="T370" s="25" t="str">
        <f t="shared" si="28"/>
        <v/>
      </c>
      <c r="U370" s="29" t="str">
        <f t="shared" si="29"/>
        <v/>
      </c>
      <c r="V370" s="29" t="str">
        <f t="shared" si="32"/>
        <v/>
      </c>
      <c r="W370" s="29" t="str">
        <f t="shared" si="32"/>
        <v/>
      </c>
      <c r="X370" s="29" t="str">
        <f t="shared" si="32"/>
        <v/>
      </c>
      <c r="Y370" s="29" t="str">
        <f t="shared" si="32"/>
        <v/>
      </c>
      <c r="Z370" s="30" t="str">
        <f t="shared" si="32"/>
        <v/>
      </c>
    </row>
    <row r="371" spans="20:26" x14ac:dyDescent="0.3">
      <c r="T371" s="25" t="str">
        <f t="shared" si="28"/>
        <v/>
      </c>
      <c r="U371" s="29" t="str">
        <f t="shared" si="29"/>
        <v/>
      </c>
      <c r="V371" s="29" t="str">
        <f t="shared" si="32"/>
        <v/>
      </c>
      <c r="W371" s="29" t="str">
        <f t="shared" si="32"/>
        <v/>
      </c>
      <c r="X371" s="29" t="str">
        <f t="shared" si="32"/>
        <v/>
      </c>
      <c r="Y371" s="29" t="str">
        <f t="shared" si="32"/>
        <v/>
      </c>
      <c r="Z371" s="30" t="str">
        <f t="shared" si="32"/>
        <v/>
      </c>
    </row>
    <row r="372" spans="20:26" x14ac:dyDescent="0.3">
      <c r="T372" s="25" t="str">
        <f t="shared" si="28"/>
        <v/>
      </c>
      <c r="U372" s="29" t="str">
        <f t="shared" si="29"/>
        <v/>
      </c>
      <c r="V372" s="29" t="str">
        <f t="shared" si="32"/>
        <v/>
      </c>
      <c r="W372" s="29" t="str">
        <f t="shared" si="32"/>
        <v/>
      </c>
      <c r="X372" s="29" t="str">
        <f t="shared" si="32"/>
        <v/>
      </c>
      <c r="Y372" s="29" t="str">
        <f t="shared" si="32"/>
        <v/>
      </c>
      <c r="Z372" s="30" t="str">
        <f t="shared" si="32"/>
        <v/>
      </c>
    </row>
    <row r="373" spans="20:26" x14ac:dyDescent="0.3">
      <c r="T373" s="25" t="str">
        <f t="shared" si="28"/>
        <v/>
      </c>
      <c r="U373" s="29" t="str">
        <f t="shared" si="29"/>
        <v/>
      </c>
      <c r="V373" s="29" t="str">
        <f t="shared" si="32"/>
        <v/>
      </c>
      <c r="W373" s="29" t="str">
        <f t="shared" si="32"/>
        <v/>
      </c>
      <c r="X373" s="29" t="str">
        <f t="shared" si="32"/>
        <v/>
      </c>
      <c r="Y373" s="29" t="str">
        <f t="shared" si="32"/>
        <v/>
      </c>
      <c r="Z373" s="30" t="str">
        <f t="shared" si="32"/>
        <v/>
      </c>
    </row>
    <row r="374" spans="20:26" x14ac:dyDescent="0.3">
      <c r="T374" s="25" t="str">
        <f t="shared" si="28"/>
        <v/>
      </c>
      <c r="U374" s="29" t="str">
        <f t="shared" si="29"/>
        <v/>
      </c>
      <c r="V374" s="29" t="str">
        <f t="shared" si="32"/>
        <v/>
      </c>
      <c r="W374" s="29" t="str">
        <f t="shared" si="32"/>
        <v/>
      </c>
      <c r="X374" s="29" t="str">
        <f t="shared" si="32"/>
        <v/>
      </c>
      <c r="Y374" s="29" t="str">
        <f t="shared" si="32"/>
        <v/>
      </c>
      <c r="Z374" s="30" t="str">
        <f t="shared" si="32"/>
        <v/>
      </c>
    </row>
    <row r="375" spans="20:26" x14ac:dyDescent="0.3">
      <c r="T375" s="25" t="str">
        <f t="shared" si="28"/>
        <v/>
      </c>
      <c r="U375" s="29" t="str">
        <f t="shared" si="29"/>
        <v/>
      </c>
      <c r="V375" s="29" t="str">
        <f t="shared" si="32"/>
        <v/>
      </c>
      <c r="W375" s="29" t="str">
        <f t="shared" si="32"/>
        <v/>
      </c>
      <c r="X375" s="29" t="str">
        <f t="shared" si="32"/>
        <v/>
      </c>
      <c r="Y375" s="29" t="str">
        <f t="shared" si="32"/>
        <v/>
      </c>
      <c r="Z375" s="30" t="str">
        <f t="shared" si="32"/>
        <v/>
      </c>
    </row>
    <row r="376" spans="20:26" x14ac:dyDescent="0.3">
      <c r="T376" s="25" t="str">
        <f t="shared" si="28"/>
        <v/>
      </c>
      <c r="U376" s="29" t="str">
        <f t="shared" si="29"/>
        <v/>
      </c>
      <c r="V376" s="29" t="str">
        <f t="shared" si="32"/>
        <v/>
      </c>
      <c r="W376" s="29" t="str">
        <f t="shared" si="32"/>
        <v/>
      </c>
      <c r="X376" s="29" t="str">
        <f t="shared" si="32"/>
        <v/>
      </c>
      <c r="Y376" s="29" t="str">
        <f t="shared" si="32"/>
        <v/>
      </c>
      <c r="Z376" s="30" t="str">
        <f t="shared" si="32"/>
        <v/>
      </c>
    </row>
    <row r="377" spans="20:26" x14ac:dyDescent="0.3">
      <c r="T377" s="25" t="str">
        <f t="shared" si="28"/>
        <v/>
      </c>
      <c r="U377" s="29" t="str">
        <f t="shared" si="29"/>
        <v/>
      </c>
      <c r="V377" s="29" t="str">
        <f t="shared" si="32"/>
        <v/>
      </c>
      <c r="W377" s="29" t="str">
        <f t="shared" si="32"/>
        <v/>
      </c>
      <c r="X377" s="29" t="str">
        <f t="shared" si="32"/>
        <v/>
      </c>
      <c r="Y377" s="29" t="str">
        <f t="shared" si="32"/>
        <v/>
      </c>
      <c r="Z377" s="30" t="str">
        <f t="shared" si="32"/>
        <v/>
      </c>
    </row>
    <row r="378" spans="20:26" x14ac:dyDescent="0.3">
      <c r="T378" s="25" t="str">
        <f t="shared" si="28"/>
        <v/>
      </c>
      <c r="U378" s="29" t="str">
        <f t="shared" si="29"/>
        <v/>
      </c>
      <c r="V378" s="29" t="str">
        <f t="shared" si="32"/>
        <v/>
      </c>
      <c r="W378" s="29" t="str">
        <f t="shared" si="32"/>
        <v/>
      </c>
      <c r="X378" s="29" t="str">
        <f t="shared" si="32"/>
        <v/>
      </c>
      <c r="Y378" s="29" t="str">
        <f t="shared" si="32"/>
        <v/>
      </c>
      <c r="Z378" s="30" t="str">
        <f t="shared" si="32"/>
        <v/>
      </c>
    </row>
    <row r="379" spans="20:26" x14ac:dyDescent="0.3">
      <c r="T379" s="25" t="str">
        <f t="shared" si="28"/>
        <v/>
      </c>
      <c r="U379" s="29" t="str">
        <f t="shared" si="29"/>
        <v/>
      </c>
      <c r="V379" s="29" t="str">
        <f t="shared" si="32"/>
        <v/>
      </c>
      <c r="W379" s="29" t="str">
        <f t="shared" si="32"/>
        <v/>
      </c>
      <c r="X379" s="29" t="str">
        <f t="shared" si="32"/>
        <v/>
      </c>
      <c r="Y379" s="29" t="str">
        <f t="shared" si="32"/>
        <v/>
      </c>
      <c r="Z379" s="30" t="str">
        <f t="shared" si="32"/>
        <v/>
      </c>
    </row>
    <row r="380" spans="20:26" x14ac:dyDescent="0.3">
      <c r="T380" s="25" t="str">
        <f t="shared" si="28"/>
        <v/>
      </c>
      <c r="U380" s="29" t="str">
        <f t="shared" si="29"/>
        <v/>
      </c>
      <c r="V380" s="29" t="str">
        <f t="shared" si="32"/>
        <v/>
      </c>
      <c r="W380" s="29" t="str">
        <f t="shared" si="32"/>
        <v/>
      </c>
      <c r="X380" s="29" t="str">
        <f t="shared" si="32"/>
        <v/>
      </c>
      <c r="Y380" s="29" t="str">
        <f t="shared" si="32"/>
        <v/>
      </c>
      <c r="Z380" s="30" t="str">
        <f t="shared" si="32"/>
        <v/>
      </c>
    </row>
    <row r="381" spans="20:26" x14ac:dyDescent="0.3">
      <c r="T381" s="25" t="str">
        <f t="shared" si="28"/>
        <v/>
      </c>
      <c r="U381" s="29" t="str">
        <f t="shared" si="29"/>
        <v/>
      </c>
      <c r="V381" s="29" t="str">
        <f t="shared" si="32"/>
        <v/>
      </c>
      <c r="W381" s="29" t="str">
        <f t="shared" si="32"/>
        <v/>
      </c>
      <c r="X381" s="29" t="str">
        <f t="shared" si="32"/>
        <v/>
      </c>
      <c r="Y381" s="29" t="str">
        <f t="shared" si="32"/>
        <v/>
      </c>
      <c r="Z381" s="30" t="str">
        <f t="shared" si="32"/>
        <v/>
      </c>
    </row>
    <row r="382" spans="20:26" x14ac:dyDescent="0.3">
      <c r="T382" s="25" t="str">
        <f t="shared" si="28"/>
        <v/>
      </c>
      <c r="U382" s="29" t="str">
        <f t="shared" si="29"/>
        <v/>
      </c>
      <c r="V382" s="29" t="str">
        <f t="shared" si="32"/>
        <v/>
      </c>
      <c r="W382" s="29" t="str">
        <f t="shared" si="32"/>
        <v/>
      </c>
      <c r="X382" s="29" t="str">
        <f t="shared" si="32"/>
        <v/>
      </c>
      <c r="Y382" s="29" t="str">
        <f t="shared" si="32"/>
        <v/>
      </c>
      <c r="Z382" s="30" t="str">
        <f t="shared" si="32"/>
        <v/>
      </c>
    </row>
    <row r="383" spans="20:26" x14ac:dyDescent="0.3">
      <c r="T383" s="25" t="str">
        <f t="shared" si="28"/>
        <v/>
      </c>
      <c r="U383" s="29" t="str">
        <f t="shared" si="29"/>
        <v/>
      </c>
      <c r="V383" s="29" t="str">
        <f t="shared" si="32"/>
        <v/>
      </c>
      <c r="W383" s="29" t="str">
        <f t="shared" si="32"/>
        <v/>
      </c>
      <c r="X383" s="29" t="str">
        <f t="shared" si="32"/>
        <v/>
      </c>
      <c r="Y383" s="29" t="str">
        <f t="shared" si="32"/>
        <v/>
      </c>
      <c r="Z383" s="30" t="str">
        <f t="shared" si="32"/>
        <v/>
      </c>
    </row>
    <row r="384" spans="20:26" x14ac:dyDescent="0.3">
      <c r="T384" s="25" t="str">
        <f t="shared" si="28"/>
        <v/>
      </c>
      <c r="U384" s="29" t="str">
        <f t="shared" si="29"/>
        <v/>
      </c>
      <c r="V384" s="29" t="str">
        <f t="shared" ref="V384:Z403" si="33">IF($T384&gt;=V$2,$U384,-100)</f>
        <v/>
      </c>
      <c r="W384" s="29" t="str">
        <f t="shared" si="33"/>
        <v/>
      </c>
      <c r="X384" s="29" t="str">
        <f t="shared" si="33"/>
        <v/>
      </c>
      <c r="Y384" s="29" t="str">
        <f t="shared" si="33"/>
        <v/>
      </c>
      <c r="Z384" s="30" t="str">
        <f t="shared" si="33"/>
        <v/>
      </c>
    </row>
    <row r="385" spans="20:26" x14ac:dyDescent="0.3">
      <c r="T385" s="25" t="str">
        <f t="shared" si="28"/>
        <v/>
      </c>
      <c r="U385" s="29" t="str">
        <f t="shared" si="29"/>
        <v/>
      </c>
      <c r="V385" s="29" t="str">
        <f t="shared" si="33"/>
        <v/>
      </c>
      <c r="W385" s="29" t="str">
        <f t="shared" si="33"/>
        <v/>
      </c>
      <c r="X385" s="29" t="str">
        <f t="shared" si="33"/>
        <v/>
      </c>
      <c r="Y385" s="29" t="str">
        <f t="shared" si="33"/>
        <v/>
      </c>
      <c r="Z385" s="30" t="str">
        <f t="shared" si="33"/>
        <v/>
      </c>
    </row>
    <row r="386" spans="20:26" x14ac:dyDescent="0.3">
      <c r="T386" s="25" t="str">
        <f t="shared" si="28"/>
        <v/>
      </c>
      <c r="U386" s="29" t="str">
        <f t="shared" si="29"/>
        <v/>
      </c>
      <c r="V386" s="29" t="str">
        <f t="shared" si="33"/>
        <v/>
      </c>
      <c r="W386" s="29" t="str">
        <f t="shared" si="33"/>
        <v/>
      </c>
      <c r="X386" s="29" t="str">
        <f t="shared" si="33"/>
        <v/>
      </c>
      <c r="Y386" s="29" t="str">
        <f t="shared" si="33"/>
        <v/>
      </c>
      <c r="Z386" s="30" t="str">
        <f t="shared" si="33"/>
        <v/>
      </c>
    </row>
    <row r="387" spans="20:26" x14ac:dyDescent="0.3">
      <c r="T387" s="25" t="str">
        <f t="shared" ref="T387:T450" si="34">IF(ROW()-2&lt;=$Q$4*$Q$27,"",IF(ROW()-2&gt;$Q$24*$Q$26,"",ROW()-2))</f>
        <v/>
      </c>
      <c r="U387" s="29" t="str">
        <f t="shared" si="29"/>
        <v/>
      </c>
      <c r="V387" s="29" t="str">
        <f t="shared" si="33"/>
        <v/>
      </c>
      <c r="W387" s="29" t="str">
        <f t="shared" si="33"/>
        <v/>
      </c>
      <c r="X387" s="29" t="str">
        <f t="shared" si="33"/>
        <v/>
      </c>
      <c r="Y387" s="29" t="str">
        <f t="shared" si="33"/>
        <v/>
      </c>
      <c r="Z387" s="30" t="str">
        <f t="shared" si="33"/>
        <v/>
      </c>
    </row>
    <row r="388" spans="20:26" x14ac:dyDescent="0.3">
      <c r="T388" s="25" t="str">
        <f t="shared" si="34"/>
        <v/>
      </c>
      <c r="U388" s="29" t="str">
        <f t="shared" ref="U388:U451" si="35">IFERROR(_xlfn.NORM.DIST(T388,$Q$1,$Q$2,FALSE),"")</f>
        <v/>
      </c>
      <c r="V388" s="29" t="str">
        <f t="shared" si="33"/>
        <v/>
      </c>
      <c r="W388" s="29" t="str">
        <f t="shared" si="33"/>
        <v/>
      </c>
      <c r="X388" s="29" t="str">
        <f t="shared" si="33"/>
        <v/>
      </c>
      <c r="Y388" s="29" t="str">
        <f t="shared" si="33"/>
        <v/>
      </c>
      <c r="Z388" s="30" t="str">
        <f t="shared" si="33"/>
        <v/>
      </c>
    </row>
    <row r="389" spans="20:26" x14ac:dyDescent="0.3">
      <c r="T389" s="25" t="str">
        <f t="shared" si="34"/>
        <v/>
      </c>
      <c r="U389" s="29" t="str">
        <f t="shared" si="35"/>
        <v/>
      </c>
      <c r="V389" s="29" t="str">
        <f t="shared" si="33"/>
        <v/>
      </c>
      <c r="W389" s="29" t="str">
        <f t="shared" si="33"/>
        <v/>
      </c>
      <c r="X389" s="29" t="str">
        <f t="shared" si="33"/>
        <v/>
      </c>
      <c r="Y389" s="29" t="str">
        <f t="shared" si="33"/>
        <v/>
      </c>
      <c r="Z389" s="30" t="str">
        <f t="shared" si="33"/>
        <v/>
      </c>
    </row>
    <row r="390" spans="20:26" x14ac:dyDescent="0.3">
      <c r="T390" s="25" t="str">
        <f t="shared" si="34"/>
        <v/>
      </c>
      <c r="U390" s="29" t="str">
        <f t="shared" si="35"/>
        <v/>
      </c>
      <c r="V390" s="29" t="str">
        <f t="shared" si="33"/>
        <v/>
      </c>
      <c r="W390" s="29" t="str">
        <f t="shared" si="33"/>
        <v/>
      </c>
      <c r="X390" s="29" t="str">
        <f t="shared" si="33"/>
        <v/>
      </c>
      <c r="Y390" s="29" t="str">
        <f t="shared" si="33"/>
        <v/>
      </c>
      <c r="Z390" s="30" t="str">
        <f t="shared" si="33"/>
        <v/>
      </c>
    </row>
    <row r="391" spans="20:26" x14ac:dyDescent="0.3">
      <c r="T391" s="25" t="str">
        <f t="shared" si="34"/>
        <v/>
      </c>
      <c r="U391" s="29" t="str">
        <f t="shared" si="35"/>
        <v/>
      </c>
      <c r="V391" s="29" t="str">
        <f t="shared" si="33"/>
        <v/>
      </c>
      <c r="W391" s="29" t="str">
        <f t="shared" si="33"/>
        <v/>
      </c>
      <c r="X391" s="29" t="str">
        <f t="shared" si="33"/>
        <v/>
      </c>
      <c r="Y391" s="29" t="str">
        <f t="shared" si="33"/>
        <v/>
      </c>
      <c r="Z391" s="30" t="str">
        <f t="shared" si="33"/>
        <v/>
      </c>
    </row>
    <row r="392" spans="20:26" x14ac:dyDescent="0.3">
      <c r="T392" s="25" t="str">
        <f t="shared" si="34"/>
        <v/>
      </c>
      <c r="U392" s="29" t="str">
        <f t="shared" si="35"/>
        <v/>
      </c>
      <c r="V392" s="29" t="str">
        <f t="shared" si="33"/>
        <v/>
      </c>
      <c r="W392" s="29" t="str">
        <f t="shared" si="33"/>
        <v/>
      </c>
      <c r="X392" s="29" t="str">
        <f t="shared" si="33"/>
        <v/>
      </c>
      <c r="Y392" s="29" t="str">
        <f t="shared" si="33"/>
        <v/>
      </c>
      <c r="Z392" s="30" t="str">
        <f t="shared" si="33"/>
        <v/>
      </c>
    </row>
    <row r="393" spans="20:26" x14ac:dyDescent="0.3">
      <c r="T393" s="25" t="str">
        <f t="shared" si="34"/>
        <v/>
      </c>
      <c r="U393" s="29" t="str">
        <f t="shared" si="35"/>
        <v/>
      </c>
      <c r="V393" s="29" t="str">
        <f t="shared" si="33"/>
        <v/>
      </c>
      <c r="W393" s="29" t="str">
        <f t="shared" si="33"/>
        <v/>
      </c>
      <c r="X393" s="29" t="str">
        <f t="shared" si="33"/>
        <v/>
      </c>
      <c r="Y393" s="29" t="str">
        <f t="shared" si="33"/>
        <v/>
      </c>
      <c r="Z393" s="30" t="str">
        <f t="shared" si="33"/>
        <v/>
      </c>
    </row>
    <row r="394" spans="20:26" x14ac:dyDescent="0.3">
      <c r="T394" s="25" t="str">
        <f t="shared" si="34"/>
        <v/>
      </c>
      <c r="U394" s="29" t="str">
        <f t="shared" si="35"/>
        <v/>
      </c>
      <c r="V394" s="29" t="str">
        <f t="shared" si="33"/>
        <v/>
      </c>
      <c r="W394" s="29" t="str">
        <f t="shared" si="33"/>
        <v/>
      </c>
      <c r="X394" s="29" t="str">
        <f t="shared" si="33"/>
        <v/>
      </c>
      <c r="Y394" s="29" t="str">
        <f t="shared" si="33"/>
        <v/>
      </c>
      <c r="Z394" s="30" t="str">
        <f t="shared" si="33"/>
        <v/>
      </c>
    </row>
    <row r="395" spans="20:26" x14ac:dyDescent="0.3">
      <c r="T395" s="25" t="str">
        <f t="shared" si="34"/>
        <v/>
      </c>
      <c r="U395" s="29" t="str">
        <f t="shared" si="35"/>
        <v/>
      </c>
      <c r="V395" s="29" t="str">
        <f t="shared" si="33"/>
        <v/>
      </c>
      <c r="W395" s="29" t="str">
        <f t="shared" si="33"/>
        <v/>
      </c>
      <c r="X395" s="29" t="str">
        <f t="shared" si="33"/>
        <v/>
      </c>
      <c r="Y395" s="29" t="str">
        <f t="shared" si="33"/>
        <v/>
      </c>
      <c r="Z395" s="30" t="str">
        <f t="shared" si="33"/>
        <v/>
      </c>
    </row>
    <row r="396" spans="20:26" x14ac:dyDescent="0.3">
      <c r="T396" s="25" t="str">
        <f t="shared" si="34"/>
        <v/>
      </c>
      <c r="U396" s="29" t="str">
        <f t="shared" si="35"/>
        <v/>
      </c>
      <c r="V396" s="29" t="str">
        <f t="shared" si="33"/>
        <v/>
      </c>
      <c r="W396" s="29" t="str">
        <f t="shared" si="33"/>
        <v/>
      </c>
      <c r="X396" s="29" t="str">
        <f t="shared" si="33"/>
        <v/>
      </c>
      <c r="Y396" s="29" t="str">
        <f t="shared" si="33"/>
        <v/>
      </c>
      <c r="Z396" s="30" t="str">
        <f t="shared" si="33"/>
        <v/>
      </c>
    </row>
    <row r="397" spans="20:26" x14ac:dyDescent="0.3">
      <c r="T397" s="25" t="str">
        <f t="shared" si="34"/>
        <v/>
      </c>
      <c r="U397" s="29" t="str">
        <f t="shared" si="35"/>
        <v/>
      </c>
      <c r="V397" s="29" t="str">
        <f t="shared" si="33"/>
        <v/>
      </c>
      <c r="W397" s="29" t="str">
        <f t="shared" si="33"/>
        <v/>
      </c>
      <c r="X397" s="29" t="str">
        <f t="shared" si="33"/>
        <v/>
      </c>
      <c r="Y397" s="29" t="str">
        <f t="shared" si="33"/>
        <v/>
      </c>
      <c r="Z397" s="30" t="str">
        <f t="shared" si="33"/>
        <v/>
      </c>
    </row>
    <row r="398" spans="20:26" x14ac:dyDescent="0.3">
      <c r="T398" s="25" t="str">
        <f t="shared" si="34"/>
        <v/>
      </c>
      <c r="U398" s="29" t="str">
        <f t="shared" si="35"/>
        <v/>
      </c>
      <c r="V398" s="29" t="str">
        <f t="shared" si="33"/>
        <v/>
      </c>
      <c r="W398" s="29" t="str">
        <f t="shared" si="33"/>
        <v/>
      </c>
      <c r="X398" s="29" t="str">
        <f t="shared" si="33"/>
        <v/>
      </c>
      <c r="Y398" s="29" t="str">
        <f t="shared" si="33"/>
        <v/>
      </c>
      <c r="Z398" s="30" t="str">
        <f t="shared" si="33"/>
        <v/>
      </c>
    </row>
    <row r="399" spans="20:26" x14ac:dyDescent="0.3">
      <c r="T399" s="25" t="str">
        <f t="shared" si="34"/>
        <v/>
      </c>
      <c r="U399" s="29" t="str">
        <f t="shared" si="35"/>
        <v/>
      </c>
      <c r="V399" s="29" t="str">
        <f t="shared" si="33"/>
        <v/>
      </c>
      <c r="W399" s="29" t="str">
        <f t="shared" si="33"/>
        <v/>
      </c>
      <c r="X399" s="29" t="str">
        <f t="shared" si="33"/>
        <v/>
      </c>
      <c r="Y399" s="29" t="str">
        <f t="shared" si="33"/>
        <v/>
      </c>
      <c r="Z399" s="30" t="str">
        <f t="shared" si="33"/>
        <v/>
      </c>
    </row>
    <row r="400" spans="20:26" x14ac:dyDescent="0.3">
      <c r="T400" s="25" t="str">
        <f t="shared" si="34"/>
        <v/>
      </c>
      <c r="U400" s="29" t="str">
        <f t="shared" si="35"/>
        <v/>
      </c>
      <c r="V400" s="29" t="str">
        <f t="shared" si="33"/>
        <v/>
      </c>
      <c r="W400" s="29" t="str">
        <f t="shared" si="33"/>
        <v/>
      </c>
      <c r="X400" s="29" t="str">
        <f t="shared" si="33"/>
        <v/>
      </c>
      <c r="Y400" s="29" t="str">
        <f t="shared" si="33"/>
        <v/>
      </c>
      <c r="Z400" s="30" t="str">
        <f t="shared" si="33"/>
        <v/>
      </c>
    </row>
    <row r="401" spans="20:26" x14ac:dyDescent="0.3">
      <c r="T401" s="25" t="str">
        <f t="shared" si="34"/>
        <v/>
      </c>
      <c r="U401" s="29" t="str">
        <f t="shared" si="35"/>
        <v/>
      </c>
      <c r="V401" s="29" t="str">
        <f t="shared" si="33"/>
        <v/>
      </c>
      <c r="W401" s="29" t="str">
        <f t="shared" si="33"/>
        <v/>
      </c>
      <c r="X401" s="29" t="str">
        <f t="shared" si="33"/>
        <v/>
      </c>
      <c r="Y401" s="29" t="str">
        <f t="shared" si="33"/>
        <v/>
      </c>
      <c r="Z401" s="30" t="str">
        <f t="shared" si="33"/>
        <v/>
      </c>
    </row>
    <row r="402" spans="20:26" x14ac:dyDescent="0.3">
      <c r="T402" s="25" t="str">
        <f t="shared" si="34"/>
        <v/>
      </c>
      <c r="U402" s="29" t="str">
        <f t="shared" si="35"/>
        <v/>
      </c>
      <c r="V402" s="29" t="str">
        <f t="shared" si="33"/>
        <v/>
      </c>
      <c r="W402" s="29" t="str">
        <f t="shared" si="33"/>
        <v/>
      </c>
      <c r="X402" s="29" t="str">
        <f t="shared" si="33"/>
        <v/>
      </c>
      <c r="Y402" s="29" t="str">
        <f t="shared" si="33"/>
        <v/>
      </c>
      <c r="Z402" s="30" t="str">
        <f t="shared" si="33"/>
        <v/>
      </c>
    </row>
    <row r="403" spans="20:26" x14ac:dyDescent="0.3">
      <c r="T403" s="25" t="str">
        <f t="shared" si="34"/>
        <v/>
      </c>
      <c r="U403" s="29" t="str">
        <f t="shared" si="35"/>
        <v/>
      </c>
      <c r="V403" s="29" t="str">
        <f t="shared" si="33"/>
        <v/>
      </c>
      <c r="W403" s="29" t="str">
        <f t="shared" si="33"/>
        <v/>
      </c>
      <c r="X403" s="29" t="str">
        <f t="shared" si="33"/>
        <v/>
      </c>
      <c r="Y403" s="29" t="str">
        <f t="shared" si="33"/>
        <v/>
      </c>
      <c r="Z403" s="30" t="str">
        <f t="shared" si="33"/>
        <v/>
      </c>
    </row>
    <row r="404" spans="20:26" x14ac:dyDescent="0.3">
      <c r="T404" s="25" t="str">
        <f t="shared" si="34"/>
        <v/>
      </c>
      <c r="U404" s="29" t="str">
        <f t="shared" si="35"/>
        <v/>
      </c>
      <c r="V404" s="29" t="str">
        <f t="shared" ref="V404:Z423" si="36">IF($T404&gt;=V$2,$U404,-100)</f>
        <v/>
      </c>
      <c r="W404" s="29" t="str">
        <f t="shared" si="36"/>
        <v/>
      </c>
      <c r="X404" s="29" t="str">
        <f t="shared" si="36"/>
        <v/>
      </c>
      <c r="Y404" s="29" t="str">
        <f t="shared" si="36"/>
        <v/>
      </c>
      <c r="Z404" s="30" t="str">
        <f t="shared" si="36"/>
        <v/>
      </c>
    </row>
    <row r="405" spans="20:26" x14ac:dyDescent="0.3">
      <c r="T405" s="25" t="str">
        <f t="shared" si="34"/>
        <v/>
      </c>
      <c r="U405" s="29" t="str">
        <f t="shared" si="35"/>
        <v/>
      </c>
      <c r="V405" s="29" t="str">
        <f t="shared" si="36"/>
        <v/>
      </c>
      <c r="W405" s="29" t="str">
        <f t="shared" si="36"/>
        <v/>
      </c>
      <c r="X405" s="29" t="str">
        <f t="shared" si="36"/>
        <v/>
      </c>
      <c r="Y405" s="29" t="str">
        <f t="shared" si="36"/>
        <v/>
      </c>
      <c r="Z405" s="30" t="str">
        <f t="shared" si="36"/>
        <v/>
      </c>
    </row>
    <row r="406" spans="20:26" x14ac:dyDescent="0.3">
      <c r="T406" s="25" t="str">
        <f t="shared" si="34"/>
        <v/>
      </c>
      <c r="U406" s="29" t="str">
        <f t="shared" si="35"/>
        <v/>
      </c>
      <c r="V406" s="29" t="str">
        <f t="shared" si="36"/>
        <v/>
      </c>
      <c r="W406" s="29" t="str">
        <f t="shared" si="36"/>
        <v/>
      </c>
      <c r="X406" s="29" t="str">
        <f t="shared" si="36"/>
        <v/>
      </c>
      <c r="Y406" s="29" t="str">
        <f t="shared" si="36"/>
        <v/>
      </c>
      <c r="Z406" s="30" t="str">
        <f t="shared" si="36"/>
        <v/>
      </c>
    </row>
    <row r="407" spans="20:26" x14ac:dyDescent="0.3">
      <c r="T407" s="25" t="str">
        <f t="shared" si="34"/>
        <v/>
      </c>
      <c r="U407" s="29" t="str">
        <f t="shared" si="35"/>
        <v/>
      </c>
      <c r="V407" s="29" t="str">
        <f t="shared" si="36"/>
        <v/>
      </c>
      <c r="W407" s="29" t="str">
        <f t="shared" si="36"/>
        <v/>
      </c>
      <c r="X407" s="29" t="str">
        <f t="shared" si="36"/>
        <v/>
      </c>
      <c r="Y407" s="29" t="str">
        <f t="shared" si="36"/>
        <v/>
      </c>
      <c r="Z407" s="30" t="str">
        <f t="shared" si="36"/>
        <v/>
      </c>
    </row>
    <row r="408" spans="20:26" x14ac:dyDescent="0.3">
      <c r="T408" s="25" t="str">
        <f t="shared" si="34"/>
        <v/>
      </c>
      <c r="U408" s="29" t="str">
        <f t="shared" si="35"/>
        <v/>
      </c>
      <c r="V408" s="29" t="str">
        <f t="shared" si="36"/>
        <v/>
      </c>
      <c r="W408" s="29" t="str">
        <f t="shared" si="36"/>
        <v/>
      </c>
      <c r="X408" s="29" t="str">
        <f t="shared" si="36"/>
        <v/>
      </c>
      <c r="Y408" s="29" t="str">
        <f t="shared" si="36"/>
        <v/>
      </c>
      <c r="Z408" s="30" t="str">
        <f t="shared" si="36"/>
        <v/>
      </c>
    </row>
    <row r="409" spans="20:26" x14ac:dyDescent="0.3">
      <c r="T409" s="25" t="str">
        <f t="shared" si="34"/>
        <v/>
      </c>
      <c r="U409" s="29" t="str">
        <f t="shared" si="35"/>
        <v/>
      </c>
      <c r="V409" s="29" t="str">
        <f t="shared" si="36"/>
        <v/>
      </c>
      <c r="W409" s="29" t="str">
        <f t="shared" si="36"/>
        <v/>
      </c>
      <c r="X409" s="29" t="str">
        <f t="shared" si="36"/>
        <v/>
      </c>
      <c r="Y409" s="29" t="str">
        <f t="shared" si="36"/>
        <v/>
      </c>
      <c r="Z409" s="30" t="str">
        <f t="shared" si="36"/>
        <v/>
      </c>
    </row>
    <row r="410" spans="20:26" x14ac:dyDescent="0.3">
      <c r="T410" s="25" t="str">
        <f t="shared" si="34"/>
        <v/>
      </c>
      <c r="U410" s="29" t="str">
        <f t="shared" si="35"/>
        <v/>
      </c>
      <c r="V410" s="29" t="str">
        <f t="shared" si="36"/>
        <v/>
      </c>
      <c r="W410" s="29" t="str">
        <f t="shared" si="36"/>
        <v/>
      </c>
      <c r="X410" s="29" t="str">
        <f t="shared" si="36"/>
        <v/>
      </c>
      <c r="Y410" s="29" t="str">
        <f t="shared" si="36"/>
        <v/>
      </c>
      <c r="Z410" s="30" t="str">
        <f t="shared" si="36"/>
        <v/>
      </c>
    </row>
    <row r="411" spans="20:26" x14ac:dyDescent="0.3">
      <c r="T411" s="25" t="str">
        <f t="shared" si="34"/>
        <v/>
      </c>
      <c r="U411" s="29" t="str">
        <f t="shared" si="35"/>
        <v/>
      </c>
      <c r="V411" s="29" t="str">
        <f t="shared" si="36"/>
        <v/>
      </c>
      <c r="W411" s="29" t="str">
        <f t="shared" si="36"/>
        <v/>
      </c>
      <c r="X411" s="29" t="str">
        <f t="shared" si="36"/>
        <v/>
      </c>
      <c r="Y411" s="29" t="str">
        <f t="shared" si="36"/>
        <v/>
      </c>
      <c r="Z411" s="30" t="str">
        <f t="shared" si="36"/>
        <v/>
      </c>
    </row>
    <row r="412" spans="20:26" x14ac:dyDescent="0.3">
      <c r="T412" s="25" t="str">
        <f t="shared" si="34"/>
        <v/>
      </c>
      <c r="U412" s="29" t="str">
        <f t="shared" si="35"/>
        <v/>
      </c>
      <c r="V412" s="29" t="str">
        <f t="shared" si="36"/>
        <v/>
      </c>
      <c r="W412" s="29" t="str">
        <f t="shared" si="36"/>
        <v/>
      </c>
      <c r="X412" s="29" t="str">
        <f t="shared" si="36"/>
        <v/>
      </c>
      <c r="Y412" s="29" t="str">
        <f t="shared" si="36"/>
        <v/>
      </c>
      <c r="Z412" s="30" t="str">
        <f t="shared" si="36"/>
        <v/>
      </c>
    </row>
    <row r="413" spans="20:26" x14ac:dyDescent="0.3">
      <c r="T413" s="25" t="str">
        <f t="shared" si="34"/>
        <v/>
      </c>
      <c r="U413" s="29" t="str">
        <f t="shared" si="35"/>
        <v/>
      </c>
      <c r="V413" s="29" t="str">
        <f t="shared" si="36"/>
        <v/>
      </c>
      <c r="W413" s="29" t="str">
        <f t="shared" si="36"/>
        <v/>
      </c>
      <c r="X413" s="29" t="str">
        <f t="shared" si="36"/>
        <v/>
      </c>
      <c r="Y413" s="29" t="str">
        <f t="shared" si="36"/>
        <v/>
      </c>
      <c r="Z413" s="30" t="str">
        <f t="shared" si="36"/>
        <v/>
      </c>
    </row>
    <row r="414" spans="20:26" x14ac:dyDescent="0.3">
      <c r="T414" s="25" t="str">
        <f t="shared" si="34"/>
        <v/>
      </c>
      <c r="U414" s="29" t="str">
        <f t="shared" si="35"/>
        <v/>
      </c>
      <c r="V414" s="29" t="str">
        <f t="shared" si="36"/>
        <v/>
      </c>
      <c r="W414" s="29" t="str">
        <f t="shared" si="36"/>
        <v/>
      </c>
      <c r="X414" s="29" t="str">
        <f t="shared" si="36"/>
        <v/>
      </c>
      <c r="Y414" s="29" t="str">
        <f t="shared" si="36"/>
        <v/>
      </c>
      <c r="Z414" s="30" t="str">
        <f t="shared" si="36"/>
        <v/>
      </c>
    </row>
    <row r="415" spans="20:26" x14ac:dyDescent="0.3">
      <c r="T415" s="25" t="str">
        <f t="shared" si="34"/>
        <v/>
      </c>
      <c r="U415" s="29" t="str">
        <f t="shared" si="35"/>
        <v/>
      </c>
      <c r="V415" s="29" t="str">
        <f t="shared" si="36"/>
        <v/>
      </c>
      <c r="W415" s="29" t="str">
        <f t="shared" si="36"/>
        <v/>
      </c>
      <c r="X415" s="29" t="str">
        <f t="shared" si="36"/>
        <v/>
      </c>
      <c r="Y415" s="29" t="str">
        <f t="shared" si="36"/>
        <v/>
      </c>
      <c r="Z415" s="30" t="str">
        <f t="shared" si="36"/>
        <v/>
      </c>
    </row>
    <row r="416" spans="20:26" x14ac:dyDescent="0.3">
      <c r="T416" s="25" t="str">
        <f t="shared" si="34"/>
        <v/>
      </c>
      <c r="U416" s="29" t="str">
        <f t="shared" si="35"/>
        <v/>
      </c>
      <c r="V416" s="29" t="str">
        <f t="shared" si="36"/>
        <v/>
      </c>
      <c r="W416" s="29" t="str">
        <f t="shared" si="36"/>
        <v/>
      </c>
      <c r="X416" s="29" t="str">
        <f t="shared" si="36"/>
        <v/>
      </c>
      <c r="Y416" s="29" t="str">
        <f t="shared" si="36"/>
        <v/>
      </c>
      <c r="Z416" s="30" t="str">
        <f t="shared" si="36"/>
        <v/>
      </c>
    </row>
    <row r="417" spans="20:26" x14ac:dyDescent="0.3">
      <c r="T417" s="25" t="str">
        <f t="shared" si="34"/>
        <v/>
      </c>
      <c r="U417" s="29" t="str">
        <f t="shared" si="35"/>
        <v/>
      </c>
      <c r="V417" s="29" t="str">
        <f t="shared" si="36"/>
        <v/>
      </c>
      <c r="W417" s="29" t="str">
        <f t="shared" si="36"/>
        <v/>
      </c>
      <c r="X417" s="29" t="str">
        <f t="shared" si="36"/>
        <v/>
      </c>
      <c r="Y417" s="29" t="str">
        <f t="shared" si="36"/>
        <v/>
      </c>
      <c r="Z417" s="30" t="str">
        <f t="shared" si="36"/>
        <v/>
      </c>
    </row>
    <row r="418" spans="20:26" x14ac:dyDescent="0.3">
      <c r="T418" s="25" t="str">
        <f t="shared" si="34"/>
        <v/>
      </c>
      <c r="U418" s="29" t="str">
        <f t="shared" si="35"/>
        <v/>
      </c>
      <c r="V418" s="29" t="str">
        <f t="shared" si="36"/>
        <v/>
      </c>
      <c r="W418" s="29" t="str">
        <f t="shared" si="36"/>
        <v/>
      </c>
      <c r="X418" s="29" t="str">
        <f t="shared" si="36"/>
        <v/>
      </c>
      <c r="Y418" s="29" t="str">
        <f t="shared" si="36"/>
        <v/>
      </c>
      <c r="Z418" s="30" t="str">
        <f t="shared" si="36"/>
        <v/>
      </c>
    </row>
    <row r="419" spans="20:26" x14ac:dyDescent="0.3">
      <c r="T419" s="25" t="str">
        <f t="shared" si="34"/>
        <v/>
      </c>
      <c r="U419" s="29" t="str">
        <f t="shared" si="35"/>
        <v/>
      </c>
      <c r="V419" s="29" t="str">
        <f t="shared" si="36"/>
        <v/>
      </c>
      <c r="W419" s="29" t="str">
        <f t="shared" si="36"/>
        <v/>
      </c>
      <c r="X419" s="29" t="str">
        <f t="shared" si="36"/>
        <v/>
      </c>
      <c r="Y419" s="29" t="str">
        <f t="shared" si="36"/>
        <v/>
      </c>
      <c r="Z419" s="30" t="str">
        <f t="shared" si="36"/>
        <v/>
      </c>
    </row>
    <row r="420" spans="20:26" x14ac:dyDescent="0.3">
      <c r="T420" s="25" t="str">
        <f t="shared" si="34"/>
        <v/>
      </c>
      <c r="U420" s="29" t="str">
        <f t="shared" si="35"/>
        <v/>
      </c>
      <c r="V420" s="29" t="str">
        <f t="shared" si="36"/>
        <v/>
      </c>
      <c r="W420" s="29" t="str">
        <f t="shared" si="36"/>
        <v/>
      </c>
      <c r="X420" s="29" t="str">
        <f t="shared" si="36"/>
        <v/>
      </c>
      <c r="Y420" s="29" t="str">
        <f t="shared" si="36"/>
        <v/>
      </c>
      <c r="Z420" s="30" t="str">
        <f t="shared" si="36"/>
        <v/>
      </c>
    </row>
    <row r="421" spans="20:26" x14ac:dyDescent="0.3">
      <c r="T421" s="25" t="str">
        <f t="shared" si="34"/>
        <v/>
      </c>
      <c r="U421" s="29" t="str">
        <f t="shared" si="35"/>
        <v/>
      </c>
      <c r="V421" s="29" t="str">
        <f t="shared" si="36"/>
        <v/>
      </c>
      <c r="W421" s="29" t="str">
        <f t="shared" si="36"/>
        <v/>
      </c>
      <c r="X421" s="29" t="str">
        <f t="shared" si="36"/>
        <v/>
      </c>
      <c r="Y421" s="29" t="str">
        <f t="shared" si="36"/>
        <v/>
      </c>
      <c r="Z421" s="30" t="str">
        <f t="shared" si="36"/>
        <v/>
      </c>
    </row>
    <row r="422" spans="20:26" x14ac:dyDescent="0.3">
      <c r="T422" s="25" t="str">
        <f t="shared" si="34"/>
        <v/>
      </c>
      <c r="U422" s="29" t="str">
        <f t="shared" si="35"/>
        <v/>
      </c>
      <c r="V422" s="29" t="str">
        <f t="shared" si="36"/>
        <v/>
      </c>
      <c r="W422" s="29" t="str">
        <f t="shared" si="36"/>
        <v/>
      </c>
      <c r="X422" s="29" t="str">
        <f t="shared" si="36"/>
        <v/>
      </c>
      <c r="Y422" s="29" t="str">
        <f t="shared" si="36"/>
        <v/>
      </c>
      <c r="Z422" s="30" t="str">
        <f t="shared" si="36"/>
        <v/>
      </c>
    </row>
    <row r="423" spans="20:26" x14ac:dyDescent="0.3">
      <c r="T423" s="25" t="str">
        <f t="shared" si="34"/>
        <v/>
      </c>
      <c r="U423" s="29" t="str">
        <f t="shared" si="35"/>
        <v/>
      </c>
      <c r="V423" s="29" t="str">
        <f t="shared" si="36"/>
        <v/>
      </c>
      <c r="W423" s="29" t="str">
        <f t="shared" si="36"/>
        <v/>
      </c>
      <c r="X423" s="29" t="str">
        <f t="shared" si="36"/>
        <v/>
      </c>
      <c r="Y423" s="29" t="str">
        <f t="shared" si="36"/>
        <v/>
      </c>
      <c r="Z423" s="30" t="str">
        <f t="shared" si="36"/>
        <v/>
      </c>
    </row>
    <row r="424" spans="20:26" x14ac:dyDescent="0.3">
      <c r="T424" s="25" t="str">
        <f t="shared" si="34"/>
        <v/>
      </c>
      <c r="U424" s="29" t="str">
        <f t="shared" si="35"/>
        <v/>
      </c>
      <c r="V424" s="29" t="str">
        <f t="shared" ref="V424:Z443" si="37">IF($T424&gt;=V$2,$U424,-100)</f>
        <v/>
      </c>
      <c r="W424" s="29" t="str">
        <f t="shared" si="37"/>
        <v/>
      </c>
      <c r="X424" s="29" t="str">
        <f t="shared" si="37"/>
        <v/>
      </c>
      <c r="Y424" s="29" t="str">
        <f t="shared" si="37"/>
        <v/>
      </c>
      <c r="Z424" s="30" t="str">
        <f t="shared" si="37"/>
        <v/>
      </c>
    </row>
    <row r="425" spans="20:26" x14ac:dyDescent="0.3">
      <c r="T425" s="25" t="str">
        <f t="shared" si="34"/>
        <v/>
      </c>
      <c r="U425" s="29" t="str">
        <f t="shared" si="35"/>
        <v/>
      </c>
      <c r="V425" s="29" t="str">
        <f t="shared" si="37"/>
        <v/>
      </c>
      <c r="W425" s="29" t="str">
        <f t="shared" si="37"/>
        <v/>
      </c>
      <c r="X425" s="29" t="str">
        <f t="shared" si="37"/>
        <v/>
      </c>
      <c r="Y425" s="29" t="str">
        <f t="shared" si="37"/>
        <v/>
      </c>
      <c r="Z425" s="30" t="str">
        <f t="shared" si="37"/>
        <v/>
      </c>
    </row>
    <row r="426" spans="20:26" x14ac:dyDescent="0.3">
      <c r="T426" s="25" t="str">
        <f t="shared" si="34"/>
        <v/>
      </c>
      <c r="U426" s="29" t="str">
        <f t="shared" si="35"/>
        <v/>
      </c>
      <c r="V426" s="29" t="str">
        <f t="shared" si="37"/>
        <v/>
      </c>
      <c r="W426" s="29" t="str">
        <f t="shared" si="37"/>
        <v/>
      </c>
      <c r="X426" s="29" t="str">
        <f t="shared" si="37"/>
        <v/>
      </c>
      <c r="Y426" s="29" t="str">
        <f t="shared" si="37"/>
        <v/>
      </c>
      <c r="Z426" s="30" t="str">
        <f t="shared" si="37"/>
        <v/>
      </c>
    </row>
    <row r="427" spans="20:26" x14ac:dyDescent="0.3">
      <c r="T427" s="25" t="str">
        <f t="shared" si="34"/>
        <v/>
      </c>
      <c r="U427" s="29" t="str">
        <f t="shared" si="35"/>
        <v/>
      </c>
      <c r="V427" s="29" t="str">
        <f t="shared" si="37"/>
        <v/>
      </c>
      <c r="W427" s="29" t="str">
        <f t="shared" si="37"/>
        <v/>
      </c>
      <c r="X427" s="29" t="str">
        <f t="shared" si="37"/>
        <v/>
      </c>
      <c r="Y427" s="29" t="str">
        <f t="shared" si="37"/>
        <v/>
      </c>
      <c r="Z427" s="30" t="str">
        <f t="shared" si="37"/>
        <v/>
      </c>
    </row>
    <row r="428" spans="20:26" x14ac:dyDescent="0.3">
      <c r="T428" s="25" t="str">
        <f t="shared" si="34"/>
        <v/>
      </c>
      <c r="U428" s="29" t="str">
        <f t="shared" si="35"/>
        <v/>
      </c>
      <c r="V428" s="29" t="str">
        <f t="shared" si="37"/>
        <v/>
      </c>
      <c r="W428" s="29" t="str">
        <f t="shared" si="37"/>
        <v/>
      </c>
      <c r="X428" s="29" t="str">
        <f t="shared" si="37"/>
        <v/>
      </c>
      <c r="Y428" s="29" t="str">
        <f t="shared" si="37"/>
        <v/>
      </c>
      <c r="Z428" s="30" t="str">
        <f t="shared" si="37"/>
        <v/>
      </c>
    </row>
    <row r="429" spans="20:26" x14ac:dyDescent="0.3">
      <c r="T429" s="25" t="str">
        <f t="shared" si="34"/>
        <v/>
      </c>
      <c r="U429" s="29" t="str">
        <f t="shared" si="35"/>
        <v/>
      </c>
      <c r="V429" s="29" t="str">
        <f t="shared" si="37"/>
        <v/>
      </c>
      <c r="W429" s="29" t="str">
        <f t="shared" si="37"/>
        <v/>
      </c>
      <c r="X429" s="29" t="str">
        <f t="shared" si="37"/>
        <v/>
      </c>
      <c r="Y429" s="29" t="str">
        <f t="shared" si="37"/>
        <v/>
      </c>
      <c r="Z429" s="30" t="str">
        <f t="shared" si="37"/>
        <v/>
      </c>
    </row>
    <row r="430" spans="20:26" x14ac:dyDescent="0.3">
      <c r="T430" s="25" t="str">
        <f t="shared" si="34"/>
        <v/>
      </c>
      <c r="U430" s="29" t="str">
        <f t="shared" si="35"/>
        <v/>
      </c>
      <c r="V430" s="29" t="str">
        <f t="shared" si="37"/>
        <v/>
      </c>
      <c r="W430" s="29" t="str">
        <f t="shared" si="37"/>
        <v/>
      </c>
      <c r="X430" s="29" t="str">
        <f t="shared" si="37"/>
        <v/>
      </c>
      <c r="Y430" s="29" t="str">
        <f t="shared" si="37"/>
        <v/>
      </c>
      <c r="Z430" s="30" t="str">
        <f t="shared" si="37"/>
        <v/>
      </c>
    </row>
    <row r="431" spans="20:26" x14ac:dyDescent="0.3">
      <c r="T431" s="25" t="str">
        <f t="shared" si="34"/>
        <v/>
      </c>
      <c r="U431" s="29" t="str">
        <f t="shared" si="35"/>
        <v/>
      </c>
      <c r="V431" s="29" t="str">
        <f t="shared" si="37"/>
        <v/>
      </c>
      <c r="W431" s="29" t="str">
        <f t="shared" si="37"/>
        <v/>
      </c>
      <c r="X431" s="29" t="str">
        <f t="shared" si="37"/>
        <v/>
      </c>
      <c r="Y431" s="29" t="str">
        <f t="shared" si="37"/>
        <v/>
      </c>
      <c r="Z431" s="30" t="str">
        <f t="shared" si="37"/>
        <v/>
      </c>
    </row>
    <row r="432" spans="20:26" x14ac:dyDescent="0.3">
      <c r="T432" s="25" t="str">
        <f t="shared" si="34"/>
        <v/>
      </c>
      <c r="U432" s="29" t="str">
        <f t="shared" si="35"/>
        <v/>
      </c>
      <c r="V432" s="29" t="str">
        <f t="shared" si="37"/>
        <v/>
      </c>
      <c r="W432" s="29" t="str">
        <f t="shared" si="37"/>
        <v/>
      </c>
      <c r="X432" s="29" t="str">
        <f t="shared" si="37"/>
        <v/>
      </c>
      <c r="Y432" s="29" t="str">
        <f t="shared" si="37"/>
        <v/>
      </c>
      <c r="Z432" s="30" t="str">
        <f t="shared" si="37"/>
        <v/>
      </c>
    </row>
    <row r="433" spans="20:26" x14ac:dyDescent="0.3">
      <c r="T433" s="25" t="str">
        <f t="shared" si="34"/>
        <v/>
      </c>
      <c r="U433" s="29" t="str">
        <f t="shared" si="35"/>
        <v/>
      </c>
      <c r="V433" s="29" t="str">
        <f t="shared" si="37"/>
        <v/>
      </c>
      <c r="W433" s="29" t="str">
        <f t="shared" si="37"/>
        <v/>
      </c>
      <c r="X433" s="29" t="str">
        <f t="shared" si="37"/>
        <v/>
      </c>
      <c r="Y433" s="29" t="str">
        <f t="shared" si="37"/>
        <v/>
      </c>
      <c r="Z433" s="30" t="str">
        <f t="shared" si="37"/>
        <v/>
      </c>
    </row>
    <row r="434" spans="20:26" x14ac:dyDescent="0.3">
      <c r="T434" s="25" t="str">
        <f t="shared" si="34"/>
        <v/>
      </c>
      <c r="U434" s="29" t="str">
        <f t="shared" si="35"/>
        <v/>
      </c>
      <c r="V434" s="29" t="str">
        <f t="shared" si="37"/>
        <v/>
      </c>
      <c r="W434" s="29" t="str">
        <f t="shared" si="37"/>
        <v/>
      </c>
      <c r="X434" s="29" t="str">
        <f t="shared" si="37"/>
        <v/>
      </c>
      <c r="Y434" s="29" t="str">
        <f t="shared" si="37"/>
        <v/>
      </c>
      <c r="Z434" s="30" t="str">
        <f t="shared" si="37"/>
        <v/>
      </c>
    </row>
    <row r="435" spans="20:26" x14ac:dyDescent="0.3">
      <c r="T435" s="25" t="str">
        <f t="shared" si="34"/>
        <v/>
      </c>
      <c r="U435" s="29" t="str">
        <f t="shared" si="35"/>
        <v/>
      </c>
      <c r="V435" s="29" t="str">
        <f t="shared" si="37"/>
        <v/>
      </c>
      <c r="W435" s="29" t="str">
        <f t="shared" si="37"/>
        <v/>
      </c>
      <c r="X435" s="29" t="str">
        <f t="shared" si="37"/>
        <v/>
      </c>
      <c r="Y435" s="29" t="str">
        <f t="shared" si="37"/>
        <v/>
      </c>
      <c r="Z435" s="30" t="str">
        <f t="shared" si="37"/>
        <v/>
      </c>
    </row>
    <row r="436" spans="20:26" x14ac:dyDescent="0.3">
      <c r="T436" s="25" t="str">
        <f t="shared" si="34"/>
        <v/>
      </c>
      <c r="U436" s="29" t="str">
        <f t="shared" si="35"/>
        <v/>
      </c>
      <c r="V436" s="29" t="str">
        <f t="shared" si="37"/>
        <v/>
      </c>
      <c r="W436" s="29" t="str">
        <f t="shared" si="37"/>
        <v/>
      </c>
      <c r="X436" s="29" t="str">
        <f t="shared" si="37"/>
        <v/>
      </c>
      <c r="Y436" s="29" t="str">
        <f t="shared" si="37"/>
        <v/>
      </c>
      <c r="Z436" s="30" t="str">
        <f t="shared" si="37"/>
        <v/>
      </c>
    </row>
    <row r="437" spans="20:26" x14ac:dyDescent="0.3">
      <c r="T437" s="25" t="str">
        <f t="shared" si="34"/>
        <v/>
      </c>
      <c r="U437" s="29" t="str">
        <f t="shared" si="35"/>
        <v/>
      </c>
      <c r="V437" s="29" t="str">
        <f t="shared" si="37"/>
        <v/>
      </c>
      <c r="W437" s="29" t="str">
        <f t="shared" si="37"/>
        <v/>
      </c>
      <c r="X437" s="29" t="str">
        <f t="shared" si="37"/>
        <v/>
      </c>
      <c r="Y437" s="29" t="str">
        <f t="shared" si="37"/>
        <v/>
      </c>
      <c r="Z437" s="30" t="str">
        <f t="shared" si="37"/>
        <v/>
      </c>
    </row>
    <row r="438" spans="20:26" x14ac:dyDescent="0.3">
      <c r="T438" s="25" t="str">
        <f t="shared" si="34"/>
        <v/>
      </c>
      <c r="U438" s="29" t="str">
        <f t="shared" si="35"/>
        <v/>
      </c>
      <c r="V438" s="29" t="str">
        <f t="shared" si="37"/>
        <v/>
      </c>
      <c r="W438" s="29" t="str">
        <f t="shared" si="37"/>
        <v/>
      </c>
      <c r="X438" s="29" t="str">
        <f t="shared" si="37"/>
        <v/>
      </c>
      <c r="Y438" s="29" t="str">
        <f t="shared" si="37"/>
        <v/>
      </c>
      <c r="Z438" s="30" t="str">
        <f t="shared" si="37"/>
        <v/>
      </c>
    </row>
    <row r="439" spans="20:26" x14ac:dyDescent="0.3">
      <c r="T439" s="25" t="str">
        <f t="shared" si="34"/>
        <v/>
      </c>
      <c r="U439" s="29" t="str">
        <f t="shared" si="35"/>
        <v/>
      </c>
      <c r="V439" s="29" t="str">
        <f t="shared" si="37"/>
        <v/>
      </c>
      <c r="W439" s="29" t="str">
        <f t="shared" si="37"/>
        <v/>
      </c>
      <c r="X439" s="29" t="str">
        <f t="shared" si="37"/>
        <v/>
      </c>
      <c r="Y439" s="29" t="str">
        <f t="shared" si="37"/>
        <v/>
      </c>
      <c r="Z439" s="30" t="str">
        <f t="shared" si="37"/>
        <v/>
      </c>
    </row>
    <row r="440" spans="20:26" x14ac:dyDescent="0.3">
      <c r="T440" s="25" t="str">
        <f t="shared" si="34"/>
        <v/>
      </c>
      <c r="U440" s="29" t="str">
        <f t="shared" si="35"/>
        <v/>
      </c>
      <c r="V440" s="29" t="str">
        <f t="shared" si="37"/>
        <v/>
      </c>
      <c r="W440" s="29" t="str">
        <f t="shared" si="37"/>
        <v/>
      </c>
      <c r="X440" s="29" t="str">
        <f t="shared" si="37"/>
        <v/>
      </c>
      <c r="Y440" s="29" t="str">
        <f t="shared" si="37"/>
        <v/>
      </c>
      <c r="Z440" s="30" t="str">
        <f t="shared" si="37"/>
        <v/>
      </c>
    </row>
    <row r="441" spans="20:26" x14ac:dyDescent="0.3">
      <c r="T441" s="25" t="str">
        <f t="shared" si="34"/>
        <v/>
      </c>
      <c r="U441" s="29" t="str">
        <f t="shared" si="35"/>
        <v/>
      </c>
      <c r="V441" s="29" t="str">
        <f t="shared" si="37"/>
        <v/>
      </c>
      <c r="W441" s="29" t="str">
        <f t="shared" si="37"/>
        <v/>
      </c>
      <c r="X441" s="29" t="str">
        <f t="shared" si="37"/>
        <v/>
      </c>
      <c r="Y441" s="29" t="str">
        <f t="shared" si="37"/>
        <v/>
      </c>
      <c r="Z441" s="30" t="str">
        <f t="shared" si="37"/>
        <v/>
      </c>
    </row>
    <row r="442" spans="20:26" x14ac:dyDescent="0.3">
      <c r="T442" s="25" t="str">
        <f t="shared" si="34"/>
        <v/>
      </c>
      <c r="U442" s="29" t="str">
        <f t="shared" si="35"/>
        <v/>
      </c>
      <c r="V442" s="29" t="str">
        <f t="shared" si="37"/>
        <v/>
      </c>
      <c r="W442" s="29" t="str">
        <f t="shared" si="37"/>
        <v/>
      </c>
      <c r="X442" s="29" t="str">
        <f t="shared" si="37"/>
        <v/>
      </c>
      <c r="Y442" s="29" t="str">
        <f t="shared" si="37"/>
        <v/>
      </c>
      <c r="Z442" s="30" t="str">
        <f t="shared" si="37"/>
        <v/>
      </c>
    </row>
    <row r="443" spans="20:26" x14ac:dyDescent="0.3">
      <c r="T443" s="25" t="str">
        <f t="shared" si="34"/>
        <v/>
      </c>
      <c r="U443" s="29" t="str">
        <f t="shared" si="35"/>
        <v/>
      </c>
      <c r="V443" s="29" t="str">
        <f t="shared" si="37"/>
        <v/>
      </c>
      <c r="W443" s="29" t="str">
        <f t="shared" si="37"/>
        <v/>
      </c>
      <c r="X443" s="29" t="str">
        <f t="shared" si="37"/>
        <v/>
      </c>
      <c r="Y443" s="29" t="str">
        <f t="shared" si="37"/>
        <v/>
      </c>
      <c r="Z443" s="30" t="str">
        <f t="shared" si="37"/>
        <v/>
      </c>
    </row>
    <row r="444" spans="20:26" x14ac:dyDescent="0.3">
      <c r="T444" s="25" t="str">
        <f t="shared" si="34"/>
        <v/>
      </c>
      <c r="U444" s="29" t="str">
        <f t="shared" si="35"/>
        <v/>
      </c>
      <c r="V444" s="29" t="str">
        <f t="shared" ref="V444:Z463" si="38">IF($T444&gt;=V$2,$U444,-100)</f>
        <v/>
      </c>
      <c r="W444" s="29" t="str">
        <f t="shared" si="38"/>
        <v/>
      </c>
      <c r="X444" s="29" t="str">
        <f t="shared" si="38"/>
        <v/>
      </c>
      <c r="Y444" s="29" t="str">
        <f t="shared" si="38"/>
        <v/>
      </c>
      <c r="Z444" s="30" t="str">
        <f t="shared" si="38"/>
        <v/>
      </c>
    </row>
    <row r="445" spans="20:26" x14ac:dyDescent="0.3">
      <c r="T445" s="25" t="str">
        <f t="shared" si="34"/>
        <v/>
      </c>
      <c r="U445" s="29" t="str">
        <f t="shared" si="35"/>
        <v/>
      </c>
      <c r="V445" s="29" t="str">
        <f t="shared" si="38"/>
        <v/>
      </c>
      <c r="W445" s="29" t="str">
        <f t="shared" si="38"/>
        <v/>
      </c>
      <c r="X445" s="29" t="str">
        <f t="shared" si="38"/>
        <v/>
      </c>
      <c r="Y445" s="29" t="str">
        <f t="shared" si="38"/>
        <v/>
      </c>
      <c r="Z445" s="30" t="str">
        <f t="shared" si="38"/>
        <v/>
      </c>
    </row>
    <row r="446" spans="20:26" x14ac:dyDescent="0.3">
      <c r="T446" s="25" t="str">
        <f t="shared" si="34"/>
        <v/>
      </c>
      <c r="U446" s="29" t="str">
        <f t="shared" si="35"/>
        <v/>
      </c>
      <c r="V446" s="29" t="str">
        <f t="shared" si="38"/>
        <v/>
      </c>
      <c r="W446" s="29" t="str">
        <f t="shared" si="38"/>
        <v/>
      </c>
      <c r="X446" s="29" t="str">
        <f t="shared" si="38"/>
        <v/>
      </c>
      <c r="Y446" s="29" t="str">
        <f t="shared" si="38"/>
        <v/>
      </c>
      <c r="Z446" s="30" t="str">
        <f t="shared" si="38"/>
        <v/>
      </c>
    </row>
    <row r="447" spans="20:26" x14ac:dyDescent="0.3">
      <c r="T447" s="25" t="str">
        <f t="shared" si="34"/>
        <v/>
      </c>
      <c r="U447" s="29" t="str">
        <f t="shared" si="35"/>
        <v/>
      </c>
      <c r="V447" s="29" t="str">
        <f t="shared" si="38"/>
        <v/>
      </c>
      <c r="W447" s="29" t="str">
        <f t="shared" si="38"/>
        <v/>
      </c>
      <c r="X447" s="29" t="str">
        <f t="shared" si="38"/>
        <v/>
      </c>
      <c r="Y447" s="29" t="str">
        <f t="shared" si="38"/>
        <v/>
      </c>
      <c r="Z447" s="30" t="str">
        <f t="shared" si="38"/>
        <v/>
      </c>
    </row>
    <row r="448" spans="20:26" x14ac:dyDescent="0.3">
      <c r="T448" s="25" t="str">
        <f t="shared" si="34"/>
        <v/>
      </c>
      <c r="U448" s="29" t="str">
        <f t="shared" si="35"/>
        <v/>
      </c>
      <c r="V448" s="29" t="str">
        <f t="shared" si="38"/>
        <v/>
      </c>
      <c r="W448" s="29" t="str">
        <f t="shared" si="38"/>
        <v/>
      </c>
      <c r="X448" s="29" t="str">
        <f t="shared" si="38"/>
        <v/>
      </c>
      <c r="Y448" s="29" t="str">
        <f t="shared" si="38"/>
        <v/>
      </c>
      <c r="Z448" s="30" t="str">
        <f t="shared" si="38"/>
        <v/>
      </c>
    </row>
    <row r="449" spans="20:26" x14ac:dyDescent="0.3">
      <c r="T449" s="25" t="str">
        <f t="shared" si="34"/>
        <v/>
      </c>
      <c r="U449" s="29" t="str">
        <f t="shared" si="35"/>
        <v/>
      </c>
      <c r="V449" s="29" t="str">
        <f t="shared" si="38"/>
        <v/>
      </c>
      <c r="W449" s="29" t="str">
        <f t="shared" si="38"/>
        <v/>
      </c>
      <c r="X449" s="29" t="str">
        <f t="shared" si="38"/>
        <v/>
      </c>
      <c r="Y449" s="29" t="str">
        <f t="shared" si="38"/>
        <v/>
      </c>
      <c r="Z449" s="30" t="str">
        <f t="shared" si="38"/>
        <v/>
      </c>
    </row>
    <row r="450" spans="20:26" x14ac:dyDescent="0.3">
      <c r="T450" s="25" t="str">
        <f t="shared" si="34"/>
        <v/>
      </c>
      <c r="U450" s="29" t="str">
        <f t="shared" si="35"/>
        <v/>
      </c>
      <c r="V450" s="29" t="str">
        <f t="shared" si="38"/>
        <v/>
      </c>
      <c r="W450" s="29" t="str">
        <f t="shared" si="38"/>
        <v/>
      </c>
      <c r="X450" s="29" t="str">
        <f t="shared" si="38"/>
        <v/>
      </c>
      <c r="Y450" s="29" t="str">
        <f t="shared" si="38"/>
        <v/>
      </c>
      <c r="Z450" s="30" t="str">
        <f t="shared" si="38"/>
        <v/>
      </c>
    </row>
    <row r="451" spans="20:26" x14ac:dyDescent="0.3">
      <c r="T451" s="25" t="str">
        <f t="shared" ref="T451:T502" si="39">IF(ROW()-2&lt;=$Q$4*$Q$27,"",IF(ROW()-2&gt;$Q$24*$Q$26,"",ROW()-2))</f>
        <v/>
      </c>
      <c r="U451" s="29" t="str">
        <f t="shared" si="35"/>
        <v/>
      </c>
      <c r="V451" s="29" t="str">
        <f t="shared" si="38"/>
        <v/>
      </c>
      <c r="W451" s="29" t="str">
        <f t="shared" si="38"/>
        <v/>
      </c>
      <c r="X451" s="29" t="str">
        <f t="shared" si="38"/>
        <v/>
      </c>
      <c r="Y451" s="29" t="str">
        <f t="shared" si="38"/>
        <v/>
      </c>
      <c r="Z451" s="30" t="str">
        <f t="shared" si="38"/>
        <v/>
      </c>
    </row>
    <row r="452" spans="20:26" x14ac:dyDescent="0.3">
      <c r="T452" s="25" t="str">
        <f t="shared" si="39"/>
        <v/>
      </c>
      <c r="U452" s="29" t="str">
        <f t="shared" ref="U452:U502" si="40">IFERROR(_xlfn.NORM.DIST(T452,$Q$1,$Q$2,FALSE),"")</f>
        <v/>
      </c>
      <c r="V452" s="29" t="str">
        <f t="shared" si="38"/>
        <v/>
      </c>
      <c r="W452" s="29" t="str">
        <f t="shared" si="38"/>
        <v/>
      </c>
      <c r="X452" s="29" t="str">
        <f t="shared" si="38"/>
        <v/>
      </c>
      <c r="Y452" s="29" t="str">
        <f t="shared" si="38"/>
        <v/>
      </c>
      <c r="Z452" s="30" t="str">
        <f t="shared" si="38"/>
        <v/>
      </c>
    </row>
    <row r="453" spans="20:26" x14ac:dyDescent="0.3">
      <c r="T453" s="25" t="str">
        <f t="shared" si="39"/>
        <v/>
      </c>
      <c r="U453" s="29" t="str">
        <f t="shared" si="40"/>
        <v/>
      </c>
      <c r="V453" s="29" t="str">
        <f t="shared" si="38"/>
        <v/>
      </c>
      <c r="W453" s="29" t="str">
        <f t="shared" si="38"/>
        <v/>
      </c>
      <c r="X453" s="29" t="str">
        <f t="shared" si="38"/>
        <v/>
      </c>
      <c r="Y453" s="29" t="str">
        <f t="shared" si="38"/>
        <v/>
      </c>
      <c r="Z453" s="30" t="str">
        <f t="shared" si="38"/>
        <v/>
      </c>
    </row>
    <row r="454" spans="20:26" x14ac:dyDescent="0.3">
      <c r="T454" s="25" t="str">
        <f t="shared" si="39"/>
        <v/>
      </c>
      <c r="U454" s="29" t="str">
        <f t="shared" si="40"/>
        <v/>
      </c>
      <c r="V454" s="29" t="str">
        <f t="shared" si="38"/>
        <v/>
      </c>
      <c r="W454" s="29" t="str">
        <f t="shared" si="38"/>
        <v/>
      </c>
      <c r="X454" s="29" t="str">
        <f t="shared" si="38"/>
        <v/>
      </c>
      <c r="Y454" s="29" t="str">
        <f t="shared" si="38"/>
        <v/>
      </c>
      <c r="Z454" s="30" t="str">
        <f t="shared" si="38"/>
        <v/>
      </c>
    </row>
    <row r="455" spans="20:26" x14ac:dyDescent="0.3">
      <c r="T455" s="25" t="str">
        <f t="shared" si="39"/>
        <v/>
      </c>
      <c r="U455" s="29" t="str">
        <f t="shared" si="40"/>
        <v/>
      </c>
      <c r="V455" s="29" t="str">
        <f t="shared" si="38"/>
        <v/>
      </c>
      <c r="W455" s="29" t="str">
        <f t="shared" si="38"/>
        <v/>
      </c>
      <c r="X455" s="29" t="str">
        <f t="shared" si="38"/>
        <v/>
      </c>
      <c r="Y455" s="29" t="str">
        <f t="shared" si="38"/>
        <v/>
      </c>
      <c r="Z455" s="30" t="str">
        <f t="shared" si="38"/>
        <v/>
      </c>
    </row>
    <row r="456" spans="20:26" x14ac:dyDescent="0.3">
      <c r="T456" s="25" t="str">
        <f t="shared" si="39"/>
        <v/>
      </c>
      <c r="U456" s="29" t="str">
        <f t="shared" si="40"/>
        <v/>
      </c>
      <c r="V456" s="29" t="str">
        <f t="shared" si="38"/>
        <v/>
      </c>
      <c r="W456" s="29" t="str">
        <f t="shared" si="38"/>
        <v/>
      </c>
      <c r="X456" s="29" t="str">
        <f t="shared" si="38"/>
        <v/>
      </c>
      <c r="Y456" s="29" t="str">
        <f t="shared" si="38"/>
        <v/>
      </c>
      <c r="Z456" s="30" t="str">
        <f t="shared" si="38"/>
        <v/>
      </c>
    </row>
    <row r="457" spans="20:26" x14ac:dyDescent="0.3">
      <c r="T457" s="25" t="str">
        <f t="shared" si="39"/>
        <v/>
      </c>
      <c r="U457" s="29" t="str">
        <f t="shared" si="40"/>
        <v/>
      </c>
      <c r="V457" s="29" t="str">
        <f t="shared" si="38"/>
        <v/>
      </c>
      <c r="W457" s="29" t="str">
        <f t="shared" si="38"/>
        <v/>
      </c>
      <c r="X457" s="29" t="str">
        <f t="shared" si="38"/>
        <v/>
      </c>
      <c r="Y457" s="29" t="str">
        <f t="shared" si="38"/>
        <v/>
      </c>
      <c r="Z457" s="30" t="str">
        <f t="shared" si="38"/>
        <v/>
      </c>
    </row>
    <row r="458" spans="20:26" x14ac:dyDescent="0.3">
      <c r="T458" s="25" t="str">
        <f t="shared" si="39"/>
        <v/>
      </c>
      <c r="U458" s="29" t="str">
        <f t="shared" si="40"/>
        <v/>
      </c>
      <c r="V458" s="29" t="str">
        <f t="shared" si="38"/>
        <v/>
      </c>
      <c r="W458" s="29" t="str">
        <f t="shared" si="38"/>
        <v/>
      </c>
      <c r="X458" s="29" t="str">
        <f t="shared" si="38"/>
        <v/>
      </c>
      <c r="Y458" s="29" t="str">
        <f t="shared" si="38"/>
        <v/>
      </c>
      <c r="Z458" s="30" t="str">
        <f t="shared" si="38"/>
        <v/>
      </c>
    </row>
    <row r="459" spans="20:26" x14ac:dyDescent="0.3">
      <c r="T459" s="25" t="str">
        <f t="shared" si="39"/>
        <v/>
      </c>
      <c r="U459" s="29" t="str">
        <f t="shared" si="40"/>
        <v/>
      </c>
      <c r="V459" s="29" t="str">
        <f t="shared" si="38"/>
        <v/>
      </c>
      <c r="W459" s="29" t="str">
        <f t="shared" si="38"/>
        <v/>
      </c>
      <c r="X459" s="29" t="str">
        <f t="shared" si="38"/>
        <v/>
      </c>
      <c r="Y459" s="29" t="str">
        <f t="shared" si="38"/>
        <v/>
      </c>
      <c r="Z459" s="30" t="str">
        <f t="shared" si="38"/>
        <v/>
      </c>
    </row>
    <row r="460" spans="20:26" x14ac:dyDescent="0.3">
      <c r="T460" s="25" t="str">
        <f t="shared" si="39"/>
        <v/>
      </c>
      <c r="U460" s="29" t="str">
        <f t="shared" si="40"/>
        <v/>
      </c>
      <c r="V460" s="29" t="str">
        <f t="shared" si="38"/>
        <v/>
      </c>
      <c r="W460" s="29" t="str">
        <f t="shared" si="38"/>
        <v/>
      </c>
      <c r="X460" s="29" t="str">
        <f t="shared" si="38"/>
        <v/>
      </c>
      <c r="Y460" s="29" t="str">
        <f t="shared" si="38"/>
        <v/>
      </c>
      <c r="Z460" s="30" t="str">
        <f t="shared" si="38"/>
        <v/>
      </c>
    </row>
    <row r="461" spans="20:26" x14ac:dyDescent="0.3">
      <c r="T461" s="25" t="str">
        <f t="shared" si="39"/>
        <v/>
      </c>
      <c r="U461" s="29" t="str">
        <f t="shared" si="40"/>
        <v/>
      </c>
      <c r="V461" s="29" t="str">
        <f t="shared" si="38"/>
        <v/>
      </c>
      <c r="W461" s="29" t="str">
        <f t="shared" si="38"/>
        <v/>
      </c>
      <c r="X461" s="29" t="str">
        <f t="shared" si="38"/>
        <v/>
      </c>
      <c r="Y461" s="29" t="str">
        <f t="shared" si="38"/>
        <v/>
      </c>
      <c r="Z461" s="30" t="str">
        <f t="shared" si="38"/>
        <v/>
      </c>
    </row>
    <row r="462" spans="20:26" x14ac:dyDescent="0.3">
      <c r="T462" s="25" t="str">
        <f t="shared" si="39"/>
        <v/>
      </c>
      <c r="U462" s="29" t="str">
        <f t="shared" si="40"/>
        <v/>
      </c>
      <c r="V462" s="29" t="str">
        <f t="shared" si="38"/>
        <v/>
      </c>
      <c r="W462" s="29" t="str">
        <f t="shared" si="38"/>
        <v/>
      </c>
      <c r="X462" s="29" t="str">
        <f t="shared" si="38"/>
        <v/>
      </c>
      <c r="Y462" s="29" t="str">
        <f t="shared" si="38"/>
        <v/>
      </c>
      <c r="Z462" s="30" t="str">
        <f t="shared" si="38"/>
        <v/>
      </c>
    </row>
    <row r="463" spans="20:26" x14ac:dyDescent="0.3">
      <c r="T463" s="25" t="str">
        <f t="shared" si="39"/>
        <v/>
      </c>
      <c r="U463" s="29" t="str">
        <f t="shared" si="40"/>
        <v/>
      </c>
      <c r="V463" s="29" t="str">
        <f t="shared" si="38"/>
        <v/>
      </c>
      <c r="W463" s="29" t="str">
        <f t="shared" si="38"/>
        <v/>
      </c>
      <c r="X463" s="29" t="str">
        <f t="shared" si="38"/>
        <v/>
      </c>
      <c r="Y463" s="29" t="str">
        <f t="shared" si="38"/>
        <v/>
      </c>
      <c r="Z463" s="30" t="str">
        <f t="shared" si="38"/>
        <v/>
      </c>
    </row>
    <row r="464" spans="20:26" x14ac:dyDescent="0.3">
      <c r="T464" s="25" t="str">
        <f t="shared" si="39"/>
        <v/>
      </c>
      <c r="U464" s="29" t="str">
        <f t="shared" si="40"/>
        <v/>
      </c>
      <c r="V464" s="29" t="str">
        <f t="shared" ref="V464:Z483" si="41">IF($T464&gt;=V$2,$U464,-100)</f>
        <v/>
      </c>
      <c r="W464" s="29" t="str">
        <f t="shared" si="41"/>
        <v/>
      </c>
      <c r="X464" s="29" t="str">
        <f t="shared" si="41"/>
        <v/>
      </c>
      <c r="Y464" s="29" t="str">
        <f t="shared" si="41"/>
        <v/>
      </c>
      <c r="Z464" s="30" t="str">
        <f t="shared" si="41"/>
        <v/>
      </c>
    </row>
    <row r="465" spans="20:26" x14ac:dyDescent="0.3">
      <c r="T465" s="25" t="str">
        <f t="shared" si="39"/>
        <v/>
      </c>
      <c r="U465" s="29" t="str">
        <f t="shared" si="40"/>
        <v/>
      </c>
      <c r="V465" s="29" t="str">
        <f t="shared" si="41"/>
        <v/>
      </c>
      <c r="W465" s="29" t="str">
        <f t="shared" si="41"/>
        <v/>
      </c>
      <c r="X465" s="29" t="str">
        <f t="shared" si="41"/>
        <v/>
      </c>
      <c r="Y465" s="29" t="str">
        <f t="shared" si="41"/>
        <v/>
      </c>
      <c r="Z465" s="30" t="str">
        <f t="shared" si="41"/>
        <v/>
      </c>
    </row>
    <row r="466" spans="20:26" x14ac:dyDescent="0.3">
      <c r="T466" s="25" t="str">
        <f t="shared" si="39"/>
        <v/>
      </c>
      <c r="U466" s="29" t="str">
        <f t="shared" si="40"/>
        <v/>
      </c>
      <c r="V466" s="29" t="str">
        <f t="shared" si="41"/>
        <v/>
      </c>
      <c r="W466" s="29" t="str">
        <f t="shared" si="41"/>
        <v/>
      </c>
      <c r="X466" s="29" t="str">
        <f t="shared" si="41"/>
        <v/>
      </c>
      <c r="Y466" s="29" t="str">
        <f t="shared" si="41"/>
        <v/>
      </c>
      <c r="Z466" s="30" t="str">
        <f t="shared" si="41"/>
        <v/>
      </c>
    </row>
    <row r="467" spans="20:26" x14ac:dyDescent="0.3">
      <c r="T467" s="25" t="str">
        <f t="shared" si="39"/>
        <v/>
      </c>
      <c r="U467" s="29" t="str">
        <f t="shared" si="40"/>
        <v/>
      </c>
      <c r="V467" s="29" t="str">
        <f t="shared" si="41"/>
        <v/>
      </c>
      <c r="W467" s="29" t="str">
        <f t="shared" si="41"/>
        <v/>
      </c>
      <c r="X467" s="29" t="str">
        <f t="shared" si="41"/>
        <v/>
      </c>
      <c r="Y467" s="29" t="str">
        <f t="shared" si="41"/>
        <v/>
      </c>
      <c r="Z467" s="30" t="str">
        <f t="shared" si="41"/>
        <v/>
      </c>
    </row>
    <row r="468" spans="20:26" x14ac:dyDescent="0.3">
      <c r="T468" s="25" t="str">
        <f t="shared" si="39"/>
        <v/>
      </c>
      <c r="U468" s="29" t="str">
        <f t="shared" si="40"/>
        <v/>
      </c>
      <c r="V468" s="29" t="str">
        <f t="shared" si="41"/>
        <v/>
      </c>
      <c r="W468" s="29" t="str">
        <f t="shared" si="41"/>
        <v/>
      </c>
      <c r="X468" s="29" t="str">
        <f t="shared" si="41"/>
        <v/>
      </c>
      <c r="Y468" s="29" t="str">
        <f t="shared" si="41"/>
        <v/>
      </c>
      <c r="Z468" s="30" t="str">
        <f t="shared" si="41"/>
        <v/>
      </c>
    </row>
    <row r="469" spans="20:26" x14ac:dyDescent="0.3">
      <c r="T469" s="25" t="str">
        <f t="shared" si="39"/>
        <v/>
      </c>
      <c r="U469" s="29" t="str">
        <f t="shared" si="40"/>
        <v/>
      </c>
      <c r="V469" s="29" t="str">
        <f t="shared" si="41"/>
        <v/>
      </c>
      <c r="W469" s="29" t="str">
        <f t="shared" si="41"/>
        <v/>
      </c>
      <c r="X469" s="29" t="str">
        <f t="shared" si="41"/>
        <v/>
      </c>
      <c r="Y469" s="29" t="str">
        <f t="shared" si="41"/>
        <v/>
      </c>
      <c r="Z469" s="30" t="str">
        <f t="shared" si="41"/>
        <v/>
      </c>
    </row>
    <row r="470" spans="20:26" x14ac:dyDescent="0.3">
      <c r="T470" s="25" t="str">
        <f t="shared" si="39"/>
        <v/>
      </c>
      <c r="U470" s="29" t="str">
        <f t="shared" si="40"/>
        <v/>
      </c>
      <c r="V470" s="29" t="str">
        <f t="shared" si="41"/>
        <v/>
      </c>
      <c r="W470" s="29" t="str">
        <f t="shared" si="41"/>
        <v/>
      </c>
      <c r="X470" s="29" t="str">
        <f t="shared" si="41"/>
        <v/>
      </c>
      <c r="Y470" s="29" t="str">
        <f t="shared" si="41"/>
        <v/>
      </c>
      <c r="Z470" s="30" t="str">
        <f t="shared" si="41"/>
        <v/>
      </c>
    </row>
    <row r="471" spans="20:26" x14ac:dyDescent="0.3">
      <c r="T471" s="25" t="str">
        <f t="shared" si="39"/>
        <v/>
      </c>
      <c r="U471" s="29" t="str">
        <f t="shared" si="40"/>
        <v/>
      </c>
      <c r="V471" s="29" t="str">
        <f t="shared" si="41"/>
        <v/>
      </c>
      <c r="W471" s="29" t="str">
        <f t="shared" si="41"/>
        <v/>
      </c>
      <c r="X471" s="29" t="str">
        <f t="shared" si="41"/>
        <v/>
      </c>
      <c r="Y471" s="29" t="str">
        <f t="shared" si="41"/>
        <v/>
      </c>
      <c r="Z471" s="30" t="str">
        <f t="shared" si="41"/>
        <v/>
      </c>
    </row>
    <row r="472" spans="20:26" x14ac:dyDescent="0.3">
      <c r="T472" s="25" t="str">
        <f t="shared" si="39"/>
        <v/>
      </c>
      <c r="U472" s="29" t="str">
        <f t="shared" si="40"/>
        <v/>
      </c>
      <c r="V472" s="29" t="str">
        <f t="shared" si="41"/>
        <v/>
      </c>
      <c r="W472" s="29" t="str">
        <f t="shared" si="41"/>
        <v/>
      </c>
      <c r="X472" s="29" t="str">
        <f t="shared" si="41"/>
        <v/>
      </c>
      <c r="Y472" s="29" t="str">
        <f t="shared" si="41"/>
        <v/>
      </c>
      <c r="Z472" s="30" t="str">
        <f t="shared" si="41"/>
        <v/>
      </c>
    </row>
    <row r="473" spans="20:26" x14ac:dyDescent="0.3">
      <c r="T473" s="25" t="str">
        <f t="shared" si="39"/>
        <v/>
      </c>
      <c r="U473" s="29" t="str">
        <f t="shared" si="40"/>
        <v/>
      </c>
      <c r="V473" s="29" t="str">
        <f t="shared" si="41"/>
        <v/>
      </c>
      <c r="W473" s="29" t="str">
        <f t="shared" si="41"/>
        <v/>
      </c>
      <c r="X473" s="29" t="str">
        <f t="shared" si="41"/>
        <v/>
      </c>
      <c r="Y473" s="29" t="str">
        <f t="shared" si="41"/>
        <v/>
      </c>
      <c r="Z473" s="30" t="str">
        <f t="shared" si="41"/>
        <v/>
      </c>
    </row>
    <row r="474" spans="20:26" x14ac:dyDescent="0.3">
      <c r="T474" s="25" t="str">
        <f t="shared" si="39"/>
        <v/>
      </c>
      <c r="U474" s="29" t="str">
        <f t="shared" si="40"/>
        <v/>
      </c>
      <c r="V474" s="29" t="str">
        <f t="shared" si="41"/>
        <v/>
      </c>
      <c r="W474" s="29" t="str">
        <f t="shared" si="41"/>
        <v/>
      </c>
      <c r="X474" s="29" t="str">
        <f t="shared" si="41"/>
        <v/>
      </c>
      <c r="Y474" s="29" t="str">
        <f t="shared" si="41"/>
        <v/>
      </c>
      <c r="Z474" s="30" t="str">
        <f t="shared" si="41"/>
        <v/>
      </c>
    </row>
    <row r="475" spans="20:26" x14ac:dyDescent="0.3">
      <c r="T475" s="25" t="str">
        <f t="shared" si="39"/>
        <v/>
      </c>
      <c r="U475" s="29" t="str">
        <f t="shared" si="40"/>
        <v/>
      </c>
      <c r="V475" s="29" t="str">
        <f t="shared" si="41"/>
        <v/>
      </c>
      <c r="W475" s="29" t="str">
        <f t="shared" si="41"/>
        <v/>
      </c>
      <c r="X475" s="29" t="str">
        <f t="shared" si="41"/>
        <v/>
      </c>
      <c r="Y475" s="29" t="str">
        <f t="shared" si="41"/>
        <v/>
      </c>
      <c r="Z475" s="30" t="str">
        <f t="shared" si="41"/>
        <v/>
      </c>
    </row>
    <row r="476" spans="20:26" x14ac:dyDescent="0.3">
      <c r="T476" s="25" t="str">
        <f t="shared" si="39"/>
        <v/>
      </c>
      <c r="U476" s="29" t="str">
        <f t="shared" si="40"/>
        <v/>
      </c>
      <c r="V476" s="29" t="str">
        <f t="shared" si="41"/>
        <v/>
      </c>
      <c r="W476" s="29" t="str">
        <f t="shared" si="41"/>
        <v/>
      </c>
      <c r="X476" s="29" t="str">
        <f t="shared" si="41"/>
        <v/>
      </c>
      <c r="Y476" s="29" t="str">
        <f t="shared" si="41"/>
        <v/>
      </c>
      <c r="Z476" s="30" t="str">
        <f t="shared" si="41"/>
        <v/>
      </c>
    </row>
    <row r="477" spans="20:26" x14ac:dyDescent="0.3">
      <c r="T477" s="25" t="str">
        <f t="shared" si="39"/>
        <v/>
      </c>
      <c r="U477" s="29" t="str">
        <f t="shared" si="40"/>
        <v/>
      </c>
      <c r="V477" s="29" t="str">
        <f t="shared" si="41"/>
        <v/>
      </c>
      <c r="W477" s="29" t="str">
        <f t="shared" si="41"/>
        <v/>
      </c>
      <c r="X477" s="29" t="str">
        <f t="shared" si="41"/>
        <v/>
      </c>
      <c r="Y477" s="29" t="str">
        <f t="shared" si="41"/>
        <v/>
      </c>
      <c r="Z477" s="30" t="str">
        <f t="shared" si="41"/>
        <v/>
      </c>
    </row>
    <row r="478" spans="20:26" x14ac:dyDescent="0.3">
      <c r="T478" s="25" t="str">
        <f t="shared" si="39"/>
        <v/>
      </c>
      <c r="U478" s="29" t="str">
        <f t="shared" si="40"/>
        <v/>
      </c>
      <c r="V478" s="29" t="str">
        <f t="shared" si="41"/>
        <v/>
      </c>
      <c r="W478" s="29" t="str">
        <f t="shared" si="41"/>
        <v/>
      </c>
      <c r="X478" s="29" t="str">
        <f t="shared" si="41"/>
        <v/>
      </c>
      <c r="Y478" s="29" t="str">
        <f t="shared" si="41"/>
        <v/>
      </c>
      <c r="Z478" s="30" t="str">
        <f t="shared" si="41"/>
        <v/>
      </c>
    </row>
    <row r="479" spans="20:26" x14ac:dyDescent="0.3">
      <c r="T479" s="25" t="str">
        <f t="shared" si="39"/>
        <v/>
      </c>
      <c r="U479" s="29" t="str">
        <f t="shared" si="40"/>
        <v/>
      </c>
      <c r="V479" s="29" t="str">
        <f t="shared" si="41"/>
        <v/>
      </c>
      <c r="W479" s="29" t="str">
        <f t="shared" si="41"/>
        <v/>
      </c>
      <c r="X479" s="29" t="str">
        <f t="shared" si="41"/>
        <v/>
      </c>
      <c r="Y479" s="29" t="str">
        <f t="shared" si="41"/>
        <v/>
      </c>
      <c r="Z479" s="30" t="str">
        <f t="shared" si="41"/>
        <v/>
      </c>
    </row>
    <row r="480" spans="20:26" x14ac:dyDescent="0.3">
      <c r="T480" s="25" t="str">
        <f t="shared" si="39"/>
        <v/>
      </c>
      <c r="U480" s="29" t="str">
        <f t="shared" si="40"/>
        <v/>
      </c>
      <c r="V480" s="29" t="str">
        <f t="shared" si="41"/>
        <v/>
      </c>
      <c r="W480" s="29" t="str">
        <f t="shared" si="41"/>
        <v/>
      </c>
      <c r="X480" s="29" t="str">
        <f t="shared" si="41"/>
        <v/>
      </c>
      <c r="Y480" s="29" t="str">
        <f t="shared" si="41"/>
        <v/>
      </c>
      <c r="Z480" s="30" t="str">
        <f t="shared" si="41"/>
        <v/>
      </c>
    </row>
    <row r="481" spans="20:26" x14ac:dyDescent="0.3">
      <c r="T481" s="25" t="str">
        <f t="shared" si="39"/>
        <v/>
      </c>
      <c r="U481" s="29" t="str">
        <f t="shared" si="40"/>
        <v/>
      </c>
      <c r="V481" s="29" t="str">
        <f t="shared" si="41"/>
        <v/>
      </c>
      <c r="W481" s="29" t="str">
        <f t="shared" si="41"/>
        <v/>
      </c>
      <c r="X481" s="29" t="str">
        <f t="shared" si="41"/>
        <v/>
      </c>
      <c r="Y481" s="29" t="str">
        <f t="shared" si="41"/>
        <v/>
      </c>
      <c r="Z481" s="30" t="str">
        <f t="shared" si="41"/>
        <v/>
      </c>
    </row>
    <row r="482" spans="20:26" x14ac:dyDescent="0.3">
      <c r="T482" s="25" t="str">
        <f t="shared" si="39"/>
        <v/>
      </c>
      <c r="U482" s="29" t="str">
        <f t="shared" si="40"/>
        <v/>
      </c>
      <c r="V482" s="29" t="str">
        <f t="shared" si="41"/>
        <v/>
      </c>
      <c r="W482" s="29" t="str">
        <f t="shared" si="41"/>
        <v/>
      </c>
      <c r="X482" s="29" t="str">
        <f t="shared" si="41"/>
        <v/>
      </c>
      <c r="Y482" s="29" t="str">
        <f t="shared" si="41"/>
        <v/>
      </c>
      <c r="Z482" s="30" t="str">
        <f t="shared" si="41"/>
        <v/>
      </c>
    </row>
    <row r="483" spans="20:26" x14ac:dyDescent="0.3">
      <c r="T483" s="25" t="str">
        <f t="shared" si="39"/>
        <v/>
      </c>
      <c r="U483" s="29" t="str">
        <f t="shared" si="40"/>
        <v/>
      </c>
      <c r="V483" s="29" t="str">
        <f t="shared" si="41"/>
        <v/>
      </c>
      <c r="W483" s="29" t="str">
        <f t="shared" si="41"/>
        <v/>
      </c>
      <c r="X483" s="29" t="str">
        <f t="shared" si="41"/>
        <v/>
      </c>
      <c r="Y483" s="29" t="str">
        <f t="shared" si="41"/>
        <v/>
      </c>
      <c r="Z483" s="30" t="str">
        <f t="shared" si="41"/>
        <v/>
      </c>
    </row>
    <row r="484" spans="20:26" x14ac:dyDescent="0.3">
      <c r="T484" s="25" t="str">
        <f t="shared" si="39"/>
        <v/>
      </c>
      <c r="U484" s="29" t="str">
        <f t="shared" si="40"/>
        <v/>
      </c>
      <c r="V484" s="29" t="str">
        <f t="shared" ref="V484:Z502" si="42">IF($T484&gt;=V$2,$U484,-100)</f>
        <v/>
      </c>
      <c r="W484" s="29" t="str">
        <f t="shared" si="42"/>
        <v/>
      </c>
      <c r="X484" s="29" t="str">
        <f t="shared" si="42"/>
        <v/>
      </c>
      <c r="Y484" s="29" t="str">
        <f t="shared" si="42"/>
        <v/>
      </c>
      <c r="Z484" s="30" t="str">
        <f t="shared" si="42"/>
        <v/>
      </c>
    </row>
    <row r="485" spans="20:26" x14ac:dyDescent="0.3">
      <c r="T485" s="25" t="str">
        <f t="shared" si="39"/>
        <v/>
      </c>
      <c r="U485" s="29" t="str">
        <f t="shared" si="40"/>
        <v/>
      </c>
      <c r="V485" s="29" t="str">
        <f t="shared" si="42"/>
        <v/>
      </c>
      <c r="W485" s="29" t="str">
        <f t="shared" si="42"/>
        <v/>
      </c>
      <c r="X485" s="29" t="str">
        <f t="shared" si="42"/>
        <v/>
      </c>
      <c r="Y485" s="29" t="str">
        <f t="shared" si="42"/>
        <v/>
      </c>
      <c r="Z485" s="30" t="str">
        <f t="shared" si="42"/>
        <v/>
      </c>
    </row>
    <row r="486" spans="20:26" x14ac:dyDescent="0.3">
      <c r="T486" s="25" t="str">
        <f t="shared" si="39"/>
        <v/>
      </c>
      <c r="U486" s="29" t="str">
        <f t="shared" si="40"/>
        <v/>
      </c>
      <c r="V486" s="29" t="str">
        <f t="shared" si="42"/>
        <v/>
      </c>
      <c r="W486" s="29" t="str">
        <f t="shared" si="42"/>
        <v/>
      </c>
      <c r="X486" s="29" t="str">
        <f t="shared" si="42"/>
        <v/>
      </c>
      <c r="Y486" s="29" t="str">
        <f t="shared" si="42"/>
        <v/>
      </c>
      <c r="Z486" s="30" t="str">
        <f t="shared" si="42"/>
        <v/>
      </c>
    </row>
    <row r="487" spans="20:26" x14ac:dyDescent="0.3">
      <c r="T487" s="25" t="str">
        <f t="shared" si="39"/>
        <v/>
      </c>
      <c r="U487" s="29" t="str">
        <f t="shared" si="40"/>
        <v/>
      </c>
      <c r="V487" s="29" t="str">
        <f t="shared" si="42"/>
        <v/>
      </c>
      <c r="W487" s="29" t="str">
        <f t="shared" si="42"/>
        <v/>
      </c>
      <c r="X487" s="29" t="str">
        <f t="shared" si="42"/>
        <v/>
      </c>
      <c r="Y487" s="29" t="str">
        <f t="shared" si="42"/>
        <v/>
      </c>
      <c r="Z487" s="30" t="str">
        <f t="shared" si="42"/>
        <v/>
      </c>
    </row>
    <row r="488" spans="20:26" x14ac:dyDescent="0.3">
      <c r="T488" s="25" t="str">
        <f t="shared" si="39"/>
        <v/>
      </c>
      <c r="U488" s="29" t="str">
        <f t="shared" si="40"/>
        <v/>
      </c>
      <c r="V488" s="29" t="str">
        <f t="shared" si="42"/>
        <v/>
      </c>
      <c r="W488" s="29" t="str">
        <f t="shared" si="42"/>
        <v/>
      </c>
      <c r="X488" s="29" t="str">
        <f t="shared" si="42"/>
        <v/>
      </c>
      <c r="Y488" s="29" t="str">
        <f t="shared" si="42"/>
        <v/>
      </c>
      <c r="Z488" s="30" t="str">
        <f t="shared" si="42"/>
        <v/>
      </c>
    </row>
    <row r="489" spans="20:26" x14ac:dyDescent="0.3">
      <c r="T489" s="25" t="str">
        <f t="shared" si="39"/>
        <v/>
      </c>
      <c r="U489" s="29" t="str">
        <f t="shared" si="40"/>
        <v/>
      </c>
      <c r="V489" s="29" t="str">
        <f t="shared" si="42"/>
        <v/>
      </c>
      <c r="W489" s="29" t="str">
        <f t="shared" si="42"/>
        <v/>
      </c>
      <c r="X489" s="29" t="str">
        <f t="shared" si="42"/>
        <v/>
      </c>
      <c r="Y489" s="29" t="str">
        <f t="shared" si="42"/>
        <v/>
      </c>
      <c r="Z489" s="30" t="str">
        <f t="shared" si="42"/>
        <v/>
      </c>
    </row>
    <row r="490" spans="20:26" x14ac:dyDescent="0.3">
      <c r="T490" s="25" t="str">
        <f t="shared" si="39"/>
        <v/>
      </c>
      <c r="U490" s="29" t="str">
        <f t="shared" si="40"/>
        <v/>
      </c>
      <c r="V490" s="29" t="str">
        <f t="shared" si="42"/>
        <v/>
      </c>
      <c r="W490" s="29" t="str">
        <f t="shared" si="42"/>
        <v/>
      </c>
      <c r="X490" s="29" t="str">
        <f t="shared" si="42"/>
        <v/>
      </c>
      <c r="Y490" s="29" t="str">
        <f t="shared" si="42"/>
        <v/>
      </c>
      <c r="Z490" s="30" t="str">
        <f t="shared" si="42"/>
        <v/>
      </c>
    </row>
    <row r="491" spans="20:26" x14ac:dyDescent="0.3">
      <c r="T491" s="25" t="str">
        <f t="shared" si="39"/>
        <v/>
      </c>
      <c r="U491" s="29" t="str">
        <f t="shared" si="40"/>
        <v/>
      </c>
      <c r="V491" s="29" t="str">
        <f t="shared" si="42"/>
        <v/>
      </c>
      <c r="W491" s="29" t="str">
        <f t="shared" si="42"/>
        <v/>
      </c>
      <c r="X491" s="29" t="str">
        <f t="shared" si="42"/>
        <v/>
      </c>
      <c r="Y491" s="29" t="str">
        <f t="shared" si="42"/>
        <v/>
      </c>
      <c r="Z491" s="30" t="str">
        <f t="shared" si="42"/>
        <v/>
      </c>
    </row>
    <row r="492" spans="20:26" x14ac:dyDescent="0.3">
      <c r="T492" s="25" t="str">
        <f t="shared" si="39"/>
        <v/>
      </c>
      <c r="U492" s="29" t="str">
        <f t="shared" si="40"/>
        <v/>
      </c>
      <c r="V492" s="29" t="str">
        <f t="shared" si="42"/>
        <v/>
      </c>
      <c r="W492" s="29" t="str">
        <f t="shared" si="42"/>
        <v/>
      </c>
      <c r="X492" s="29" t="str">
        <f t="shared" si="42"/>
        <v/>
      </c>
      <c r="Y492" s="29" t="str">
        <f t="shared" si="42"/>
        <v/>
      </c>
      <c r="Z492" s="30" t="str">
        <f t="shared" si="42"/>
        <v/>
      </c>
    </row>
    <row r="493" spans="20:26" x14ac:dyDescent="0.3">
      <c r="T493" s="25" t="str">
        <f t="shared" si="39"/>
        <v/>
      </c>
      <c r="U493" s="29" t="str">
        <f t="shared" si="40"/>
        <v/>
      </c>
      <c r="V493" s="29" t="str">
        <f t="shared" si="42"/>
        <v/>
      </c>
      <c r="W493" s="29" t="str">
        <f t="shared" si="42"/>
        <v/>
      </c>
      <c r="X493" s="29" t="str">
        <f t="shared" si="42"/>
        <v/>
      </c>
      <c r="Y493" s="29" t="str">
        <f t="shared" si="42"/>
        <v/>
      </c>
      <c r="Z493" s="30" t="str">
        <f t="shared" si="42"/>
        <v/>
      </c>
    </row>
    <row r="494" spans="20:26" x14ac:dyDescent="0.3">
      <c r="T494" s="25" t="str">
        <f t="shared" si="39"/>
        <v/>
      </c>
      <c r="U494" s="29" t="str">
        <f t="shared" si="40"/>
        <v/>
      </c>
      <c r="V494" s="29" t="str">
        <f t="shared" si="42"/>
        <v/>
      </c>
      <c r="W494" s="29" t="str">
        <f t="shared" si="42"/>
        <v/>
      </c>
      <c r="X494" s="29" t="str">
        <f t="shared" si="42"/>
        <v/>
      </c>
      <c r="Y494" s="29" t="str">
        <f t="shared" si="42"/>
        <v/>
      </c>
      <c r="Z494" s="30" t="str">
        <f t="shared" si="42"/>
        <v/>
      </c>
    </row>
    <row r="495" spans="20:26" x14ac:dyDescent="0.3">
      <c r="T495" s="25" t="str">
        <f t="shared" si="39"/>
        <v/>
      </c>
      <c r="U495" s="29" t="str">
        <f t="shared" si="40"/>
        <v/>
      </c>
      <c r="V495" s="29" t="str">
        <f t="shared" si="42"/>
        <v/>
      </c>
      <c r="W495" s="29" t="str">
        <f t="shared" si="42"/>
        <v/>
      </c>
      <c r="X495" s="29" t="str">
        <f t="shared" si="42"/>
        <v/>
      </c>
      <c r="Y495" s="29" t="str">
        <f t="shared" si="42"/>
        <v/>
      </c>
      <c r="Z495" s="30" t="str">
        <f t="shared" si="42"/>
        <v/>
      </c>
    </row>
    <row r="496" spans="20:26" x14ac:dyDescent="0.3">
      <c r="T496" s="25" t="str">
        <f t="shared" si="39"/>
        <v/>
      </c>
      <c r="U496" s="29" t="str">
        <f t="shared" si="40"/>
        <v/>
      </c>
      <c r="V496" s="29" t="str">
        <f t="shared" si="42"/>
        <v/>
      </c>
      <c r="W496" s="29" t="str">
        <f t="shared" si="42"/>
        <v/>
      </c>
      <c r="X496" s="29" t="str">
        <f t="shared" si="42"/>
        <v/>
      </c>
      <c r="Y496" s="29" t="str">
        <f t="shared" si="42"/>
        <v/>
      </c>
      <c r="Z496" s="30" t="str">
        <f t="shared" si="42"/>
        <v/>
      </c>
    </row>
    <row r="497" spans="20:26" x14ac:dyDescent="0.3">
      <c r="T497" s="25" t="str">
        <f t="shared" si="39"/>
        <v/>
      </c>
      <c r="U497" s="29" t="str">
        <f t="shared" si="40"/>
        <v/>
      </c>
      <c r="V497" s="29" t="str">
        <f t="shared" si="42"/>
        <v/>
      </c>
      <c r="W497" s="29" t="str">
        <f t="shared" si="42"/>
        <v/>
      </c>
      <c r="X497" s="29" t="str">
        <f t="shared" si="42"/>
        <v/>
      </c>
      <c r="Y497" s="29" t="str">
        <f t="shared" si="42"/>
        <v/>
      </c>
      <c r="Z497" s="30" t="str">
        <f t="shared" si="42"/>
        <v/>
      </c>
    </row>
    <row r="498" spans="20:26" x14ac:dyDescent="0.3">
      <c r="T498" s="25" t="str">
        <f t="shared" si="39"/>
        <v/>
      </c>
      <c r="U498" s="29" t="str">
        <f t="shared" si="40"/>
        <v/>
      </c>
      <c r="V498" s="29" t="str">
        <f t="shared" si="42"/>
        <v/>
      </c>
      <c r="W498" s="29" t="str">
        <f t="shared" si="42"/>
        <v/>
      </c>
      <c r="X498" s="29" t="str">
        <f t="shared" si="42"/>
        <v/>
      </c>
      <c r="Y498" s="29" t="str">
        <f t="shared" si="42"/>
        <v/>
      </c>
      <c r="Z498" s="30" t="str">
        <f t="shared" si="42"/>
        <v/>
      </c>
    </row>
    <row r="499" spans="20:26" x14ac:dyDescent="0.3">
      <c r="T499" s="25" t="str">
        <f t="shared" si="39"/>
        <v/>
      </c>
      <c r="U499" s="29" t="str">
        <f t="shared" si="40"/>
        <v/>
      </c>
      <c r="V499" s="29" t="str">
        <f t="shared" si="42"/>
        <v/>
      </c>
      <c r="W499" s="29" t="str">
        <f t="shared" si="42"/>
        <v/>
      </c>
      <c r="X499" s="29" t="str">
        <f t="shared" si="42"/>
        <v/>
      </c>
      <c r="Y499" s="29" t="str">
        <f t="shared" si="42"/>
        <v/>
      </c>
      <c r="Z499" s="30" t="str">
        <f t="shared" si="42"/>
        <v/>
      </c>
    </row>
    <row r="500" spans="20:26" x14ac:dyDescent="0.3">
      <c r="T500" s="25" t="str">
        <f t="shared" si="39"/>
        <v/>
      </c>
      <c r="U500" s="29" t="str">
        <f t="shared" si="40"/>
        <v/>
      </c>
      <c r="V500" s="29" t="str">
        <f t="shared" si="42"/>
        <v/>
      </c>
      <c r="W500" s="29" t="str">
        <f t="shared" si="42"/>
        <v/>
      </c>
      <c r="X500" s="29" t="str">
        <f t="shared" si="42"/>
        <v/>
      </c>
      <c r="Y500" s="29" t="str">
        <f t="shared" si="42"/>
        <v/>
      </c>
      <c r="Z500" s="30" t="str">
        <f t="shared" si="42"/>
        <v/>
      </c>
    </row>
    <row r="501" spans="20:26" x14ac:dyDescent="0.3">
      <c r="T501" s="25" t="str">
        <f t="shared" si="39"/>
        <v/>
      </c>
      <c r="U501" s="29" t="str">
        <f t="shared" si="40"/>
        <v/>
      </c>
      <c r="V501" s="29" t="str">
        <f t="shared" si="42"/>
        <v/>
      </c>
      <c r="W501" s="29" t="str">
        <f t="shared" si="42"/>
        <v/>
      </c>
      <c r="X501" s="29" t="str">
        <f t="shared" si="42"/>
        <v/>
      </c>
      <c r="Y501" s="29" t="str">
        <f t="shared" si="42"/>
        <v/>
      </c>
      <c r="Z501" s="30" t="str">
        <f t="shared" si="42"/>
        <v/>
      </c>
    </row>
    <row r="502" spans="20:26" ht="15" thickBot="1" x14ac:dyDescent="0.35">
      <c r="T502" s="26" t="str">
        <f t="shared" si="39"/>
        <v/>
      </c>
      <c r="U502" s="31" t="str">
        <f t="shared" si="40"/>
        <v/>
      </c>
      <c r="V502" s="31" t="str">
        <f t="shared" si="42"/>
        <v/>
      </c>
      <c r="W502" s="31" t="str">
        <f t="shared" si="42"/>
        <v/>
      </c>
      <c r="X502" s="31" t="str">
        <f t="shared" si="42"/>
        <v/>
      </c>
      <c r="Y502" s="31" t="str">
        <f t="shared" si="42"/>
        <v/>
      </c>
      <c r="Z502" s="32" t="str">
        <f t="shared" si="42"/>
        <v/>
      </c>
    </row>
  </sheetData>
  <phoneticPr fontId="7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07B7-AD40-4E09-A977-AE051A3E3D27}">
  <sheetPr codeName="Sheet5"/>
  <dimension ref="A1:A6"/>
  <sheetViews>
    <sheetView workbookViewId="0"/>
  </sheetViews>
  <sheetFormatPr defaultRowHeight="14.4" x14ac:dyDescent="0.3"/>
  <cols>
    <col min="1" max="1" width="65.6640625" bestFit="1" customWidth="1"/>
  </cols>
  <sheetData>
    <row r="1" spans="1:1" x14ac:dyDescent="0.3">
      <c r="A1" t="s">
        <v>1120</v>
      </c>
    </row>
    <row r="2" spans="1:1" x14ac:dyDescent="0.3">
      <c r="A2" t="s">
        <v>1121</v>
      </c>
    </row>
    <row r="3" spans="1:1" x14ac:dyDescent="0.3">
      <c r="A3" t="s">
        <v>1122</v>
      </c>
    </row>
    <row r="4" spans="1:1" x14ac:dyDescent="0.3">
      <c r="A4" t="s">
        <v>1549</v>
      </c>
    </row>
    <row r="6" spans="1:1" x14ac:dyDescent="0.3">
      <c r="A6" s="65" t="s">
        <v>1817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DABB-9FFE-4522-AB4F-1FE33FEF0A05}">
  <sheetPr codeName="Sheet4"/>
  <dimension ref="A1:B55"/>
  <sheetViews>
    <sheetView workbookViewId="0">
      <selection activeCell="B34" sqref="B34"/>
    </sheetView>
  </sheetViews>
  <sheetFormatPr defaultRowHeight="14.4" x14ac:dyDescent="0.3"/>
  <sheetData>
    <row r="1" spans="1:2" x14ac:dyDescent="0.3">
      <c r="A1" t="s">
        <v>107</v>
      </c>
    </row>
    <row r="3" spans="1:2" x14ac:dyDescent="0.3">
      <c r="A3" t="s">
        <v>108</v>
      </c>
    </row>
    <row r="4" spans="1:2" x14ac:dyDescent="0.3">
      <c r="B4" t="s">
        <v>109</v>
      </c>
    </row>
    <row r="5" spans="1:2" x14ac:dyDescent="0.3">
      <c r="B5" t="s">
        <v>110</v>
      </c>
    </row>
    <row r="6" spans="1:2" x14ac:dyDescent="0.3">
      <c r="B6" t="s">
        <v>111</v>
      </c>
    </row>
    <row r="7" spans="1:2" x14ac:dyDescent="0.3">
      <c r="A7" t="s">
        <v>112</v>
      </c>
    </row>
    <row r="8" spans="1:2" x14ac:dyDescent="0.3">
      <c r="B8" t="s">
        <v>113</v>
      </c>
    </row>
    <row r="9" spans="1:2" x14ac:dyDescent="0.3">
      <c r="B9" t="s">
        <v>114</v>
      </c>
    </row>
    <row r="10" spans="1:2" x14ac:dyDescent="0.3">
      <c r="A10" t="s">
        <v>115</v>
      </c>
    </row>
    <row r="11" spans="1:2" x14ac:dyDescent="0.3">
      <c r="B11" t="s">
        <v>116</v>
      </c>
    </row>
    <row r="12" spans="1:2" x14ac:dyDescent="0.3">
      <c r="B12" t="s">
        <v>117</v>
      </c>
    </row>
    <row r="13" spans="1:2" x14ac:dyDescent="0.3">
      <c r="B13" t="s">
        <v>118</v>
      </c>
    </row>
    <row r="14" spans="1:2" x14ac:dyDescent="0.3">
      <c r="B14" t="s">
        <v>119</v>
      </c>
    </row>
    <row r="15" spans="1:2" x14ac:dyDescent="0.3">
      <c r="A15" t="s">
        <v>120</v>
      </c>
    </row>
    <row r="16" spans="1:2" x14ac:dyDescent="0.3">
      <c r="B16" t="s">
        <v>121</v>
      </c>
    </row>
    <row r="17" spans="1:2" x14ac:dyDescent="0.3">
      <c r="B17" t="s">
        <v>122</v>
      </c>
    </row>
    <row r="18" spans="1:2" x14ac:dyDescent="0.3">
      <c r="B18" t="s">
        <v>123</v>
      </c>
    </row>
    <row r="19" spans="1:2" x14ac:dyDescent="0.3">
      <c r="B19" t="s">
        <v>124</v>
      </c>
    </row>
    <row r="20" spans="1:2" x14ac:dyDescent="0.3">
      <c r="B20" t="s">
        <v>125</v>
      </c>
    </row>
    <row r="21" spans="1:2" x14ac:dyDescent="0.3">
      <c r="B21" t="s">
        <v>126</v>
      </c>
    </row>
    <row r="22" spans="1:2" x14ac:dyDescent="0.3">
      <c r="B22" t="s">
        <v>127</v>
      </c>
    </row>
    <row r="23" spans="1:2" x14ac:dyDescent="0.3">
      <c r="A23" t="s">
        <v>128</v>
      </c>
    </row>
    <row r="24" spans="1:2" x14ac:dyDescent="0.3">
      <c r="B24" t="s">
        <v>129</v>
      </c>
    </row>
    <row r="25" spans="1:2" x14ac:dyDescent="0.3">
      <c r="B25" t="s">
        <v>130</v>
      </c>
    </row>
    <row r="26" spans="1:2" x14ac:dyDescent="0.3">
      <c r="B26" t="s">
        <v>131</v>
      </c>
    </row>
    <row r="28" spans="1:2" x14ac:dyDescent="0.3">
      <c r="A28" t="s">
        <v>132</v>
      </c>
    </row>
    <row r="30" spans="1:2" x14ac:dyDescent="0.3">
      <c r="A30" t="s">
        <v>133</v>
      </c>
    </row>
    <row r="31" spans="1:2" x14ac:dyDescent="0.3">
      <c r="B31" t="s">
        <v>134</v>
      </c>
    </row>
    <row r="32" spans="1:2" x14ac:dyDescent="0.3">
      <c r="B32" t="s">
        <v>135</v>
      </c>
    </row>
    <row r="33" spans="1:2" x14ac:dyDescent="0.3">
      <c r="A33" t="s">
        <v>136</v>
      </c>
    </row>
    <row r="34" spans="1:2" x14ac:dyDescent="0.3">
      <c r="B34" t="s">
        <v>137</v>
      </c>
    </row>
    <row r="35" spans="1:2" x14ac:dyDescent="0.3">
      <c r="B35" t="s">
        <v>138</v>
      </c>
    </row>
    <row r="36" spans="1:2" x14ac:dyDescent="0.3">
      <c r="B36" t="s">
        <v>139</v>
      </c>
    </row>
    <row r="38" spans="1:2" x14ac:dyDescent="0.3">
      <c r="A38" t="s">
        <v>140</v>
      </c>
    </row>
    <row r="40" spans="1:2" x14ac:dyDescent="0.3">
      <c r="A40" t="s">
        <v>141</v>
      </c>
    </row>
    <row r="41" spans="1:2" x14ac:dyDescent="0.3">
      <c r="A41" t="s">
        <v>142</v>
      </c>
    </row>
    <row r="42" spans="1:2" x14ac:dyDescent="0.3">
      <c r="A42" t="s">
        <v>143</v>
      </c>
    </row>
    <row r="43" spans="1:2" x14ac:dyDescent="0.3">
      <c r="A43" t="s">
        <v>144</v>
      </c>
    </row>
    <row r="44" spans="1:2" x14ac:dyDescent="0.3">
      <c r="A44" t="s">
        <v>145</v>
      </c>
    </row>
    <row r="45" spans="1:2" x14ac:dyDescent="0.3">
      <c r="A45" t="s">
        <v>146</v>
      </c>
    </row>
    <row r="46" spans="1:2" x14ac:dyDescent="0.3">
      <c r="A46" t="s">
        <v>147</v>
      </c>
    </row>
    <row r="47" spans="1:2" x14ac:dyDescent="0.3">
      <c r="A47" t="s">
        <v>148</v>
      </c>
    </row>
    <row r="48" spans="1:2" x14ac:dyDescent="0.3">
      <c r="A48" t="s">
        <v>149</v>
      </c>
    </row>
    <row r="50" spans="1:1" x14ac:dyDescent="0.3">
      <c r="A50" t="s">
        <v>150</v>
      </c>
    </row>
    <row r="52" spans="1:1" x14ac:dyDescent="0.3">
      <c r="A52" t="s">
        <v>151</v>
      </c>
    </row>
    <row r="53" spans="1:1" x14ac:dyDescent="0.3">
      <c r="A53" t="s">
        <v>152</v>
      </c>
    </row>
    <row r="54" spans="1:1" x14ac:dyDescent="0.3">
      <c r="A54" t="s">
        <v>153</v>
      </c>
    </row>
    <row r="55" spans="1:1" x14ac:dyDescent="0.3">
      <c r="A55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Purchase Log</vt:lpstr>
      <vt:lpstr>Collection</vt:lpstr>
      <vt:lpstr>Sold</vt:lpstr>
      <vt:lpstr>Catalog</vt:lpstr>
      <vt:lpstr>Buy List</vt:lpstr>
      <vt:lpstr>TO DO</vt:lpstr>
      <vt:lpstr>Brands</vt:lpstr>
      <vt:lpstr>KeepList</vt:lpstr>
      <vt:lpstr>'Purchase Log'!Print_Area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Crouch</dc:creator>
  <cp:lastModifiedBy>Stephen Crouch</cp:lastModifiedBy>
  <dcterms:created xsi:type="dcterms:W3CDTF">2026-04-17T04:33:54Z</dcterms:created>
  <dcterms:modified xsi:type="dcterms:W3CDTF">2026-07-04T21:56:02Z</dcterms:modified>
</cp:coreProperties>
</file>